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omments2.xml" ContentType="application/vnd.openxmlformats-officedocument.spreadsheetml.comments+xml"/>
  <Override PartName="/xl/drawings/drawing20.xml" ContentType="application/vnd.openxmlformats-officedocument.drawing+xml"/>
  <Override PartName="/xl/comments3.xml" ContentType="application/vnd.openxmlformats-officedocument.spreadsheetml.comments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omments4.xml" ContentType="application/vnd.openxmlformats-officedocument.spreadsheetml.comments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3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E7A1994-44C3-4E0E-A1A6-6A7440DD18ED}" xr6:coauthVersionLast="47" xr6:coauthVersionMax="47" xr10:uidLastSave="{00000000-0000-0000-0000-000000000000}"/>
  <bookViews>
    <workbookView xWindow="-25710" yWindow="-2460" windowWidth="25820" windowHeight="13900" tabRatio="578" firstSheet="3" activeTab="3" xr2:uid="{EF789F08-47C8-41A3-BA41-ABF8D99BEE5E}"/>
  </bookViews>
  <sheets>
    <sheet name="Dashboard" sheetId="8" state="hidden" r:id="rId1"/>
    <sheet name="Readmefirst" sheetId="48" r:id="rId2"/>
    <sheet name="Annual_PL conso" sheetId="46" r:id="rId3"/>
    <sheet name="Monthly_PL conso" sheetId="43" r:id="rId4"/>
    <sheet name="Conso BS" sheetId="49" r:id="rId5"/>
    <sheet name="HaiDuong" sheetId="7" r:id="rId6"/>
    <sheet name="CaMau" sheetId="11" r:id="rId7"/>
    <sheet name="ThanhHoa" sheetId="12" r:id="rId8"/>
    <sheet name="ThaiNguyen" sheetId="13" r:id="rId9"/>
    <sheet name="ThaiBinh" sheetId="24" r:id="rId10"/>
    <sheet name="YetKieu" sheetId="15" r:id="rId11"/>
    <sheet name="NhaTrang" sheetId="16" r:id="rId12"/>
    <sheet name="ThachThat" sheetId="17" r:id="rId13"/>
    <sheet name="HM" sheetId="32" state="hidden" r:id="rId14"/>
    <sheet name="SocSon-1" sheetId="44" r:id="rId15"/>
    <sheet name="Site liên kết" sheetId="27" r:id="rId16"/>
    <sheet name="HM-2" sheetId="41" r:id="rId17"/>
    <sheet name="HO" sheetId="45" r:id="rId18"/>
    <sheet name="CF." sheetId="6" state="hidden" r:id="rId19"/>
    <sheet name="CF" sheetId="2" state="hidden" r:id="rId20"/>
    <sheet name="BS" sheetId="5" state="hidden" r:id="rId21"/>
    <sheet name="Điểm hòa vốn" sheetId="35" r:id="rId22"/>
    <sheet name="Annual CF forecast" sheetId="29" state="hidden" r:id="rId23"/>
    <sheet name="Site list" sheetId="9" r:id="rId24"/>
    <sheet name="Monthly CF forecast" sheetId="53" r:id="rId25"/>
    <sheet name="HaiDuong-2" sheetId="50" r:id="rId26"/>
    <sheet name="CaMau-2" sheetId="52" r:id="rId27"/>
    <sheet name="ThanhHoa-2" sheetId="51" r:id="rId28"/>
    <sheet name="ThaiNguyen2" sheetId="36" r:id="rId29"/>
    <sheet name="ThaiBinh2" sheetId="30" r:id="rId30"/>
    <sheet name="YetKieu-2" sheetId="37" r:id="rId31"/>
    <sheet name="NhaTrang-2" sheetId="38" r:id="rId32"/>
    <sheet name="SocSon" sheetId="18" r:id="rId33"/>
    <sheet name="ThachThat (2)" sheetId="54" r:id="rId34"/>
    <sheet name="Hà Tĩnh" sheetId="39" r:id="rId35"/>
    <sheet name="HM-3" sheetId="42" r:id="rId36"/>
    <sheet name="HO-2" sheetId="31" r:id="rId37"/>
    <sheet name="Capital req" sheetId="14" state="hidden" r:id="rId38"/>
    <sheet name="Maintenance" sheetId="47" r:id="rId39"/>
    <sheet name="VTB_CaMau" sheetId="28" r:id="rId40"/>
    <sheet name="BIDV-THH" sheetId="19" r:id="rId41"/>
    <sheet name="VTB_TNN" sheetId="21" r:id="rId42"/>
    <sheet name="VTB_TBH" sheetId="20" r:id="rId43"/>
    <sheet name="VTB_YẾT KIÊU" sheetId="22" r:id="rId44"/>
    <sheet name="VTB_Nha trang." sheetId="23" r:id="rId45"/>
    <sheet name="CF forecast-13.1" sheetId="33" state="hidden" r:id="rId46"/>
  </sheets>
  <definedNames>
    <definedName name="_xlnm.Print_Area" localSheetId="43">'VTB_YẾT KIÊU'!$A$1:$H$25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19" i="53" l="1"/>
  <c r="G119" i="53"/>
  <c r="H119" i="53"/>
  <c r="I119" i="53"/>
  <c r="J119" i="53"/>
  <c r="K119" i="53"/>
  <c r="L119" i="53"/>
  <c r="M119" i="53"/>
  <c r="N119" i="53"/>
  <c r="O119" i="53"/>
  <c r="P119" i="53"/>
  <c r="Q119" i="53"/>
  <c r="F119" i="53"/>
  <c r="H20" i="53"/>
  <c r="I20" i="53"/>
  <c r="J20" i="53"/>
  <c r="K20" i="53"/>
  <c r="L20" i="53"/>
  <c r="M20" i="53"/>
  <c r="N20" i="53"/>
  <c r="O20" i="53"/>
  <c r="P20" i="53"/>
  <c r="Q20" i="53"/>
  <c r="G20" i="53"/>
  <c r="R104" i="53"/>
  <c r="G104" i="53"/>
  <c r="H104" i="53"/>
  <c r="I104" i="53"/>
  <c r="J104" i="53"/>
  <c r="K104" i="53"/>
  <c r="L104" i="53"/>
  <c r="M104" i="53"/>
  <c r="N104" i="53"/>
  <c r="O104" i="53"/>
  <c r="P104" i="53"/>
  <c r="Q104" i="53"/>
  <c r="F104" i="53"/>
  <c r="F127" i="35"/>
  <c r="F118" i="35"/>
  <c r="R117" i="53" l="1"/>
  <c r="G124" i="53"/>
  <c r="G125" i="53"/>
  <c r="G127" i="53"/>
  <c r="G128" i="53"/>
  <c r="F122" i="53"/>
  <c r="F123" i="53"/>
  <c r="F124" i="53"/>
  <c r="F125" i="53"/>
  <c r="F126" i="53"/>
  <c r="G106" i="53"/>
  <c r="G121" i="53" s="1"/>
  <c r="H106" i="53"/>
  <c r="I106" i="53"/>
  <c r="J106" i="53"/>
  <c r="K106" i="53"/>
  <c r="L106" i="53"/>
  <c r="M106" i="53"/>
  <c r="N106" i="53"/>
  <c r="O106" i="53"/>
  <c r="P106" i="53"/>
  <c r="Q106" i="53"/>
  <c r="G107" i="53"/>
  <c r="G122" i="53" s="1"/>
  <c r="H107" i="53"/>
  <c r="I107" i="53"/>
  <c r="J107" i="53"/>
  <c r="K107" i="53"/>
  <c r="L107" i="53"/>
  <c r="M107" i="53"/>
  <c r="N107" i="53"/>
  <c r="O107" i="53"/>
  <c r="P107" i="53"/>
  <c r="Q107" i="53"/>
  <c r="G108" i="53"/>
  <c r="G123" i="53" s="1"/>
  <c r="H108" i="53"/>
  <c r="I108" i="53"/>
  <c r="J108" i="53"/>
  <c r="K108" i="53"/>
  <c r="L108" i="53"/>
  <c r="M108" i="53"/>
  <c r="N108" i="53"/>
  <c r="O108" i="53"/>
  <c r="P108" i="53"/>
  <c r="Q108" i="53"/>
  <c r="G109" i="53"/>
  <c r="H109" i="53"/>
  <c r="I109" i="53"/>
  <c r="J109" i="53"/>
  <c r="K109" i="53"/>
  <c r="L109" i="53"/>
  <c r="M109" i="53"/>
  <c r="N109" i="53"/>
  <c r="O109" i="53"/>
  <c r="P109" i="53"/>
  <c r="Q109" i="53"/>
  <c r="G110" i="53"/>
  <c r="H110" i="53"/>
  <c r="I110" i="53"/>
  <c r="J110" i="53"/>
  <c r="K110" i="53"/>
  <c r="L110" i="53"/>
  <c r="M110" i="53"/>
  <c r="N110" i="53"/>
  <c r="O110" i="53"/>
  <c r="P110" i="53"/>
  <c r="Q110" i="53"/>
  <c r="G111" i="53"/>
  <c r="G126" i="53" s="1"/>
  <c r="H111" i="53"/>
  <c r="R111" i="53" s="1"/>
  <c r="I111" i="53"/>
  <c r="J111" i="53"/>
  <c r="K111" i="53"/>
  <c r="L111" i="53"/>
  <c r="M111" i="53"/>
  <c r="N111" i="53"/>
  <c r="O111" i="53"/>
  <c r="P111" i="53"/>
  <c r="Q111" i="53"/>
  <c r="G112" i="53"/>
  <c r="H112" i="53"/>
  <c r="I112" i="53"/>
  <c r="J112" i="53"/>
  <c r="K112" i="53"/>
  <c r="L112" i="53"/>
  <c r="R112" i="53" s="1"/>
  <c r="M112" i="53"/>
  <c r="N112" i="53"/>
  <c r="O112" i="53"/>
  <c r="P112" i="53"/>
  <c r="Q112" i="53"/>
  <c r="G113" i="53"/>
  <c r="H113" i="53"/>
  <c r="I113" i="53"/>
  <c r="J113" i="53"/>
  <c r="K113" i="53"/>
  <c r="L113" i="53"/>
  <c r="M113" i="53"/>
  <c r="N113" i="53"/>
  <c r="O113" i="53"/>
  <c r="P113" i="53"/>
  <c r="R113" i="53" s="1"/>
  <c r="Q113" i="53"/>
  <c r="G114" i="53"/>
  <c r="G129" i="53" s="1"/>
  <c r="H114" i="53"/>
  <c r="I114" i="53"/>
  <c r="J114" i="53"/>
  <c r="K114" i="53"/>
  <c r="L114" i="53"/>
  <c r="M114" i="53"/>
  <c r="N114" i="53"/>
  <c r="O114" i="53"/>
  <c r="P114" i="53"/>
  <c r="Q114" i="53"/>
  <c r="G115" i="53"/>
  <c r="G130" i="53" s="1"/>
  <c r="H115" i="53"/>
  <c r="R115" i="53" s="1"/>
  <c r="I115" i="53"/>
  <c r="J115" i="53"/>
  <c r="K115" i="53"/>
  <c r="L115" i="53"/>
  <c r="M115" i="53"/>
  <c r="N115" i="53"/>
  <c r="O115" i="53"/>
  <c r="P115" i="53"/>
  <c r="Q115" i="53"/>
  <c r="G116" i="53"/>
  <c r="G131" i="53" s="1"/>
  <c r="H116" i="53"/>
  <c r="H131" i="53" s="1"/>
  <c r="I116" i="53"/>
  <c r="I131" i="53" s="1"/>
  <c r="J116" i="53"/>
  <c r="J131" i="53" s="1"/>
  <c r="K116" i="53"/>
  <c r="K131" i="53" s="1"/>
  <c r="L116" i="53"/>
  <c r="L131" i="53" s="1"/>
  <c r="M116" i="53"/>
  <c r="M131" i="53" s="1"/>
  <c r="N116" i="53"/>
  <c r="N131" i="53" s="1"/>
  <c r="O116" i="53"/>
  <c r="O131" i="53" s="1"/>
  <c r="P116" i="53"/>
  <c r="P131" i="53" s="1"/>
  <c r="Q116" i="53"/>
  <c r="Q131" i="53" s="1"/>
  <c r="F116" i="53"/>
  <c r="F131" i="53" s="1"/>
  <c r="F115" i="53"/>
  <c r="F130" i="53" s="1"/>
  <c r="F114" i="53"/>
  <c r="F129" i="53" s="1"/>
  <c r="F113" i="53"/>
  <c r="F128" i="53" s="1"/>
  <c r="F112" i="53"/>
  <c r="F127" i="53" s="1"/>
  <c r="F111" i="53"/>
  <c r="F110" i="53"/>
  <c r="R110" i="53" s="1"/>
  <c r="F109" i="53"/>
  <c r="R109" i="53" s="1"/>
  <c r="F108" i="53"/>
  <c r="R108" i="53" s="1"/>
  <c r="F107" i="53"/>
  <c r="R107" i="53" s="1"/>
  <c r="F106" i="53"/>
  <c r="F121" i="53" s="1"/>
  <c r="G105" i="53"/>
  <c r="G120" i="53" s="1"/>
  <c r="H105" i="53"/>
  <c r="I105" i="53"/>
  <c r="J105" i="53"/>
  <c r="K105" i="53"/>
  <c r="L105" i="53"/>
  <c r="M105" i="53"/>
  <c r="N105" i="53"/>
  <c r="O105" i="53"/>
  <c r="P105" i="53"/>
  <c r="Q105" i="53"/>
  <c r="F105" i="53"/>
  <c r="R105" i="53" s="1"/>
  <c r="G10" i="53"/>
  <c r="G12" i="54"/>
  <c r="H98" i="53"/>
  <c r="I22" i="50"/>
  <c r="I21" i="50"/>
  <c r="I20" i="50"/>
  <c r="I19" i="50"/>
  <c r="I18" i="50"/>
  <c r="G89" i="53"/>
  <c r="I89" i="53"/>
  <c r="J89" i="53"/>
  <c r="K89" i="53"/>
  <c r="L89" i="53"/>
  <c r="M89" i="53"/>
  <c r="N89" i="53"/>
  <c r="O89" i="53"/>
  <c r="P89" i="53"/>
  <c r="Q89" i="53"/>
  <c r="F89" i="53"/>
  <c r="F120" i="53" l="1"/>
  <c r="R114" i="53"/>
  <c r="R116" i="53"/>
  <c r="R106" i="53"/>
  <c r="R88" i="53"/>
  <c r="R87" i="53"/>
  <c r="R86" i="53"/>
  <c r="R85" i="53"/>
  <c r="R84" i="53"/>
  <c r="R83" i="53"/>
  <c r="R81" i="53"/>
  <c r="H82" i="53"/>
  <c r="F10" i="53"/>
  <c r="G58" i="51"/>
  <c r="G57" i="51"/>
  <c r="G56" i="51"/>
  <c r="G41" i="51"/>
  <c r="G42" i="51"/>
  <c r="G37" i="51"/>
  <c r="G33" i="51"/>
  <c r="G26" i="51"/>
  <c r="G27" i="51"/>
  <c r="G28" i="51"/>
  <c r="G29" i="51"/>
  <c r="G25" i="51"/>
  <c r="G13" i="51"/>
  <c r="G14" i="51"/>
  <c r="G15" i="51"/>
  <c r="G16" i="51"/>
  <c r="G12" i="51"/>
  <c r="G58" i="52"/>
  <c r="G57" i="52"/>
  <c r="G56" i="52"/>
  <c r="G40" i="52"/>
  <c r="G41" i="52"/>
  <c r="G42" i="52"/>
  <c r="G36" i="52"/>
  <c r="G37" i="52"/>
  <c r="G35" i="52"/>
  <c r="G32" i="52"/>
  <c r="G26" i="52"/>
  <c r="G27" i="52"/>
  <c r="G28" i="52"/>
  <c r="G29" i="52"/>
  <c r="G25" i="52"/>
  <c r="G15" i="52"/>
  <c r="G16" i="52"/>
  <c r="G13" i="52"/>
  <c r="G14" i="52"/>
  <c r="G12" i="52"/>
  <c r="R22" i="53"/>
  <c r="R131" i="53" s="1"/>
  <c r="R23" i="53"/>
  <c r="R24" i="53"/>
  <c r="G32" i="18"/>
  <c r="H58" i="39"/>
  <c r="F27" i="54"/>
  <c r="G58" i="38"/>
  <c r="G46" i="36"/>
  <c r="G58" i="50"/>
  <c r="N58" i="50" s="1"/>
  <c r="G57" i="50"/>
  <c r="G56" i="50"/>
  <c r="O67" i="53"/>
  <c r="L67" i="53"/>
  <c r="I67" i="53"/>
  <c r="F67" i="53"/>
  <c r="O66" i="53"/>
  <c r="L66" i="53"/>
  <c r="I66" i="53"/>
  <c r="F66" i="53"/>
  <c r="P65" i="53"/>
  <c r="M65" i="53"/>
  <c r="J65" i="53"/>
  <c r="G65" i="53"/>
  <c r="O64" i="53"/>
  <c r="L64" i="53"/>
  <c r="I64" i="53"/>
  <c r="F64" i="53"/>
  <c r="O63" i="53"/>
  <c r="L63" i="53"/>
  <c r="I63" i="53"/>
  <c r="F63" i="53"/>
  <c r="R68" i="53"/>
  <c r="O62" i="53"/>
  <c r="L62" i="53"/>
  <c r="I62" i="53"/>
  <c r="F62" i="53"/>
  <c r="F75" i="53"/>
  <c r="O75" i="53" s="1"/>
  <c r="F74" i="53"/>
  <c r="O74" i="53" s="1"/>
  <c r="G73" i="53"/>
  <c r="P73" i="53" s="1"/>
  <c r="F72" i="53"/>
  <c r="L72" i="53" s="1"/>
  <c r="F71" i="53"/>
  <c r="O71" i="53" s="1"/>
  <c r="F70" i="53"/>
  <c r="O70" i="53" s="1"/>
  <c r="R82" i="53" l="1"/>
  <c r="H89" i="53"/>
  <c r="R62" i="53"/>
  <c r="I71" i="53"/>
  <c r="L71" i="53"/>
  <c r="I75" i="53"/>
  <c r="L75" i="53"/>
  <c r="I70" i="53"/>
  <c r="L74" i="53"/>
  <c r="I72" i="53"/>
  <c r="O72" i="53"/>
  <c r="J73" i="53"/>
  <c r="J69" i="53" s="1"/>
  <c r="M73" i="53"/>
  <c r="I74" i="53"/>
  <c r="L70" i="53"/>
  <c r="M58" i="50"/>
  <c r="L58" i="50"/>
  <c r="K58" i="50"/>
  <c r="J58" i="50"/>
  <c r="I58" i="50"/>
  <c r="H58" i="50"/>
  <c r="R58" i="50"/>
  <c r="Q58" i="50"/>
  <c r="P58" i="50"/>
  <c r="O58" i="50"/>
  <c r="R67" i="53"/>
  <c r="R66" i="53"/>
  <c r="R65" i="53"/>
  <c r="R64" i="53"/>
  <c r="R63" i="53"/>
  <c r="G58" i="37"/>
  <c r="H37" i="30"/>
  <c r="I37" i="30"/>
  <c r="J37" i="30"/>
  <c r="K37" i="30"/>
  <c r="L37" i="30"/>
  <c r="M37" i="30"/>
  <c r="N37" i="30"/>
  <c r="O37" i="30"/>
  <c r="P37" i="30"/>
  <c r="Q37" i="30"/>
  <c r="R37" i="30"/>
  <c r="G37" i="30"/>
  <c r="H52" i="53"/>
  <c r="I52" i="53"/>
  <c r="J52" i="53"/>
  <c r="K52" i="53"/>
  <c r="L52" i="53"/>
  <c r="M52" i="53"/>
  <c r="N52" i="53"/>
  <c r="O52" i="53"/>
  <c r="P52" i="53"/>
  <c r="Q52" i="53"/>
  <c r="H53" i="53"/>
  <c r="I53" i="53"/>
  <c r="J53" i="53"/>
  <c r="K53" i="53"/>
  <c r="L53" i="53"/>
  <c r="M53" i="53"/>
  <c r="N53" i="53"/>
  <c r="O53" i="53"/>
  <c r="P53" i="53"/>
  <c r="Q53" i="53"/>
  <c r="G51" i="53"/>
  <c r="G52" i="53"/>
  <c r="G53" i="53"/>
  <c r="H39" i="53"/>
  <c r="I39" i="53"/>
  <c r="J39" i="53"/>
  <c r="K39" i="53"/>
  <c r="L39" i="53"/>
  <c r="M39" i="53"/>
  <c r="N39" i="53"/>
  <c r="O39" i="53"/>
  <c r="P39" i="53"/>
  <c r="Q39" i="53"/>
  <c r="G39" i="53"/>
  <c r="I19" i="31"/>
  <c r="G19" i="31"/>
  <c r="N17" i="39"/>
  <c r="M17" i="39"/>
  <c r="I17" i="39"/>
  <c r="H18" i="53"/>
  <c r="H127" i="53" s="1"/>
  <c r="I18" i="53"/>
  <c r="I127" i="53" s="1"/>
  <c r="J18" i="53"/>
  <c r="J127" i="53" s="1"/>
  <c r="K18" i="53"/>
  <c r="K127" i="53" s="1"/>
  <c r="L18" i="53"/>
  <c r="L127" i="53" s="1"/>
  <c r="M18" i="53"/>
  <c r="M127" i="53" s="1"/>
  <c r="N18" i="53"/>
  <c r="N127" i="53" s="1"/>
  <c r="O18" i="53"/>
  <c r="O127" i="53" s="1"/>
  <c r="P18" i="53"/>
  <c r="P127" i="53" s="1"/>
  <c r="Q18" i="53"/>
  <c r="Q127" i="53" s="1"/>
  <c r="O21" i="54"/>
  <c r="H22" i="54"/>
  <c r="I22" i="54"/>
  <c r="J22" i="54"/>
  <c r="K22" i="54"/>
  <c r="L22" i="54"/>
  <c r="M22" i="54"/>
  <c r="N22" i="54"/>
  <c r="O22" i="54"/>
  <c r="P22" i="54"/>
  <c r="Q22" i="54"/>
  <c r="H27" i="54"/>
  <c r="I27" i="54"/>
  <c r="J27" i="54"/>
  <c r="K27" i="54"/>
  <c r="L27" i="54"/>
  <c r="M27" i="54"/>
  <c r="N27" i="54"/>
  <c r="O27" i="54"/>
  <c r="P27" i="54"/>
  <c r="Q27" i="54"/>
  <c r="G22" i="54"/>
  <c r="G27" i="54"/>
  <c r="F26" i="54"/>
  <c r="H26" i="54" s="1"/>
  <c r="F24" i="54"/>
  <c r="H24" i="54" s="1"/>
  <c r="F23" i="54"/>
  <c r="M23" i="54" s="1"/>
  <c r="F21" i="54"/>
  <c r="L21" i="54" s="1"/>
  <c r="F45" i="54"/>
  <c r="F19" i="54" s="1"/>
  <c r="F43" i="54"/>
  <c r="Z41" i="54"/>
  <c r="S39" i="54"/>
  <c r="Q39" i="54"/>
  <c r="P39" i="54"/>
  <c r="O39" i="54"/>
  <c r="N39" i="54"/>
  <c r="S38" i="54"/>
  <c r="S36" i="54"/>
  <c r="S35" i="54"/>
  <c r="S34" i="54"/>
  <c r="S33" i="54"/>
  <c r="R33" i="54"/>
  <c r="S32" i="54"/>
  <c r="V32" i="54" s="1"/>
  <c r="R32" i="54"/>
  <c r="S31" i="54"/>
  <c r="P31" i="54"/>
  <c r="Q31" i="54" s="1"/>
  <c r="Z31" i="54" s="1"/>
  <c r="O31" i="54"/>
  <c r="N31" i="54"/>
  <c r="S30" i="54"/>
  <c r="R30" i="54"/>
  <c r="S29" i="54"/>
  <c r="M29" i="54"/>
  <c r="M34" i="54" s="1"/>
  <c r="M36" i="54" s="1"/>
  <c r="L29" i="54"/>
  <c r="L34" i="54" s="1"/>
  <c r="L36" i="54" s="1"/>
  <c r="K29" i="54"/>
  <c r="K34" i="54" s="1"/>
  <c r="K36" i="54" s="1"/>
  <c r="J29" i="54"/>
  <c r="J34" i="54" s="1"/>
  <c r="J36" i="54" s="1"/>
  <c r="I29" i="54"/>
  <c r="I34" i="54" s="1"/>
  <c r="I36" i="54" s="1"/>
  <c r="H29" i="54"/>
  <c r="H34" i="54" s="1"/>
  <c r="H36" i="54" s="1"/>
  <c r="G29" i="54"/>
  <c r="G34" i="54" s="1"/>
  <c r="G36" i="54" s="1"/>
  <c r="S27" i="54"/>
  <c r="V27" i="54" s="1"/>
  <c r="Z26" i="54"/>
  <c r="S26" i="54"/>
  <c r="Z24" i="54"/>
  <c r="S24" i="54"/>
  <c r="Z23" i="54"/>
  <c r="S23" i="54"/>
  <c r="S20" i="54"/>
  <c r="S19" i="54"/>
  <c r="V19" i="54" s="1"/>
  <c r="S18" i="54"/>
  <c r="S17" i="54"/>
  <c r="S14" i="54"/>
  <c r="R14" i="54"/>
  <c r="S13" i="54"/>
  <c r="V16" i="54" s="1"/>
  <c r="S12" i="54"/>
  <c r="Q69" i="53"/>
  <c r="P69" i="53"/>
  <c r="O69" i="53"/>
  <c r="N69" i="53"/>
  <c r="M69" i="53"/>
  <c r="K69" i="53"/>
  <c r="H69" i="53"/>
  <c r="G69" i="53"/>
  <c r="F69" i="53"/>
  <c r="G61" i="53"/>
  <c r="H61" i="53"/>
  <c r="I61" i="53"/>
  <c r="J61" i="53"/>
  <c r="K61" i="53"/>
  <c r="L61" i="53"/>
  <c r="M61" i="53"/>
  <c r="N61" i="53"/>
  <c r="O61" i="53"/>
  <c r="P61" i="53"/>
  <c r="Q61" i="53"/>
  <c r="F61" i="53"/>
  <c r="G55" i="53"/>
  <c r="F55" i="53"/>
  <c r="F53" i="53"/>
  <c r="F51" i="53"/>
  <c r="F26" i="53"/>
  <c r="F41" i="53" s="1"/>
  <c r="F54" i="53"/>
  <c r="F52" i="53"/>
  <c r="F34" i="53"/>
  <c r="F49" i="53" s="1"/>
  <c r="F33" i="53"/>
  <c r="F48" i="53" s="1"/>
  <c r="F32" i="53"/>
  <c r="F47" i="53" s="1"/>
  <c r="F31" i="53"/>
  <c r="F46" i="53" s="1"/>
  <c r="F30" i="53"/>
  <c r="F45" i="53" s="1"/>
  <c r="F29" i="53"/>
  <c r="F44" i="53" s="1"/>
  <c r="F28" i="53"/>
  <c r="F43" i="53" s="1"/>
  <c r="F27" i="53"/>
  <c r="F42" i="53" s="1"/>
  <c r="O50" i="53" l="1"/>
  <c r="O129" i="53"/>
  <c r="N50" i="53"/>
  <c r="N129" i="53"/>
  <c r="H50" i="53"/>
  <c r="H129" i="53"/>
  <c r="Q50" i="53"/>
  <c r="Q129" i="53"/>
  <c r="P50" i="53"/>
  <c r="P129" i="53"/>
  <c r="I50" i="53"/>
  <c r="I129" i="53"/>
  <c r="M50" i="53"/>
  <c r="M129" i="53"/>
  <c r="L50" i="53"/>
  <c r="L129" i="53"/>
  <c r="J50" i="53"/>
  <c r="J129" i="53"/>
  <c r="K50" i="53"/>
  <c r="K129" i="53"/>
  <c r="Q24" i="54"/>
  <c r="P24" i="54"/>
  <c r="O24" i="54"/>
  <c r="N24" i="54"/>
  <c r="O23" i="54"/>
  <c r="G26" i="54"/>
  <c r="G24" i="54"/>
  <c r="G23" i="54"/>
  <c r="L23" i="54"/>
  <c r="L26" i="54"/>
  <c r="K23" i="54"/>
  <c r="M24" i="54"/>
  <c r="P26" i="54"/>
  <c r="O26" i="54"/>
  <c r="N23" i="54"/>
  <c r="K26" i="54"/>
  <c r="J23" i="54"/>
  <c r="Q26" i="54"/>
  <c r="J26" i="54"/>
  <c r="I23" i="54"/>
  <c r="P23" i="54"/>
  <c r="N26" i="54"/>
  <c r="I26" i="54"/>
  <c r="H23" i="54"/>
  <c r="Q23" i="54"/>
  <c r="M26" i="54"/>
  <c r="Q19" i="54"/>
  <c r="H19" i="54"/>
  <c r="K19" i="54"/>
  <c r="P19" i="54"/>
  <c r="J19" i="54"/>
  <c r="L19" i="54"/>
  <c r="G19" i="54"/>
  <c r="N19" i="54"/>
  <c r="I19" i="54"/>
  <c r="M19" i="54"/>
  <c r="O19" i="54"/>
  <c r="L24" i="54"/>
  <c r="K24" i="54"/>
  <c r="J24" i="54"/>
  <c r="I24" i="54"/>
  <c r="I69" i="53"/>
  <c r="L69" i="53"/>
  <c r="G50" i="53"/>
  <c r="R20" i="53"/>
  <c r="R129" i="53" s="1"/>
  <c r="R18" i="53"/>
  <c r="R127" i="53" s="1"/>
  <c r="J21" i="54"/>
  <c r="H21" i="54"/>
  <c r="M21" i="54"/>
  <c r="I21" i="54"/>
  <c r="G21" i="54"/>
  <c r="Q21" i="54"/>
  <c r="N21" i="54"/>
  <c r="K21" i="54"/>
  <c r="P21" i="54"/>
  <c r="R27" i="54"/>
  <c r="T27" i="54" s="1"/>
  <c r="T39" i="54"/>
  <c r="V30" i="54"/>
  <c r="V18" i="54"/>
  <c r="V23" i="54"/>
  <c r="V33" i="54"/>
  <c r="T14" i="54"/>
  <c r="V34" i="54"/>
  <c r="V15" i="54"/>
  <c r="V24" i="54"/>
  <c r="V36" i="54"/>
  <c r="V35" i="54"/>
  <c r="V17" i="54"/>
  <c r="V29" i="54"/>
  <c r="R39" i="54"/>
  <c r="V14" i="54"/>
  <c r="V26" i="54"/>
  <c r="Z39" i="54"/>
  <c r="V20" i="54"/>
  <c r="V13" i="54"/>
  <c r="V31" i="54"/>
  <c r="T30" i="54"/>
  <c r="T33" i="54"/>
  <c r="T32" i="54"/>
  <c r="V12" i="54"/>
  <c r="F25" i="53"/>
  <c r="F40" i="53" s="1"/>
  <c r="F77" i="53" s="1"/>
  <c r="R69" i="53" l="1"/>
  <c r="R23" i="54"/>
  <c r="T23" i="54" s="1"/>
  <c r="R24" i="54"/>
  <c r="T24" i="54" s="1"/>
  <c r="R26" i="54"/>
  <c r="T26" i="54" s="1"/>
  <c r="F90" i="53" l="1"/>
  <c r="R80" i="53"/>
  <c r="G22" i="50"/>
  <c r="G21" i="50"/>
  <c r="M21" i="50" s="1"/>
  <c r="G19" i="50"/>
  <c r="Q19" i="50" s="1"/>
  <c r="G20" i="50"/>
  <c r="G18" i="50"/>
  <c r="AB95" i="7"/>
  <c r="G13" i="50"/>
  <c r="N13" i="50" s="1"/>
  <c r="G14" i="50"/>
  <c r="G15" i="50"/>
  <c r="R15" i="50" s="1"/>
  <c r="G16" i="50"/>
  <c r="R16" i="50" s="1"/>
  <c r="G12" i="50"/>
  <c r="J12" i="50" s="1"/>
  <c r="G91" i="52"/>
  <c r="F86" i="52"/>
  <c r="F85" i="52"/>
  <c r="F84" i="52"/>
  <c r="F83" i="52"/>
  <c r="F82" i="52"/>
  <c r="G74" i="52"/>
  <c r="I74" i="52" s="1"/>
  <c r="P73" i="52"/>
  <c r="P91" i="52" s="1"/>
  <c r="G73" i="52"/>
  <c r="H73" i="52" s="1"/>
  <c r="H91" i="52" s="1"/>
  <c r="G72" i="52"/>
  <c r="G71" i="52"/>
  <c r="Q71" i="52" s="1"/>
  <c r="Q89" i="52" s="1"/>
  <c r="G70" i="52"/>
  <c r="F67" i="52"/>
  <c r="R58" i="52"/>
  <c r="Q58" i="52"/>
  <c r="P58" i="52"/>
  <c r="O58" i="52"/>
  <c r="N58" i="52"/>
  <c r="M58" i="52"/>
  <c r="L58" i="52"/>
  <c r="K58" i="52"/>
  <c r="J58" i="52"/>
  <c r="I58" i="52"/>
  <c r="H58" i="52"/>
  <c r="N56" i="52"/>
  <c r="O42" i="52"/>
  <c r="I42" i="52"/>
  <c r="R41" i="52"/>
  <c r="Q41" i="52"/>
  <c r="P41" i="52"/>
  <c r="O41" i="52"/>
  <c r="L41" i="52"/>
  <c r="M40" i="52"/>
  <c r="R36" i="52"/>
  <c r="P36" i="52"/>
  <c r="R35" i="52"/>
  <c r="Q35" i="52"/>
  <c r="P35" i="52"/>
  <c r="O35" i="52"/>
  <c r="N35" i="52"/>
  <c r="M35" i="52"/>
  <c r="L35" i="52"/>
  <c r="K35" i="52"/>
  <c r="J35" i="52"/>
  <c r="I35" i="52"/>
  <c r="H35" i="52"/>
  <c r="R32" i="52"/>
  <c r="Q32" i="52"/>
  <c r="P32" i="52"/>
  <c r="O32" i="52"/>
  <c r="K32" i="52"/>
  <c r="J32" i="52"/>
  <c r="R29" i="52"/>
  <c r="Q29" i="52"/>
  <c r="P29" i="52"/>
  <c r="O29" i="52"/>
  <c r="L29" i="52"/>
  <c r="K29" i="52"/>
  <c r="I29" i="52"/>
  <c r="O28" i="52"/>
  <c r="N28" i="52"/>
  <c r="M28" i="52"/>
  <c r="L28" i="52"/>
  <c r="K28" i="52"/>
  <c r="J28" i="52"/>
  <c r="I28" i="52"/>
  <c r="H28" i="52"/>
  <c r="Q27" i="52"/>
  <c r="P27" i="52"/>
  <c r="O27" i="52"/>
  <c r="I27" i="52"/>
  <c r="R25" i="52"/>
  <c r="Q25" i="52"/>
  <c r="P25" i="52"/>
  <c r="O25" i="52"/>
  <c r="N25" i="52"/>
  <c r="P16" i="52"/>
  <c r="O16" i="52"/>
  <c r="N16" i="52"/>
  <c r="M16" i="52"/>
  <c r="L16" i="52"/>
  <c r="K16" i="52"/>
  <c r="J16" i="52"/>
  <c r="I16" i="52"/>
  <c r="H16" i="52"/>
  <c r="R15" i="52"/>
  <c r="Q15" i="52"/>
  <c r="P15" i="52"/>
  <c r="O15" i="52"/>
  <c r="N15" i="52"/>
  <c r="M15" i="52"/>
  <c r="L15" i="52"/>
  <c r="K15" i="52"/>
  <c r="J15" i="52"/>
  <c r="I15" i="52"/>
  <c r="H15" i="52"/>
  <c r="R14" i="52"/>
  <c r="Q14" i="52"/>
  <c r="P14" i="52"/>
  <c r="O14" i="52"/>
  <c r="N14" i="52"/>
  <c r="M14" i="52"/>
  <c r="L14" i="52"/>
  <c r="R13" i="52"/>
  <c r="Q13" i="52"/>
  <c r="P13" i="52"/>
  <c r="O13" i="52"/>
  <c r="N13" i="52"/>
  <c r="M13" i="52"/>
  <c r="L13" i="52"/>
  <c r="K13" i="52"/>
  <c r="J13" i="52"/>
  <c r="I13" i="52"/>
  <c r="H13" i="52"/>
  <c r="N12" i="52"/>
  <c r="F86" i="51"/>
  <c r="F85" i="51"/>
  <c r="F84" i="51"/>
  <c r="F83" i="51"/>
  <c r="F82" i="51"/>
  <c r="R74" i="51"/>
  <c r="R92" i="51" s="1"/>
  <c r="Q74" i="51"/>
  <c r="Q92" i="51" s="1"/>
  <c r="P74" i="51"/>
  <c r="P92" i="51" s="1"/>
  <c r="O74" i="51"/>
  <c r="O92" i="51" s="1"/>
  <c r="L74" i="51"/>
  <c r="L92" i="51" s="1"/>
  <c r="G74" i="51"/>
  <c r="I74" i="51" s="1"/>
  <c r="I92" i="51" s="1"/>
  <c r="G73" i="51"/>
  <c r="L72" i="51"/>
  <c r="L90" i="51" s="1"/>
  <c r="K72" i="51"/>
  <c r="K90" i="51" s="1"/>
  <c r="I72" i="51"/>
  <c r="I90" i="51" s="1"/>
  <c r="G72" i="51"/>
  <c r="R72" i="51" s="1"/>
  <c r="R90" i="51" s="1"/>
  <c r="L71" i="51"/>
  <c r="L89" i="51" s="1"/>
  <c r="G71" i="51"/>
  <c r="Q70" i="51"/>
  <c r="Q88" i="51" s="1"/>
  <c r="P70" i="51"/>
  <c r="P88" i="51" s="1"/>
  <c r="G70" i="51"/>
  <c r="M70" i="51" s="1"/>
  <c r="M88" i="51" s="1"/>
  <c r="F67" i="51"/>
  <c r="R58" i="51"/>
  <c r="Q58" i="51"/>
  <c r="P58" i="51"/>
  <c r="O58" i="51"/>
  <c r="L58" i="51"/>
  <c r="K58" i="51"/>
  <c r="J58" i="51"/>
  <c r="I58" i="51"/>
  <c r="Q56" i="51"/>
  <c r="O56" i="51"/>
  <c r="L56" i="51"/>
  <c r="K56" i="51"/>
  <c r="J56" i="51"/>
  <c r="I56" i="51"/>
  <c r="R56" i="51"/>
  <c r="R42" i="51"/>
  <c r="Q42" i="51"/>
  <c r="P42" i="51"/>
  <c r="M42" i="51"/>
  <c r="L42" i="51"/>
  <c r="K42" i="51"/>
  <c r="I41" i="51"/>
  <c r="Q33" i="51"/>
  <c r="L33" i="51"/>
  <c r="K33" i="51"/>
  <c r="J33" i="51"/>
  <c r="I33" i="51"/>
  <c r="Q29" i="51"/>
  <c r="P29" i="51"/>
  <c r="O29" i="51"/>
  <c r="N29" i="51"/>
  <c r="M29" i="51"/>
  <c r="K29" i="51"/>
  <c r="J29" i="51"/>
  <c r="I29" i="51"/>
  <c r="H29" i="51"/>
  <c r="R29" i="51"/>
  <c r="Q28" i="51"/>
  <c r="P28" i="51"/>
  <c r="O28" i="51"/>
  <c r="L28" i="51"/>
  <c r="K28" i="51"/>
  <c r="M27" i="51"/>
  <c r="R26" i="51"/>
  <c r="Q26" i="51"/>
  <c r="O26" i="51"/>
  <c r="N26" i="51"/>
  <c r="M26" i="51"/>
  <c r="Q25" i="51"/>
  <c r="P25" i="51"/>
  <c r="O25" i="51"/>
  <c r="N25" i="51"/>
  <c r="M25" i="51"/>
  <c r="K25" i="51"/>
  <c r="J25" i="51"/>
  <c r="I25" i="51"/>
  <c r="H25" i="51"/>
  <c r="R25" i="51"/>
  <c r="R15" i="51"/>
  <c r="Q15" i="51"/>
  <c r="P15" i="51"/>
  <c r="O15" i="51"/>
  <c r="N15" i="51"/>
  <c r="M15" i="51"/>
  <c r="L15" i="51"/>
  <c r="K15" i="51"/>
  <c r="J15" i="51"/>
  <c r="I15" i="51"/>
  <c r="H15" i="51"/>
  <c r="Q13" i="51"/>
  <c r="P13" i="51"/>
  <c r="O13" i="51"/>
  <c r="N13" i="51"/>
  <c r="M13" i="51"/>
  <c r="K13" i="51"/>
  <c r="J13" i="51"/>
  <c r="I13" i="51"/>
  <c r="H13" i="51"/>
  <c r="R13" i="51"/>
  <c r="K91" i="50"/>
  <c r="G91" i="50"/>
  <c r="F86" i="50"/>
  <c r="F85" i="50"/>
  <c r="F84" i="50"/>
  <c r="F83" i="50"/>
  <c r="F82" i="50"/>
  <c r="Q74" i="50"/>
  <c r="Q92" i="50" s="1"/>
  <c r="P74" i="50"/>
  <c r="P92" i="50" s="1"/>
  <c r="O74" i="50"/>
  <c r="O92" i="50" s="1"/>
  <c r="G74" i="50"/>
  <c r="Q73" i="50"/>
  <c r="Q91" i="50" s="1"/>
  <c r="P73" i="50"/>
  <c r="P91" i="50" s="1"/>
  <c r="O73" i="50"/>
  <c r="O91" i="50" s="1"/>
  <c r="N73" i="50"/>
  <c r="N91" i="50" s="1"/>
  <c r="M73" i="50"/>
  <c r="M91" i="50" s="1"/>
  <c r="L73" i="50"/>
  <c r="L91" i="50" s="1"/>
  <c r="G73" i="50"/>
  <c r="K73" i="50" s="1"/>
  <c r="N72" i="50"/>
  <c r="N90" i="50" s="1"/>
  <c r="M72" i="50"/>
  <c r="M90" i="50" s="1"/>
  <c r="I72" i="50"/>
  <c r="I90" i="50" s="1"/>
  <c r="G72" i="50"/>
  <c r="H72" i="50" s="1"/>
  <c r="H90" i="50" s="1"/>
  <c r="H71" i="50"/>
  <c r="H89" i="50" s="1"/>
  <c r="G71" i="50"/>
  <c r="I71" i="50" s="1"/>
  <c r="I89" i="50" s="1"/>
  <c r="G70" i="50"/>
  <c r="L70" i="50" s="1"/>
  <c r="L88" i="50" s="1"/>
  <c r="F67" i="50"/>
  <c r="R63" i="50"/>
  <c r="Q63" i="50"/>
  <c r="P63" i="50"/>
  <c r="O63" i="50"/>
  <c r="J63" i="50"/>
  <c r="R57" i="50"/>
  <c r="Q57" i="50"/>
  <c r="P57" i="50"/>
  <c r="O57" i="50"/>
  <c r="N57" i="50"/>
  <c r="M57" i="50"/>
  <c r="L57" i="50"/>
  <c r="K57" i="50"/>
  <c r="H57" i="50"/>
  <c r="J57" i="50"/>
  <c r="R56" i="50"/>
  <c r="Q56" i="50"/>
  <c r="P56" i="50"/>
  <c r="O56" i="50"/>
  <c r="N56" i="50"/>
  <c r="M56" i="50"/>
  <c r="L56" i="50"/>
  <c r="K56" i="50"/>
  <c r="J56" i="50"/>
  <c r="I56" i="50"/>
  <c r="H56" i="50"/>
  <c r="G42" i="50"/>
  <c r="G36" i="50"/>
  <c r="R36" i="50" s="1"/>
  <c r="G35" i="50"/>
  <c r="O35" i="50" s="1"/>
  <c r="P29" i="50"/>
  <c r="O29" i="50"/>
  <c r="N29" i="50"/>
  <c r="G29" i="50"/>
  <c r="R29" i="50" s="1"/>
  <c r="G28" i="50"/>
  <c r="Q28" i="50" s="1"/>
  <c r="G27" i="50"/>
  <c r="G26" i="50"/>
  <c r="Q26" i="50" s="1"/>
  <c r="G25" i="50"/>
  <c r="R22" i="50"/>
  <c r="Q22" i="50"/>
  <c r="Q80" i="50" s="1"/>
  <c r="P22" i="50"/>
  <c r="P80" i="50" s="1"/>
  <c r="O22" i="50"/>
  <c r="N22" i="50"/>
  <c r="M22" i="50"/>
  <c r="L22" i="50"/>
  <c r="K22" i="50"/>
  <c r="J22" i="50"/>
  <c r="P15" i="50"/>
  <c r="G12" i="31"/>
  <c r="F17" i="31"/>
  <c r="Q29" i="50" l="1"/>
  <c r="G48" i="50"/>
  <c r="M13" i="50"/>
  <c r="P13" i="50"/>
  <c r="Q13" i="50"/>
  <c r="O13" i="50"/>
  <c r="R13" i="50"/>
  <c r="M29" i="50"/>
  <c r="P35" i="50"/>
  <c r="F58" i="52"/>
  <c r="K16" i="50"/>
  <c r="K48" i="50" s="1"/>
  <c r="N28" i="50"/>
  <c r="O28" i="50"/>
  <c r="R26" i="50"/>
  <c r="M28" i="50"/>
  <c r="K12" i="50"/>
  <c r="P28" i="50"/>
  <c r="J16" i="50"/>
  <c r="J48" i="50" s="1"/>
  <c r="L28" i="50"/>
  <c r="L13" i="50"/>
  <c r="H16" i="50"/>
  <c r="H48" i="50" s="1"/>
  <c r="I16" i="50"/>
  <c r="I48" i="50" s="1"/>
  <c r="J72" i="51"/>
  <c r="J90" i="51" s="1"/>
  <c r="O72" i="51"/>
  <c r="O90" i="51" s="1"/>
  <c r="P72" i="51"/>
  <c r="P90" i="51" s="1"/>
  <c r="G88" i="51"/>
  <c r="I70" i="51"/>
  <c r="I88" i="51" s="1"/>
  <c r="Q72" i="51"/>
  <c r="Q90" i="51" s="1"/>
  <c r="J70" i="51"/>
  <c r="J88" i="51" s="1"/>
  <c r="K70" i="51"/>
  <c r="K88" i="51" s="1"/>
  <c r="N70" i="51"/>
  <c r="N88" i="51" s="1"/>
  <c r="J74" i="51"/>
  <c r="J92" i="51" s="1"/>
  <c r="O70" i="51"/>
  <c r="O88" i="51" s="1"/>
  <c r="K74" i="51"/>
  <c r="K92" i="51" s="1"/>
  <c r="H74" i="52"/>
  <c r="H92" i="52" s="1"/>
  <c r="G92" i="52"/>
  <c r="J71" i="52"/>
  <c r="J89" i="52" s="1"/>
  <c r="R71" i="52"/>
  <c r="R89" i="52" s="1"/>
  <c r="O74" i="52"/>
  <c r="O92" i="52" s="1"/>
  <c r="H71" i="52"/>
  <c r="H89" i="52" s="1"/>
  <c r="P74" i="52"/>
  <c r="P92" i="52" s="1"/>
  <c r="L74" i="52"/>
  <c r="L92" i="52" s="1"/>
  <c r="Q74" i="52"/>
  <c r="Q92" i="52" s="1"/>
  <c r="J74" i="52"/>
  <c r="J92" i="52" s="1"/>
  <c r="K74" i="52"/>
  <c r="K92" i="52" s="1"/>
  <c r="K71" i="52"/>
  <c r="K89" i="52" s="1"/>
  <c r="K73" i="52"/>
  <c r="R74" i="52"/>
  <c r="R92" i="52" s="1"/>
  <c r="I71" i="52"/>
  <c r="I89" i="52" s="1"/>
  <c r="P71" i="52"/>
  <c r="P89" i="52" s="1"/>
  <c r="N74" i="52"/>
  <c r="N92" i="52" s="1"/>
  <c r="L73" i="52"/>
  <c r="L91" i="52" s="1"/>
  <c r="M74" i="52"/>
  <c r="M92" i="52" s="1"/>
  <c r="N73" i="52"/>
  <c r="N91" i="52" s="1"/>
  <c r="O73" i="52"/>
  <c r="O91" i="52" s="1"/>
  <c r="O72" i="50"/>
  <c r="O90" i="50" s="1"/>
  <c r="P36" i="50"/>
  <c r="N12" i="50"/>
  <c r="Q36" i="50"/>
  <c r="P72" i="50"/>
  <c r="P90" i="50" s="1"/>
  <c r="O16" i="50"/>
  <c r="O48" i="50" s="1"/>
  <c r="Q72" i="50"/>
  <c r="Q90" i="50" s="1"/>
  <c r="H28" i="50"/>
  <c r="I70" i="50"/>
  <c r="I88" i="50" s="1"/>
  <c r="P12" i="50"/>
  <c r="I28" i="50"/>
  <c r="L63" i="50"/>
  <c r="J70" i="50"/>
  <c r="J88" i="50" s="1"/>
  <c r="R72" i="50"/>
  <c r="R90" i="50" s="1"/>
  <c r="Q12" i="50"/>
  <c r="J28" i="50"/>
  <c r="M63" i="50"/>
  <c r="K70" i="50"/>
  <c r="K88" i="50" s="1"/>
  <c r="L12" i="50"/>
  <c r="M12" i="50"/>
  <c r="H70" i="50"/>
  <c r="O12" i="50"/>
  <c r="K63" i="50"/>
  <c r="R12" i="50"/>
  <c r="K28" i="50"/>
  <c r="N63" i="50"/>
  <c r="H73" i="50"/>
  <c r="H91" i="50" s="1"/>
  <c r="R20" i="50"/>
  <c r="R78" i="50" s="1"/>
  <c r="G90" i="50"/>
  <c r="M79" i="50"/>
  <c r="M35" i="50"/>
  <c r="I12" i="50"/>
  <c r="R28" i="50"/>
  <c r="N35" i="50"/>
  <c r="K72" i="50"/>
  <c r="K90" i="50" s="1"/>
  <c r="R73" i="50"/>
  <c r="R91" i="50" s="1"/>
  <c r="L35" i="50"/>
  <c r="H12" i="50"/>
  <c r="J72" i="50"/>
  <c r="J90" i="50" s="1"/>
  <c r="L72" i="50"/>
  <c r="L90" i="50" s="1"/>
  <c r="R61" i="53"/>
  <c r="R89" i="53"/>
  <c r="K21" i="50"/>
  <c r="K79" i="50" s="1"/>
  <c r="J21" i="50"/>
  <c r="L21" i="50"/>
  <c r="L79" i="50" s="1"/>
  <c r="M20" i="50"/>
  <c r="M78" i="50" s="1"/>
  <c r="G46" i="50"/>
  <c r="L16" i="50"/>
  <c r="L48" i="50" s="1"/>
  <c r="H15" i="50"/>
  <c r="H47" i="50" s="1"/>
  <c r="M16" i="50"/>
  <c r="M48" i="50" s="1"/>
  <c r="I15" i="50"/>
  <c r="I47" i="50" s="1"/>
  <c r="N16" i="50"/>
  <c r="N48" i="50" s="1"/>
  <c r="J15" i="50"/>
  <c r="K15" i="50"/>
  <c r="P16" i="50"/>
  <c r="P48" i="50" s="1"/>
  <c r="L15" i="50"/>
  <c r="L47" i="50" s="1"/>
  <c r="Q16" i="50"/>
  <c r="Q48" i="50" s="1"/>
  <c r="M15" i="50"/>
  <c r="M47" i="50" s="1"/>
  <c r="N15" i="50"/>
  <c r="O15" i="50"/>
  <c r="Q15" i="50"/>
  <c r="I40" i="52"/>
  <c r="R72" i="52"/>
  <c r="R90" i="52" s="1"/>
  <c r="Q72" i="52"/>
  <c r="Q90" i="52" s="1"/>
  <c r="P72" i="52"/>
  <c r="P90" i="52" s="1"/>
  <c r="O72" i="52"/>
  <c r="O90" i="52" s="1"/>
  <c r="L72" i="52"/>
  <c r="L90" i="52" s="1"/>
  <c r="K72" i="52"/>
  <c r="K90" i="52" s="1"/>
  <c r="J72" i="52"/>
  <c r="J90" i="52" s="1"/>
  <c r="G90" i="52"/>
  <c r="N72" i="52"/>
  <c r="N90" i="52" s="1"/>
  <c r="H72" i="52"/>
  <c r="H90" i="52" s="1"/>
  <c r="M72" i="52"/>
  <c r="I72" i="52"/>
  <c r="I90" i="52" s="1"/>
  <c r="K91" i="52"/>
  <c r="J26" i="52"/>
  <c r="I26" i="52"/>
  <c r="H26" i="52"/>
  <c r="L26" i="52"/>
  <c r="K26" i="52"/>
  <c r="R26" i="52"/>
  <c r="P26" i="52"/>
  <c r="Q26" i="52"/>
  <c r="M26" i="52"/>
  <c r="N37" i="52"/>
  <c r="M37" i="52"/>
  <c r="L37" i="52"/>
  <c r="R37" i="52"/>
  <c r="Q37" i="52"/>
  <c r="L56" i="52"/>
  <c r="N26" i="52"/>
  <c r="H37" i="52"/>
  <c r="M56" i="52"/>
  <c r="O26" i="52"/>
  <c r="J37" i="52"/>
  <c r="K37" i="52"/>
  <c r="R57" i="52"/>
  <c r="Q57" i="52"/>
  <c r="P57" i="52"/>
  <c r="L57" i="52"/>
  <c r="N57" i="52"/>
  <c r="J57" i="52"/>
  <c r="O57" i="52"/>
  <c r="M57" i="52"/>
  <c r="K57" i="52"/>
  <c r="I57" i="52"/>
  <c r="H57" i="52"/>
  <c r="O37" i="52"/>
  <c r="N42" i="52"/>
  <c r="M42" i="52"/>
  <c r="L42" i="52"/>
  <c r="K42" i="52"/>
  <c r="J42" i="52"/>
  <c r="R42" i="52"/>
  <c r="Q42" i="52"/>
  <c r="P42" i="52"/>
  <c r="P40" i="52"/>
  <c r="O40" i="52"/>
  <c r="R40" i="52"/>
  <c r="N40" i="52"/>
  <c r="Q40" i="52"/>
  <c r="H40" i="52"/>
  <c r="J40" i="52"/>
  <c r="K40" i="52"/>
  <c r="L40" i="52"/>
  <c r="R56" i="52"/>
  <c r="P56" i="52"/>
  <c r="Q56" i="52"/>
  <c r="O56" i="52"/>
  <c r="K56" i="52"/>
  <c r="J56" i="52"/>
  <c r="I56" i="52"/>
  <c r="H56" i="52"/>
  <c r="I37" i="52"/>
  <c r="P37" i="52"/>
  <c r="H42" i="52"/>
  <c r="H12" i="52"/>
  <c r="H25" i="52"/>
  <c r="I12" i="52"/>
  <c r="J25" i="52"/>
  <c r="K36" i="52"/>
  <c r="L25" i="52"/>
  <c r="H29" i="52"/>
  <c r="O36" i="52"/>
  <c r="R12" i="52"/>
  <c r="Q12" i="52"/>
  <c r="P12" i="52"/>
  <c r="M12" i="52"/>
  <c r="L12" i="52"/>
  <c r="L70" i="52"/>
  <c r="K70" i="52"/>
  <c r="K88" i="52" s="1"/>
  <c r="J70" i="52"/>
  <c r="J88" i="52" s="1"/>
  <c r="I70" i="52"/>
  <c r="I88" i="52" s="1"/>
  <c r="R70" i="52"/>
  <c r="Q70" i="52"/>
  <c r="P70" i="52"/>
  <c r="P88" i="52" s="1"/>
  <c r="H70" i="52"/>
  <c r="I25" i="52"/>
  <c r="M70" i="52"/>
  <c r="M88" i="52" s="1"/>
  <c r="J12" i="52"/>
  <c r="N27" i="52"/>
  <c r="M27" i="52"/>
  <c r="L27" i="52"/>
  <c r="R27" i="52"/>
  <c r="J41" i="52"/>
  <c r="H41" i="52"/>
  <c r="I41" i="52"/>
  <c r="N70" i="52"/>
  <c r="N88" i="52" s="1"/>
  <c r="K12" i="52"/>
  <c r="K25" i="52"/>
  <c r="H27" i="52"/>
  <c r="L36" i="52"/>
  <c r="K41" i="52"/>
  <c r="O70" i="52"/>
  <c r="O88" i="52" s="1"/>
  <c r="R73" i="52"/>
  <c r="R91" i="52" s="1"/>
  <c r="Q73" i="52"/>
  <c r="Q91" i="52" s="1"/>
  <c r="M73" i="52"/>
  <c r="M91" i="52" s="1"/>
  <c r="O12" i="52"/>
  <c r="R16" i="52"/>
  <c r="Q16" i="52"/>
  <c r="M25" i="52"/>
  <c r="J27" i="52"/>
  <c r="M41" i="52"/>
  <c r="O71" i="52"/>
  <c r="M71" i="52"/>
  <c r="M89" i="52" s="1"/>
  <c r="L71" i="52"/>
  <c r="L89" i="52" s="1"/>
  <c r="G89" i="52"/>
  <c r="N71" i="52"/>
  <c r="N89" i="52" s="1"/>
  <c r="I73" i="52"/>
  <c r="I92" i="52"/>
  <c r="J36" i="52"/>
  <c r="H36" i="52"/>
  <c r="I36" i="52"/>
  <c r="N36" i="52"/>
  <c r="M36" i="52"/>
  <c r="N29" i="52"/>
  <c r="M29" i="52"/>
  <c r="G88" i="52"/>
  <c r="K27" i="52"/>
  <c r="J29" i="52"/>
  <c r="N32" i="52"/>
  <c r="M32" i="52"/>
  <c r="L32" i="52"/>
  <c r="I32" i="52"/>
  <c r="H32" i="52"/>
  <c r="Q36" i="52"/>
  <c r="N41" i="52"/>
  <c r="J73" i="52"/>
  <c r="J91" i="52" s="1"/>
  <c r="J14" i="52"/>
  <c r="I14" i="52"/>
  <c r="H14" i="52"/>
  <c r="K14" i="52"/>
  <c r="R28" i="52"/>
  <c r="Q28" i="52"/>
  <c r="P28" i="52"/>
  <c r="R12" i="51"/>
  <c r="N12" i="51"/>
  <c r="M12" i="51"/>
  <c r="H12" i="51"/>
  <c r="K14" i="51"/>
  <c r="J14" i="51"/>
  <c r="P14" i="51"/>
  <c r="R14" i="51"/>
  <c r="Q14" i="51"/>
  <c r="O14" i="51"/>
  <c r="O16" i="51"/>
  <c r="N16" i="51"/>
  <c r="I16" i="51"/>
  <c r="M16" i="51"/>
  <c r="L16" i="51"/>
  <c r="K16" i="51"/>
  <c r="J16" i="51"/>
  <c r="K27" i="51"/>
  <c r="K41" i="51"/>
  <c r="J41" i="51"/>
  <c r="P41" i="51"/>
  <c r="R41" i="51"/>
  <c r="Q41" i="51"/>
  <c r="L41" i="51"/>
  <c r="L12" i="51"/>
  <c r="I14" i="51"/>
  <c r="H16" i="51"/>
  <c r="R33" i="51"/>
  <c r="N33" i="51"/>
  <c r="M33" i="51"/>
  <c r="H33" i="51"/>
  <c r="H41" i="51"/>
  <c r="O37" i="51"/>
  <c r="N37" i="51"/>
  <c r="J37" i="51"/>
  <c r="I37" i="51"/>
  <c r="M37" i="51"/>
  <c r="L37" i="51"/>
  <c r="K37" i="51"/>
  <c r="H37" i="51"/>
  <c r="Q37" i="51"/>
  <c r="I12" i="51"/>
  <c r="O27" i="51"/>
  <c r="N27" i="51"/>
  <c r="J27" i="51"/>
  <c r="I27" i="51"/>
  <c r="R27" i="51"/>
  <c r="L27" i="51"/>
  <c r="R37" i="51"/>
  <c r="J12" i="51"/>
  <c r="K12" i="51"/>
  <c r="H14" i="51"/>
  <c r="L14" i="51"/>
  <c r="P12" i="51"/>
  <c r="Q16" i="51"/>
  <c r="Q27" i="51"/>
  <c r="M41" i="51"/>
  <c r="Q73" i="51"/>
  <c r="Q91" i="51" s="1"/>
  <c r="P73" i="51"/>
  <c r="P91" i="51" s="1"/>
  <c r="K73" i="51"/>
  <c r="K91" i="51" s="1"/>
  <c r="J73" i="51"/>
  <c r="J91" i="51" s="1"/>
  <c r="G91" i="51"/>
  <c r="N73" i="51"/>
  <c r="N91" i="51" s="1"/>
  <c r="Q12" i="51"/>
  <c r="N14" i="51"/>
  <c r="R16" i="51"/>
  <c r="N41" i="51"/>
  <c r="H73" i="51"/>
  <c r="O41" i="51"/>
  <c r="P71" i="51"/>
  <c r="P89" i="51" s="1"/>
  <c r="G89" i="51"/>
  <c r="N71" i="51"/>
  <c r="N89" i="51" s="1"/>
  <c r="O71" i="51"/>
  <c r="O89" i="51" s="1"/>
  <c r="M71" i="51"/>
  <c r="M89" i="51" s="1"/>
  <c r="K71" i="51"/>
  <c r="K89" i="51" s="1"/>
  <c r="J71" i="51"/>
  <c r="J89" i="51" s="1"/>
  <c r="Q71" i="51"/>
  <c r="Q89" i="51" s="1"/>
  <c r="I73" i="51"/>
  <c r="I91" i="51" s="1"/>
  <c r="O33" i="51"/>
  <c r="H71" i="51"/>
  <c r="L73" i="51"/>
  <c r="L91" i="51" s="1"/>
  <c r="P33" i="51"/>
  <c r="I71" i="51"/>
  <c r="I89" i="51" s="1"/>
  <c r="M73" i="51"/>
  <c r="M91" i="51" s="1"/>
  <c r="H27" i="51"/>
  <c r="O12" i="51"/>
  <c r="P16" i="51"/>
  <c r="P27" i="51"/>
  <c r="M14" i="51"/>
  <c r="Q57" i="51"/>
  <c r="P57" i="51"/>
  <c r="K57" i="51"/>
  <c r="J57" i="51"/>
  <c r="N57" i="51"/>
  <c r="M57" i="51"/>
  <c r="L57" i="51"/>
  <c r="I57" i="51"/>
  <c r="H57" i="51"/>
  <c r="O73" i="51"/>
  <c r="O91" i="51" s="1"/>
  <c r="O57" i="51"/>
  <c r="R71" i="51"/>
  <c r="R89" i="51" s="1"/>
  <c r="R73" i="51"/>
  <c r="R91" i="51" s="1"/>
  <c r="R57" i="51"/>
  <c r="P37" i="51"/>
  <c r="K26" i="51"/>
  <c r="J26" i="51"/>
  <c r="P26" i="51"/>
  <c r="H26" i="51"/>
  <c r="R28" i="51"/>
  <c r="N28" i="51"/>
  <c r="M28" i="51"/>
  <c r="H28" i="51"/>
  <c r="I26" i="51"/>
  <c r="I28" i="51"/>
  <c r="O42" i="51"/>
  <c r="N42" i="51"/>
  <c r="J42" i="51"/>
  <c r="I42" i="51"/>
  <c r="L26" i="51"/>
  <c r="J28" i="51"/>
  <c r="H42" i="51"/>
  <c r="M58" i="51"/>
  <c r="M74" i="51"/>
  <c r="M92" i="51" s="1"/>
  <c r="L13" i="51"/>
  <c r="L25" i="51"/>
  <c r="L29" i="51"/>
  <c r="H56" i="51"/>
  <c r="N58" i="51"/>
  <c r="R70" i="51"/>
  <c r="R88" i="51" s="1"/>
  <c r="H72" i="51"/>
  <c r="N74" i="51"/>
  <c r="N92" i="51" s="1"/>
  <c r="G92" i="51"/>
  <c r="M56" i="51"/>
  <c r="M72" i="51"/>
  <c r="M90" i="51" s="1"/>
  <c r="N56" i="51"/>
  <c r="H70" i="51"/>
  <c r="N72" i="51"/>
  <c r="G90" i="51"/>
  <c r="P56" i="51"/>
  <c r="H58" i="51"/>
  <c r="L70" i="51"/>
  <c r="L88" i="51" s="1"/>
  <c r="H74" i="51"/>
  <c r="H92" i="51" s="1"/>
  <c r="Q77" i="50"/>
  <c r="Q45" i="50"/>
  <c r="R27" i="50"/>
  <c r="Q27" i="50"/>
  <c r="P27" i="50"/>
  <c r="M27" i="50"/>
  <c r="L27" i="50"/>
  <c r="H27" i="50"/>
  <c r="K27" i="50"/>
  <c r="J27" i="50"/>
  <c r="I27" i="50"/>
  <c r="R48" i="50"/>
  <c r="N27" i="50"/>
  <c r="O80" i="50"/>
  <c r="O27" i="50"/>
  <c r="R42" i="50"/>
  <c r="Q42" i="50"/>
  <c r="P42" i="50"/>
  <c r="N42" i="50"/>
  <c r="M42" i="50"/>
  <c r="L42" i="50"/>
  <c r="K42" i="50"/>
  <c r="J42" i="50"/>
  <c r="I42" i="50"/>
  <c r="H42" i="50"/>
  <c r="K18" i="50"/>
  <c r="J18" i="50"/>
  <c r="J76" i="50" s="1"/>
  <c r="R18" i="50"/>
  <c r="Q18" i="50"/>
  <c r="M18" i="50"/>
  <c r="O18" i="50"/>
  <c r="P18" i="50"/>
  <c r="G76" i="50"/>
  <c r="N18" i="50"/>
  <c r="G79" i="50"/>
  <c r="R21" i="50"/>
  <c r="Q21" i="50"/>
  <c r="P21" i="50"/>
  <c r="P79" i="50" s="1"/>
  <c r="G47" i="50"/>
  <c r="O21" i="50"/>
  <c r="O79" i="50" s="1"/>
  <c r="N21" i="50"/>
  <c r="N79" i="50" s="1"/>
  <c r="O42" i="50"/>
  <c r="G77" i="50"/>
  <c r="L18" i="50"/>
  <c r="G44" i="50"/>
  <c r="R71" i="50"/>
  <c r="R89" i="50" s="1"/>
  <c r="Q71" i="50"/>
  <c r="Q89" i="50" s="1"/>
  <c r="P71" i="50"/>
  <c r="P89" i="50" s="1"/>
  <c r="O71" i="50"/>
  <c r="O89" i="50" s="1"/>
  <c r="K71" i="50"/>
  <c r="K89" i="50" s="1"/>
  <c r="N71" i="50"/>
  <c r="N89" i="50" s="1"/>
  <c r="M71" i="50"/>
  <c r="M89" i="50" s="1"/>
  <c r="L71" i="50"/>
  <c r="L89" i="50" s="1"/>
  <c r="J71" i="50"/>
  <c r="J89" i="50" s="1"/>
  <c r="H88" i="50"/>
  <c r="K25" i="50"/>
  <c r="G51" i="50"/>
  <c r="J25" i="50"/>
  <c r="I25" i="50"/>
  <c r="H25" i="50"/>
  <c r="Q25" i="50"/>
  <c r="P25" i="50"/>
  <c r="M25" i="50"/>
  <c r="N25" i="50"/>
  <c r="O25" i="50"/>
  <c r="L25" i="50"/>
  <c r="R25" i="50"/>
  <c r="O14" i="50"/>
  <c r="N14" i="50"/>
  <c r="L14" i="50"/>
  <c r="R14" i="50"/>
  <c r="R46" i="50" s="1"/>
  <c r="Q14" i="50"/>
  <c r="Q46" i="50" s="1"/>
  <c r="P14" i="50"/>
  <c r="M14" i="50"/>
  <c r="K14" i="50"/>
  <c r="J14" i="50"/>
  <c r="O26" i="50"/>
  <c r="N26" i="50"/>
  <c r="M26" i="50"/>
  <c r="L26" i="50"/>
  <c r="H14" i="50"/>
  <c r="J19" i="50"/>
  <c r="H26" i="50"/>
  <c r="I14" i="50"/>
  <c r="O19" i="50"/>
  <c r="I26" i="50"/>
  <c r="P19" i="50"/>
  <c r="P77" i="50" s="1"/>
  <c r="J26" i="50"/>
  <c r="K26" i="50"/>
  <c r="G92" i="50"/>
  <c r="N74" i="50"/>
  <c r="N92" i="50" s="1"/>
  <c r="M74" i="50"/>
  <c r="M92" i="50" s="1"/>
  <c r="L74" i="50"/>
  <c r="L92" i="50" s="1"/>
  <c r="K74" i="50"/>
  <c r="K92" i="50" s="1"/>
  <c r="J74" i="50"/>
  <c r="J92" i="50" s="1"/>
  <c r="I74" i="50"/>
  <c r="I92" i="50" s="1"/>
  <c r="G80" i="50"/>
  <c r="R74" i="50"/>
  <c r="R92" i="50" s="1"/>
  <c r="G89" i="50"/>
  <c r="N19" i="50"/>
  <c r="N77" i="50" s="1"/>
  <c r="M19" i="50"/>
  <c r="M77" i="50" s="1"/>
  <c r="L19" i="50"/>
  <c r="K19" i="50"/>
  <c r="I77" i="50"/>
  <c r="R19" i="50"/>
  <c r="J80" i="50"/>
  <c r="P26" i="50"/>
  <c r="K35" i="50"/>
  <c r="J35" i="50"/>
  <c r="I35" i="50"/>
  <c r="H35" i="50"/>
  <c r="Q35" i="50"/>
  <c r="R35" i="50"/>
  <c r="H74" i="50"/>
  <c r="H80" i="50" s="1"/>
  <c r="G78" i="50"/>
  <c r="Q20" i="50"/>
  <c r="P20" i="50"/>
  <c r="P78" i="50" s="1"/>
  <c r="O20" i="50"/>
  <c r="O78" i="50" s="1"/>
  <c r="N20" i="50"/>
  <c r="N78" i="50" s="1"/>
  <c r="O36" i="50"/>
  <c r="N36" i="50"/>
  <c r="M36" i="50"/>
  <c r="L36" i="50"/>
  <c r="I78" i="50"/>
  <c r="J20" i="50"/>
  <c r="J78" i="50" s="1"/>
  <c r="F22" i="50"/>
  <c r="I36" i="50"/>
  <c r="H36" i="50"/>
  <c r="K13" i="50"/>
  <c r="J13" i="50"/>
  <c r="J45" i="50" s="1"/>
  <c r="G45" i="50"/>
  <c r="H13" i="50"/>
  <c r="K20" i="50"/>
  <c r="K29" i="50"/>
  <c r="J29" i="50"/>
  <c r="I29" i="50"/>
  <c r="H29" i="50"/>
  <c r="J36" i="50"/>
  <c r="I13" i="50"/>
  <c r="I45" i="50" s="1"/>
  <c r="L20" i="50"/>
  <c r="L78" i="50" s="1"/>
  <c r="L29" i="50"/>
  <c r="K36" i="50"/>
  <c r="F56" i="50"/>
  <c r="R70" i="50"/>
  <c r="R88" i="50" s="1"/>
  <c r="Q70" i="50"/>
  <c r="Q88" i="50" s="1"/>
  <c r="P70" i="50"/>
  <c r="P88" i="50" s="1"/>
  <c r="O70" i="50"/>
  <c r="O88" i="50" s="1"/>
  <c r="G88" i="50"/>
  <c r="N70" i="50"/>
  <c r="N88" i="50" s="1"/>
  <c r="M70" i="50"/>
  <c r="M88" i="50" s="1"/>
  <c r="I57" i="50"/>
  <c r="F57" i="50" s="1"/>
  <c r="H63" i="50"/>
  <c r="F72" i="50"/>
  <c r="F90" i="50" s="1"/>
  <c r="I73" i="50"/>
  <c r="I63" i="50"/>
  <c r="J73" i="50"/>
  <c r="J91" i="50" s="1"/>
  <c r="G2" i="9"/>
  <c r="G11" i="9"/>
  <c r="L45" i="50" l="1"/>
  <c r="L44" i="50"/>
  <c r="K44" i="50"/>
  <c r="F56" i="52"/>
  <c r="F74" i="51"/>
  <c r="F92" i="51" s="1"/>
  <c r="F57" i="51"/>
  <c r="F58" i="51"/>
  <c r="F73" i="52"/>
  <c r="F91" i="52" s="1"/>
  <c r="F74" i="52"/>
  <c r="F92" i="52" s="1"/>
  <c r="F57" i="52"/>
  <c r="F63" i="50"/>
  <c r="F71" i="50"/>
  <c r="F89" i="50" s="1"/>
  <c r="N76" i="50"/>
  <c r="K80" i="50"/>
  <c r="L80" i="50"/>
  <c r="M76" i="50"/>
  <c r="K47" i="50"/>
  <c r="K78" i="50"/>
  <c r="Q78" i="50"/>
  <c r="I76" i="50"/>
  <c r="N80" i="50"/>
  <c r="J47" i="50"/>
  <c r="N47" i="50"/>
  <c r="N51" i="50"/>
  <c r="K45" i="50"/>
  <c r="H45" i="50"/>
  <c r="M46" i="50"/>
  <c r="P46" i="50"/>
  <c r="P51" i="50"/>
  <c r="M44" i="50"/>
  <c r="H51" i="50"/>
  <c r="R44" i="50"/>
  <c r="I44" i="50"/>
  <c r="H88" i="52"/>
  <c r="F70" i="52"/>
  <c r="F88" i="52" s="1"/>
  <c r="Q88" i="52"/>
  <c r="R88" i="52"/>
  <c r="M90" i="52"/>
  <c r="I91" i="52"/>
  <c r="F71" i="52"/>
  <c r="F89" i="52" s="1"/>
  <c r="L88" i="52"/>
  <c r="O89" i="52"/>
  <c r="F72" i="52"/>
  <c r="F90" i="52" s="1"/>
  <c r="H89" i="51"/>
  <c r="F71" i="51"/>
  <c r="F89" i="51" s="1"/>
  <c r="H91" i="51"/>
  <c r="F73" i="51"/>
  <c r="F91" i="51" s="1"/>
  <c r="N90" i="51"/>
  <c r="H88" i="51"/>
  <c r="F70" i="51"/>
  <c r="F88" i="51" s="1"/>
  <c r="F56" i="51"/>
  <c r="F72" i="51"/>
  <c r="F90" i="51" s="1"/>
  <c r="H90" i="51"/>
  <c r="P76" i="50"/>
  <c r="P44" i="50"/>
  <c r="F73" i="50"/>
  <c r="F91" i="50" s="1"/>
  <c r="I91" i="50"/>
  <c r="J46" i="50"/>
  <c r="J51" i="50"/>
  <c r="R80" i="50"/>
  <c r="H78" i="50"/>
  <c r="F20" i="50"/>
  <c r="F78" i="50" s="1"/>
  <c r="R51" i="50"/>
  <c r="R76" i="50"/>
  <c r="N44" i="50"/>
  <c r="I79" i="50"/>
  <c r="G49" i="50"/>
  <c r="O47" i="50"/>
  <c r="H92" i="50"/>
  <c r="F74" i="50"/>
  <c r="F92" i="50" s="1"/>
  <c r="N46" i="50"/>
  <c r="F70" i="50"/>
  <c r="F88" i="50" s="1"/>
  <c r="H79" i="50"/>
  <c r="F21" i="50"/>
  <c r="F79" i="50" s="1"/>
  <c r="K76" i="50"/>
  <c r="M45" i="50"/>
  <c r="J44" i="50"/>
  <c r="I51" i="50"/>
  <c r="O76" i="50"/>
  <c r="O44" i="50"/>
  <c r="O51" i="50"/>
  <c r="R77" i="50"/>
  <c r="R45" i="50"/>
  <c r="K46" i="50"/>
  <c r="K51" i="50"/>
  <c r="H76" i="50"/>
  <c r="F18" i="50"/>
  <c r="F76" i="50" s="1"/>
  <c r="F48" i="50"/>
  <c r="J77" i="50"/>
  <c r="K77" i="50"/>
  <c r="O77" i="50"/>
  <c r="O45" i="50"/>
  <c r="H46" i="50"/>
  <c r="O46" i="50"/>
  <c r="L51" i="50"/>
  <c r="L76" i="50"/>
  <c r="Q79" i="50"/>
  <c r="Q47" i="50"/>
  <c r="P47" i="50"/>
  <c r="H44" i="50"/>
  <c r="M51" i="50"/>
  <c r="I80" i="50"/>
  <c r="Q76" i="50"/>
  <c r="Q44" i="50"/>
  <c r="Q51" i="50"/>
  <c r="F19" i="50"/>
  <c r="F77" i="50" s="1"/>
  <c r="H77" i="50"/>
  <c r="J79" i="50"/>
  <c r="P45" i="50"/>
  <c r="L46" i="50"/>
  <c r="L77" i="50"/>
  <c r="I46" i="50"/>
  <c r="F58" i="50"/>
  <c r="R79" i="50"/>
  <c r="R47" i="50"/>
  <c r="N45" i="50"/>
  <c r="M80" i="50"/>
  <c r="J10" i="9"/>
  <c r="J9" i="9"/>
  <c r="J8" i="9"/>
  <c r="J7" i="9"/>
  <c r="J6" i="9"/>
  <c r="J5" i="9"/>
  <c r="J2" i="9" s="1"/>
  <c r="K1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4" i="9"/>
  <c r="L49" i="50" l="1"/>
  <c r="L59" i="50" s="1"/>
  <c r="G60" i="50"/>
  <c r="G59" i="50"/>
  <c r="K49" i="50"/>
  <c r="R49" i="50"/>
  <c r="N49" i="50"/>
  <c r="I49" i="50"/>
  <c r="F45" i="50"/>
  <c r="F47" i="50"/>
  <c r="F51" i="50"/>
  <c r="P49" i="50"/>
  <c r="M49" i="50"/>
  <c r="O49" i="50"/>
  <c r="F80" i="50"/>
  <c r="F46" i="50"/>
  <c r="F44" i="50"/>
  <c r="J49" i="50"/>
  <c r="H49" i="50"/>
  <c r="Q49" i="50"/>
  <c r="I2" i="9"/>
  <c r="K11" i="53" l="1"/>
  <c r="K120" i="53" s="1"/>
  <c r="L60" i="50"/>
  <c r="J60" i="50"/>
  <c r="J59" i="50"/>
  <c r="I11" i="53"/>
  <c r="N60" i="50"/>
  <c r="N59" i="50"/>
  <c r="M11" i="53"/>
  <c r="R59" i="50"/>
  <c r="R60" i="50"/>
  <c r="Q11" i="53"/>
  <c r="Q59" i="50"/>
  <c r="Q60" i="50"/>
  <c r="P11" i="53"/>
  <c r="O60" i="50"/>
  <c r="O59" i="50"/>
  <c r="N11" i="53"/>
  <c r="M60" i="50"/>
  <c r="M59" i="50"/>
  <c r="L11" i="53"/>
  <c r="K60" i="50"/>
  <c r="K59" i="50"/>
  <c r="J11" i="53"/>
  <c r="P60" i="50"/>
  <c r="P59" i="50"/>
  <c r="O11" i="53"/>
  <c r="H60" i="50"/>
  <c r="H59" i="50"/>
  <c r="I59" i="50"/>
  <c r="I60" i="50"/>
  <c r="H11" i="53"/>
  <c r="H120" i="53" s="1"/>
  <c r="F49" i="50"/>
  <c r="G107" i="35"/>
  <c r="H107" i="35"/>
  <c r="I107" i="35"/>
  <c r="J107" i="35"/>
  <c r="K107" i="35"/>
  <c r="L107" i="35"/>
  <c r="M107" i="35"/>
  <c r="M108" i="35"/>
  <c r="G109" i="35"/>
  <c r="J109" i="35"/>
  <c r="K109" i="35"/>
  <c r="L109" i="35"/>
  <c r="M109" i="35"/>
  <c r="M110" i="35"/>
  <c r="G121" i="35"/>
  <c r="H121" i="35"/>
  <c r="J121" i="35"/>
  <c r="K121" i="35"/>
  <c r="L121" i="35"/>
  <c r="M121" i="35"/>
  <c r="N121" i="35"/>
  <c r="G122" i="35"/>
  <c r="J122" i="35"/>
  <c r="N122" i="35"/>
  <c r="G123" i="35"/>
  <c r="I123" i="35"/>
  <c r="J123" i="35"/>
  <c r="K123" i="35"/>
  <c r="L123" i="35"/>
  <c r="M123" i="35"/>
  <c r="N123" i="35"/>
  <c r="G124" i="35"/>
  <c r="J124" i="35"/>
  <c r="N124" i="35"/>
  <c r="G134" i="35"/>
  <c r="H134" i="35"/>
  <c r="I134" i="35"/>
  <c r="J134" i="35"/>
  <c r="K134" i="35"/>
  <c r="L134" i="35"/>
  <c r="M134" i="35"/>
  <c r="N134" i="35"/>
  <c r="H135" i="35"/>
  <c r="I135" i="35"/>
  <c r="J135" i="35"/>
  <c r="M135" i="35"/>
  <c r="N135" i="35"/>
  <c r="G136" i="35"/>
  <c r="H136" i="35"/>
  <c r="I136" i="35"/>
  <c r="J136" i="35"/>
  <c r="M136" i="35"/>
  <c r="N136" i="35"/>
  <c r="G137" i="35"/>
  <c r="H137" i="35"/>
  <c r="I137" i="35"/>
  <c r="J137" i="35"/>
  <c r="M137" i="35"/>
  <c r="N137" i="35"/>
  <c r="G141" i="35"/>
  <c r="H141" i="35"/>
  <c r="I141" i="35"/>
  <c r="J141" i="35"/>
  <c r="K141" i="35"/>
  <c r="L141" i="35"/>
  <c r="M141" i="35"/>
  <c r="N141" i="35"/>
  <c r="O143" i="35"/>
  <c r="G144" i="35"/>
  <c r="H144" i="35"/>
  <c r="I144" i="35"/>
  <c r="J144" i="35"/>
  <c r="K144" i="35"/>
  <c r="L144" i="35"/>
  <c r="M144" i="35"/>
  <c r="N144" i="35"/>
  <c r="G148" i="35"/>
  <c r="H148" i="35"/>
  <c r="I148" i="35"/>
  <c r="J148" i="35"/>
  <c r="K148" i="35"/>
  <c r="L148" i="35"/>
  <c r="M148" i="35"/>
  <c r="N148" i="35"/>
  <c r="O148" i="35"/>
  <c r="F144" i="35"/>
  <c r="F137" i="35"/>
  <c r="F136" i="35"/>
  <c r="F135" i="35"/>
  <c r="F124" i="35"/>
  <c r="F123" i="35"/>
  <c r="F122" i="35"/>
  <c r="F110" i="35"/>
  <c r="F109" i="35"/>
  <c r="F108" i="35"/>
  <c r="F143" i="35"/>
  <c r="N83" i="35"/>
  <c r="N107" i="35" l="1"/>
  <c r="P120" i="53"/>
  <c r="O120" i="53"/>
  <c r="N120" i="53"/>
  <c r="F59" i="50"/>
  <c r="Q120" i="53"/>
  <c r="J120" i="53"/>
  <c r="M120" i="53"/>
  <c r="L120" i="53"/>
  <c r="I120" i="53"/>
  <c r="R11" i="53"/>
  <c r="R120" i="53" s="1"/>
  <c r="O80" i="35"/>
  <c r="O145" i="35" s="1"/>
  <c r="N80" i="35"/>
  <c r="N34" i="35" s="1"/>
  <c r="M80" i="35"/>
  <c r="M33" i="35" s="1"/>
  <c r="L80" i="35"/>
  <c r="L33" i="35" s="1"/>
  <c r="K80" i="35"/>
  <c r="K34" i="35" s="1"/>
  <c r="J80" i="35"/>
  <c r="J33" i="35" s="1"/>
  <c r="I80" i="35"/>
  <c r="H80" i="35"/>
  <c r="G80" i="35"/>
  <c r="F80" i="35"/>
  <c r="K24" i="35"/>
  <c r="K23" i="35"/>
  <c r="F111" i="35" l="1"/>
  <c r="F125" i="35"/>
  <c r="M34" i="35"/>
  <c r="N32" i="35"/>
  <c r="F138" i="35"/>
  <c r="F152" i="35"/>
  <c r="G31" i="35"/>
  <c r="G111" i="35"/>
  <c r="G138" i="35"/>
  <c r="H32" i="35"/>
  <c r="H111" i="35"/>
  <c r="I32" i="35"/>
  <c r="I111" i="35"/>
  <c r="J31" i="35"/>
  <c r="J111" i="35"/>
  <c r="K152" i="35"/>
  <c r="K153" i="35" s="1"/>
  <c r="K138" i="35"/>
  <c r="K111" i="35"/>
  <c r="L111" i="35"/>
  <c r="L138" i="35"/>
  <c r="M30" i="35"/>
  <c r="N33" i="35"/>
  <c r="N111" i="35"/>
  <c r="O34" i="35"/>
  <c r="O111" i="35"/>
  <c r="O138" i="35"/>
  <c r="L34" i="35"/>
  <c r="K33" i="35"/>
  <c r="G33" i="35"/>
  <c r="I33" i="35"/>
  <c r="H33" i="35"/>
  <c r="M32" i="35"/>
  <c r="J32" i="35"/>
  <c r="J34" i="35"/>
  <c r="H34" i="35"/>
  <c r="N31" i="35"/>
  <c r="I34" i="35"/>
  <c r="G34" i="35"/>
  <c r="M89" i="46" l="1"/>
  <c r="N90" i="46"/>
  <c r="L93" i="46"/>
  <c r="M93" i="46"/>
  <c r="N93" i="46"/>
  <c r="M83" i="46"/>
  <c r="G84" i="46"/>
  <c r="J84" i="46"/>
  <c r="N84" i="46"/>
  <c r="H85" i="46"/>
  <c r="I85" i="46"/>
  <c r="J85" i="46"/>
  <c r="M85" i="46"/>
  <c r="N85" i="46"/>
  <c r="G86" i="46"/>
  <c r="H86" i="46"/>
  <c r="L86" i="46"/>
  <c r="M86" i="46"/>
  <c r="N86" i="46"/>
  <c r="G87" i="46"/>
  <c r="H87" i="46"/>
  <c r="I87" i="46"/>
  <c r="J87" i="46"/>
  <c r="L87" i="46"/>
  <c r="M87" i="46"/>
  <c r="N87" i="46"/>
  <c r="G77" i="46"/>
  <c r="H77" i="46"/>
  <c r="I77" i="46"/>
  <c r="J77" i="46"/>
  <c r="K77" i="46"/>
  <c r="L77" i="46"/>
  <c r="N77" i="46"/>
  <c r="H78" i="46"/>
  <c r="I78" i="46"/>
  <c r="K78" i="46"/>
  <c r="L78" i="46"/>
  <c r="M78" i="46"/>
  <c r="G79" i="46"/>
  <c r="K79" i="46"/>
  <c r="L79" i="46"/>
  <c r="I80" i="46"/>
  <c r="J80" i="46"/>
  <c r="K80" i="46"/>
  <c r="K81" i="46"/>
  <c r="F81" i="46"/>
  <c r="F80" i="46"/>
  <c r="F79" i="46"/>
  <c r="F78" i="46"/>
  <c r="F77" i="46"/>
  <c r="S14" i="44"/>
  <c r="R14" i="44"/>
  <c r="S54" i="16"/>
  <c r="S53" i="16"/>
  <c r="S52" i="16"/>
  <c r="S74" i="13"/>
  <c r="S73" i="13"/>
  <c r="S72" i="13"/>
  <c r="S71" i="13"/>
  <c r="S64" i="13"/>
  <c r="R64" i="13"/>
  <c r="T64" i="13" s="1"/>
  <c r="S63" i="13"/>
  <c r="R63" i="13"/>
  <c r="T63" i="13" s="1"/>
  <c r="S62" i="13"/>
  <c r="R62" i="13"/>
  <c r="S96" i="12"/>
  <c r="R96" i="12"/>
  <c r="T96" i="12" s="1"/>
  <c r="S95" i="12"/>
  <c r="R95" i="12"/>
  <c r="T95" i="12" s="1"/>
  <c r="S94" i="12"/>
  <c r="R94" i="12"/>
  <c r="T94" i="12" s="1"/>
  <c r="S99" i="11"/>
  <c r="S98" i="11"/>
  <c r="S95" i="11"/>
  <c r="R95" i="11"/>
  <c r="T95" i="11" s="1"/>
  <c r="S94" i="11"/>
  <c r="R94" i="11"/>
  <c r="T94" i="11" s="1"/>
  <c r="C6" i="9"/>
  <c r="C7" i="9"/>
  <c r="C8" i="9"/>
  <c r="C5" i="9"/>
  <c r="S100" i="7"/>
  <c r="S96" i="7"/>
  <c r="S97" i="7"/>
  <c r="S98" i="7"/>
  <c r="S99" i="7"/>
  <c r="S95" i="7"/>
  <c r="R39" i="45"/>
  <c r="O53" i="46" s="1"/>
  <c r="H64" i="46" l="1"/>
  <c r="H83" i="46" s="1"/>
  <c r="T14" i="44"/>
  <c r="H65" i="46"/>
  <c r="H84" i="46" s="1"/>
  <c r="I64" i="46"/>
  <c r="I83" i="46" s="1"/>
  <c r="I65" i="46"/>
  <c r="I84" i="46" s="1"/>
  <c r="I67" i="46"/>
  <c r="I86" i="46" s="1"/>
  <c r="G64" i="46"/>
  <c r="G83" i="46" s="1"/>
  <c r="T62" i="13"/>
  <c r="G66" i="46"/>
  <c r="G85" i="46" s="1"/>
  <c r="N64" i="46"/>
  <c r="N83" i="46"/>
  <c r="R13" i="45" l="1"/>
  <c r="P47" i="46" l="1"/>
  <c r="N53" i="46"/>
  <c r="S45" i="44"/>
  <c r="R45" i="44"/>
  <c r="S44" i="44"/>
  <c r="R44" i="44"/>
  <c r="N50" i="46"/>
  <c r="N34" i="46"/>
  <c r="M52" i="46"/>
  <c r="M50" i="46"/>
  <c r="S35" i="17"/>
  <c r="S34" i="17"/>
  <c r="S33" i="17"/>
  <c r="S32" i="17"/>
  <c r="R32" i="17"/>
  <c r="T32" i="17" s="1"/>
  <c r="T31" i="17"/>
  <c r="S31" i="17"/>
  <c r="R31" i="17"/>
  <c r="S30" i="17"/>
  <c r="S29" i="17"/>
  <c r="R29" i="17"/>
  <c r="S28" i="17"/>
  <c r="S27" i="17"/>
  <c r="R27" i="17"/>
  <c r="L53" i="46"/>
  <c r="S42" i="16"/>
  <c r="R42" i="16"/>
  <c r="K53" i="46"/>
  <c r="S47" i="15"/>
  <c r="R47" i="15"/>
  <c r="T47" i="15" s="1"/>
  <c r="S30" i="24"/>
  <c r="R30" i="24"/>
  <c r="T30" i="24" s="1"/>
  <c r="S30" i="15"/>
  <c r="R30" i="15"/>
  <c r="K25" i="46" s="1"/>
  <c r="S38" i="24"/>
  <c r="R38" i="24"/>
  <c r="S48" i="44"/>
  <c r="S47" i="44"/>
  <c r="S46" i="44"/>
  <c r="S31" i="44"/>
  <c r="R31" i="44"/>
  <c r="T31" i="44" s="1"/>
  <c r="G41" i="16"/>
  <c r="F41" i="16"/>
  <c r="S45" i="16"/>
  <c r="S44" i="16"/>
  <c r="V21" i="16"/>
  <c r="U21" i="16"/>
  <c r="V20" i="16"/>
  <c r="U20" i="16"/>
  <c r="V19" i="16"/>
  <c r="U19" i="16"/>
  <c r="V18" i="16"/>
  <c r="U18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S43" i="16"/>
  <c r="S34" i="16"/>
  <c r="V34" i="16" s="1"/>
  <c r="S16" i="16"/>
  <c r="V38" i="16" s="1"/>
  <c r="S50" i="15"/>
  <c r="S49" i="15"/>
  <c r="H45" i="15"/>
  <c r="G45" i="15"/>
  <c r="F45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S44" i="15"/>
  <c r="S43" i="15"/>
  <c r="S42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G5" i="15"/>
  <c r="H35" i="15"/>
  <c r="S16" i="15"/>
  <c r="V42" i="16" l="1"/>
  <c r="J34" i="46"/>
  <c r="V45" i="16"/>
  <c r="M53" i="46"/>
  <c r="T38" i="24"/>
  <c r="T45" i="44"/>
  <c r="T44" i="44"/>
  <c r="N28" i="46"/>
  <c r="T29" i="17"/>
  <c r="T27" i="17"/>
  <c r="T42" i="16"/>
  <c r="V16" i="16"/>
  <c r="V39" i="16"/>
  <c r="V40" i="16"/>
  <c r="V44" i="16"/>
  <c r="V28" i="16"/>
  <c r="V43" i="16"/>
  <c r="V17" i="16"/>
  <c r="V29" i="16"/>
  <c r="P41" i="15"/>
  <c r="R44" i="15"/>
  <c r="T44" i="15" s="1"/>
  <c r="L41" i="15"/>
  <c r="N41" i="15"/>
  <c r="J41" i="15"/>
  <c r="K41" i="15"/>
  <c r="R43" i="15"/>
  <c r="T43" i="15" s="1"/>
  <c r="T30" i="15"/>
  <c r="G41" i="15"/>
  <c r="H41" i="15"/>
  <c r="I41" i="15"/>
  <c r="O41" i="15"/>
  <c r="F41" i="15"/>
  <c r="M41" i="15"/>
  <c r="Q41" i="15"/>
  <c r="J53" i="46"/>
  <c r="R42" i="15"/>
  <c r="T42" i="15" s="1"/>
  <c r="F37" i="16"/>
  <c r="G37" i="16"/>
  <c r="H37" i="16"/>
  <c r="I37" i="16"/>
  <c r="J37" i="16"/>
  <c r="K37" i="16"/>
  <c r="O37" i="16"/>
  <c r="L37" i="16"/>
  <c r="P37" i="16"/>
  <c r="M37" i="16"/>
  <c r="N37" i="16"/>
  <c r="Q37" i="16"/>
  <c r="Q19" i="15"/>
  <c r="P19" i="15"/>
  <c r="O19" i="15"/>
  <c r="N19" i="15"/>
  <c r="M19" i="15"/>
  <c r="L19" i="15"/>
  <c r="K19" i="15"/>
  <c r="J19" i="15"/>
  <c r="I19" i="15"/>
  <c r="H19" i="15"/>
  <c r="G19" i="15"/>
  <c r="F19" i="15"/>
  <c r="R33" i="15"/>
  <c r="K28" i="46" s="1"/>
  <c r="S33" i="15"/>
  <c r="S39" i="24"/>
  <c r="S37" i="24"/>
  <c r="S36" i="24"/>
  <c r="S35" i="24"/>
  <c r="S43" i="24"/>
  <c r="R43" i="24"/>
  <c r="S42" i="24"/>
  <c r="R42" i="24"/>
  <c r="S41" i="24"/>
  <c r="S40" i="24"/>
  <c r="K46" i="24"/>
  <c r="L46" i="24"/>
  <c r="M46" i="24"/>
  <c r="N46" i="24"/>
  <c r="O46" i="24"/>
  <c r="P46" i="24"/>
  <c r="Q46" i="24"/>
  <c r="X46" i="24"/>
  <c r="X47" i="24"/>
  <c r="R50" i="24"/>
  <c r="R51" i="24"/>
  <c r="J67" i="46" s="1"/>
  <c r="J86" i="46" s="1"/>
  <c r="K53" i="24"/>
  <c r="L53" i="24"/>
  <c r="M53" i="24"/>
  <c r="N53" i="24"/>
  <c r="O53" i="24"/>
  <c r="P53" i="24"/>
  <c r="Q53" i="24"/>
  <c r="N54" i="24"/>
  <c r="O54" i="24"/>
  <c r="P54" i="24"/>
  <c r="Q54" i="24"/>
  <c r="K57" i="24"/>
  <c r="K60" i="24" s="1"/>
  <c r="L57" i="24"/>
  <c r="L60" i="24" s="1"/>
  <c r="M57" i="24"/>
  <c r="M60" i="24" s="1"/>
  <c r="N57" i="24"/>
  <c r="N60" i="24" s="1"/>
  <c r="O57" i="24"/>
  <c r="O60" i="24" s="1"/>
  <c r="P57" i="24"/>
  <c r="P60" i="24" s="1"/>
  <c r="Q57" i="24"/>
  <c r="Q60" i="24" s="1"/>
  <c r="R58" i="24"/>
  <c r="T58" i="24" s="1"/>
  <c r="N61" i="24"/>
  <c r="O61" i="24"/>
  <c r="P61" i="24"/>
  <c r="Q61" i="24"/>
  <c r="J33" i="24"/>
  <c r="J39" i="24" s="1"/>
  <c r="I33" i="24"/>
  <c r="I39" i="24" s="1"/>
  <c r="H33" i="24"/>
  <c r="H39" i="24" s="1"/>
  <c r="G33" i="24"/>
  <c r="G39" i="24" s="1"/>
  <c r="G41" i="24" s="1"/>
  <c r="F33" i="24"/>
  <c r="F39" i="24" s="1"/>
  <c r="F40" i="24" s="1"/>
  <c r="R40" i="24" s="1"/>
  <c r="J55" i="46" s="1"/>
  <c r="S26" i="24"/>
  <c r="Q26" i="24"/>
  <c r="P26" i="24"/>
  <c r="O26" i="24"/>
  <c r="N26" i="24"/>
  <c r="M26" i="24"/>
  <c r="L26" i="24"/>
  <c r="K26" i="24"/>
  <c r="R23" i="24"/>
  <c r="J25" i="46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V51" i="13"/>
  <c r="V17" i="13"/>
  <c r="V16" i="13"/>
  <c r="V15" i="13"/>
  <c r="S25" i="13"/>
  <c r="V25" i="13" s="1"/>
  <c r="R25" i="13"/>
  <c r="T25" i="13" s="1"/>
  <c r="S24" i="13"/>
  <c r="V24" i="13" s="1"/>
  <c r="R24" i="13"/>
  <c r="T24" i="13" s="1"/>
  <c r="S23" i="13"/>
  <c r="R23" i="13"/>
  <c r="S22" i="13"/>
  <c r="V22" i="13" s="1"/>
  <c r="R22" i="13"/>
  <c r="S21" i="13"/>
  <c r="Q21" i="13"/>
  <c r="Q20" i="13" s="1"/>
  <c r="P21" i="13"/>
  <c r="P20" i="13" s="1"/>
  <c r="O21" i="13"/>
  <c r="O20" i="13" s="1"/>
  <c r="N21" i="13"/>
  <c r="N20" i="13" s="1"/>
  <c r="M21" i="13"/>
  <c r="M20" i="13" s="1"/>
  <c r="L21" i="13"/>
  <c r="L20" i="13" s="1"/>
  <c r="K21" i="13"/>
  <c r="K20" i="13" s="1"/>
  <c r="J21" i="13"/>
  <c r="I21" i="13"/>
  <c r="I20" i="13" s="1"/>
  <c r="H21" i="13"/>
  <c r="H20" i="13" s="1"/>
  <c r="G21" i="13"/>
  <c r="G20" i="13" s="1"/>
  <c r="F21" i="13"/>
  <c r="F20" i="13" s="1"/>
  <c r="S57" i="13"/>
  <c r="R57" i="13"/>
  <c r="S56" i="13"/>
  <c r="R56" i="13"/>
  <c r="S55" i="13"/>
  <c r="S54" i="13"/>
  <c r="V54" i="13" s="1"/>
  <c r="S53" i="13"/>
  <c r="V53" i="13" s="1"/>
  <c r="S52" i="13"/>
  <c r="V52" i="13" s="1"/>
  <c r="S51" i="13"/>
  <c r="R51" i="13"/>
  <c r="S50" i="13"/>
  <c r="V50" i="13" s="1"/>
  <c r="R50" i="13"/>
  <c r="S49" i="13"/>
  <c r="V49" i="13" s="1"/>
  <c r="S48" i="13"/>
  <c r="V48" i="13" s="1"/>
  <c r="S47" i="13"/>
  <c r="S46" i="13"/>
  <c r="S45" i="13"/>
  <c r="R45" i="13"/>
  <c r="S44" i="13"/>
  <c r="S43" i="13"/>
  <c r="R43" i="13"/>
  <c r="S42" i="13"/>
  <c r="V42" i="13" s="1"/>
  <c r="S41" i="13"/>
  <c r="V41" i="13" s="1"/>
  <c r="S40" i="13"/>
  <c r="V40" i="13" s="1"/>
  <c r="R40" i="13"/>
  <c r="S39" i="13"/>
  <c r="V39" i="13" s="1"/>
  <c r="R39" i="13"/>
  <c r="S38" i="13"/>
  <c r="V38" i="13" s="1"/>
  <c r="R38" i="13"/>
  <c r="S37" i="13"/>
  <c r="S36" i="13"/>
  <c r="S35" i="13"/>
  <c r="V35" i="13" s="1"/>
  <c r="R35" i="13"/>
  <c r="S34" i="13"/>
  <c r="S33" i="13"/>
  <c r="S32" i="13"/>
  <c r="V32" i="13" s="1"/>
  <c r="S31" i="13"/>
  <c r="R31" i="13"/>
  <c r="S30" i="13"/>
  <c r="V30" i="13" s="1"/>
  <c r="S29" i="13"/>
  <c r="V29" i="13" s="1"/>
  <c r="S28" i="13"/>
  <c r="V28" i="13" s="1"/>
  <c r="S27" i="13"/>
  <c r="V27" i="13" s="1"/>
  <c r="S20" i="13"/>
  <c r="V20" i="13" s="1"/>
  <c r="S19" i="13"/>
  <c r="V19" i="13" s="1"/>
  <c r="S18" i="13"/>
  <c r="V18" i="13" s="1"/>
  <c r="R18" i="13"/>
  <c r="S17" i="13"/>
  <c r="S16" i="13"/>
  <c r="S15" i="13"/>
  <c r="R15" i="13"/>
  <c r="S14" i="13"/>
  <c r="S13" i="13"/>
  <c r="G20" i="11"/>
  <c r="H20" i="11"/>
  <c r="I20" i="11"/>
  <c r="J20" i="11"/>
  <c r="K20" i="11"/>
  <c r="L20" i="11"/>
  <c r="M20" i="11"/>
  <c r="N20" i="11"/>
  <c r="O20" i="11"/>
  <c r="P20" i="11"/>
  <c r="Q20" i="11"/>
  <c r="F20" i="11"/>
  <c r="S88" i="11"/>
  <c r="R88" i="11"/>
  <c r="S87" i="11"/>
  <c r="R87" i="11"/>
  <c r="S86" i="11"/>
  <c r="R86" i="11"/>
  <c r="S85" i="11"/>
  <c r="R85" i="11"/>
  <c r="S84" i="11"/>
  <c r="R84" i="11"/>
  <c r="S83" i="11"/>
  <c r="R83" i="11"/>
  <c r="S82" i="11"/>
  <c r="R82" i="11"/>
  <c r="S81" i="11"/>
  <c r="R81" i="11"/>
  <c r="S80" i="11"/>
  <c r="R80" i="11"/>
  <c r="S79" i="11"/>
  <c r="R79" i="11"/>
  <c r="S78" i="11"/>
  <c r="R78" i="11"/>
  <c r="S77" i="11"/>
  <c r="R77" i="11"/>
  <c r="S76" i="11"/>
  <c r="R76" i="11"/>
  <c r="S75" i="11"/>
  <c r="R75" i="11"/>
  <c r="S74" i="11"/>
  <c r="R74" i="11"/>
  <c r="S73" i="11"/>
  <c r="R73" i="11"/>
  <c r="S72" i="11"/>
  <c r="R72" i="11"/>
  <c r="S71" i="11"/>
  <c r="R71" i="11"/>
  <c r="S70" i="11"/>
  <c r="R70" i="11"/>
  <c r="S69" i="11"/>
  <c r="R69" i="11"/>
  <c r="S68" i="11"/>
  <c r="R68" i="11"/>
  <c r="S67" i="11"/>
  <c r="S66" i="11"/>
  <c r="R66" i="11"/>
  <c r="S65" i="11"/>
  <c r="S64" i="11"/>
  <c r="R64" i="11"/>
  <c r="S63" i="11"/>
  <c r="R63" i="11"/>
  <c r="S62" i="11"/>
  <c r="R62" i="11"/>
  <c r="S61" i="11"/>
  <c r="R61" i="11"/>
  <c r="S60" i="11"/>
  <c r="R60" i="11"/>
  <c r="S59" i="11"/>
  <c r="R59" i="11"/>
  <c r="S58" i="11"/>
  <c r="R58" i="11"/>
  <c r="S57" i="11"/>
  <c r="R57" i="11"/>
  <c r="S56" i="11"/>
  <c r="S55" i="11"/>
  <c r="S54" i="11"/>
  <c r="S53" i="11"/>
  <c r="S52" i="11"/>
  <c r="R52" i="11"/>
  <c r="S51" i="11"/>
  <c r="R51" i="11"/>
  <c r="G52" i="46" s="1"/>
  <c r="S50" i="11"/>
  <c r="S49" i="11"/>
  <c r="S48" i="11"/>
  <c r="S47" i="11"/>
  <c r="S46" i="11"/>
  <c r="S45" i="11"/>
  <c r="S44" i="11"/>
  <c r="R44" i="11"/>
  <c r="S43" i="11"/>
  <c r="R43" i="11"/>
  <c r="S42" i="11"/>
  <c r="S41" i="11"/>
  <c r="S40" i="11"/>
  <c r="R40" i="11"/>
  <c r="S39" i="11"/>
  <c r="R39" i="11"/>
  <c r="S38" i="11"/>
  <c r="R38" i="11"/>
  <c r="S37" i="11"/>
  <c r="S36" i="11"/>
  <c r="S35" i="11"/>
  <c r="R35" i="11"/>
  <c r="S34" i="11"/>
  <c r="S33" i="11"/>
  <c r="S32" i="11"/>
  <c r="S31" i="11"/>
  <c r="S30" i="11"/>
  <c r="S29" i="11"/>
  <c r="S28" i="11"/>
  <c r="S27" i="11"/>
  <c r="R27" i="11"/>
  <c r="S20" i="11"/>
  <c r="S19" i="11"/>
  <c r="S18" i="11"/>
  <c r="R18" i="11"/>
  <c r="S17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G4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T23" i="13" l="1"/>
  <c r="V31" i="13"/>
  <c r="V43" i="13"/>
  <c r="T52" i="11"/>
  <c r="G53" i="46"/>
  <c r="V14" i="13"/>
  <c r="V33" i="13"/>
  <c r="V44" i="13"/>
  <c r="V56" i="13"/>
  <c r="W24" i="13"/>
  <c r="T50" i="24"/>
  <c r="J64" i="46"/>
  <c r="T51" i="13"/>
  <c r="I53" i="46"/>
  <c r="V55" i="13"/>
  <c r="V23" i="13"/>
  <c r="V13" i="13"/>
  <c r="T15" i="13"/>
  <c r="V34" i="13"/>
  <c r="T50" i="13"/>
  <c r="I52" i="46"/>
  <c r="V45" i="13"/>
  <c r="T64" i="11"/>
  <c r="T73" i="11"/>
  <c r="T81" i="11"/>
  <c r="V46" i="13"/>
  <c r="R21" i="13"/>
  <c r="T21" i="13" s="1"/>
  <c r="V47" i="13"/>
  <c r="R61" i="24"/>
  <c r="R57" i="24"/>
  <c r="T57" i="24" s="1"/>
  <c r="T33" i="15"/>
  <c r="T40" i="24"/>
  <c r="T43" i="24"/>
  <c r="F41" i="24"/>
  <c r="T42" i="24"/>
  <c r="V57" i="13"/>
  <c r="V36" i="13"/>
  <c r="V37" i="13"/>
  <c r="T38" i="13"/>
  <c r="J20" i="13"/>
  <c r="R20" i="13" s="1"/>
  <c r="R37" i="13"/>
  <c r="T37" i="13" s="1"/>
  <c r="T40" i="13"/>
  <c r="T22" i="13"/>
  <c r="U24" i="13"/>
  <c r="T51" i="24"/>
  <c r="R26" i="24"/>
  <c r="J28" i="46" s="1"/>
  <c r="T31" i="13"/>
  <c r="T18" i="13"/>
  <c r="T43" i="13"/>
  <c r="T57" i="13"/>
  <c r="T39" i="13"/>
  <c r="T45" i="13"/>
  <c r="T56" i="13"/>
  <c r="T35" i="13"/>
  <c r="T87" i="11"/>
  <c r="T70" i="11"/>
  <c r="T78" i="11"/>
  <c r="T18" i="11"/>
  <c r="T59" i="11"/>
  <c r="T68" i="11"/>
  <c r="T84" i="11"/>
  <c r="V72" i="11"/>
  <c r="V80" i="11"/>
  <c r="V88" i="11"/>
  <c r="T69" i="11"/>
  <c r="V85" i="11"/>
  <c r="V32" i="11"/>
  <c r="T86" i="11"/>
  <c r="T57" i="11"/>
  <c r="T74" i="11"/>
  <c r="V39" i="11"/>
  <c r="T35" i="11"/>
  <c r="V34" i="11"/>
  <c r="V37" i="11"/>
  <c r="V65" i="11"/>
  <c r="V82" i="11"/>
  <c r="V36" i="11"/>
  <c r="V20" i="11"/>
  <c r="T27" i="11"/>
  <c r="T51" i="11"/>
  <c r="T61" i="11"/>
  <c r="R37" i="11"/>
  <c r="T37" i="11" s="1"/>
  <c r="V64" i="11"/>
  <c r="V61" i="11"/>
  <c r="V75" i="11"/>
  <c r="V60" i="11"/>
  <c r="V51" i="11"/>
  <c r="T40" i="11"/>
  <c r="T62" i="11"/>
  <c r="V86" i="11"/>
  <c r="V56" i="11"/>
  <c r="V73" i="11"/>
  <c r="V66" i="11"/>
  <c r="V48" i="11"/>
  <c r="V27" i="11"/>
  <c r="V40" i="11"/>
  <c r="V52" i="11"/>
  <c r="V74" i="11"/>
  <c r="V58" i="11"/>
  <c r="V69" i="11"/>
  <c r="V71" i="11"/>
  <c r="V79" i="11"/>
  <c r="V87" i="11"/>
  <c r="T43" i="11"/>
  <c r="V29" i="11"/>
  <c r="V35" i="11"/>
  <c r="V53" i="11"/>
  <c r="V19" i="11"/>
  <c r="V59" i="11"/>
  <c r="V50" i="11"/>
  <c r="V42" i="11"/>
  <c r="T72" i="11"/>
  <c r="T88" i="11"/>
  <c r="V45" i="11"/>
  <c r="V18" i="11"/>
  <c r="V83" i="11"/>
  <c r="V77" i="11"/>
  <c r="T38" i="11"/>
  <c r="V68" i="11"/>
  <c r="V84" i="11"/>
  <c r="T58" i="11"/>
  <c r="V46" i="11"/>
  <c r="T75" i="11"/>
  <c r="T76" i="11"/>
  <c r="V30" i="11"/>
  <c r="V70" i="11"/>
  <c r="V47" i="11"/>
  <c r="T63" i="11"/>
  <c r="T77" i="11"/>
  <c r="T83" i="11"/>
  <c r="T44" i="11"/>
  <c r="V54" i="11"/>
  <c r="V55" i="11"/>
  <c r="V49" i="11"/>
  <c r="V43" i="11"/>
  <c r="V67" i="11"/>
  <c r="T82" i="11"/>
  <c r="V41" i="11"/>
  <c r="V81" i="11"/>
  <c r="V17" i="11"/>
  <c r="V62" i="11"/>
  <c r="V31" i="11"/>
  <c r="V63" i="11"/>
  <c r="V33" i="11"/>
  <c r="V57" i="11"/>
  <c r="T71" i="11"/>
  <c r="T85" i="11"/>
  <c r="V28" i="11"/>
  <c r="V44" i="11"/>
  <c r="V76" i="11"/>
  <c r="T79" i="11"/>
  <c r="V38" i="11"/>
  <c r="V78" i="11"/>
  <c r="T80" i="11"/>
  <c r="T66" i="11"/>
  <c r="T39" i="11"/>
  <c r="T60" i="11"/>
  <c r="S87" i="12"/>
  <c r="T86" i="12"/>
  <c r="T85" i="12"/>
  <c r="T84" i="12"/>
  <c r="T83" i="12"/>
  <c r="T82" i="12"/>
  <c r="T81" i="12"/>
  <c r="T80" i="12"/>
  <c r="T79" i="12"/>
  <c r="T78" i="12"/>
  <c r="T77" i="12"/>
  <c r="T76" i="12"/>
  <c r="T75" i="12"/>
  <c r="T74" i="12"/>
  <c r="T73" i="12"/>
  <c r="T72" i="12"/>
  <c r="T71" i="12"/>
  <c r="T70" i="12"/>
  <c r="T69" i="12"/>
  <c r="T68" i="12"/>
  <c r="T67" i="12"/>
  <c r="T66" i="12"/>
  <c r="T65" i="12"/>
  <c r="T64" i="12"/>
  <c r="T63" i="12"/>
  <c r="T62" i="12"/>
  <c r="T61" i="12"/>
  <c r="T60" i="12"/>
  <c r="T59" i="12"/>
  <c r="T58" i="12"/>
  <c r="T57" i="12"/>
  <c r="T43" i="12"/>
  <c r="T42" i="12"/>
  <c r="T34" i="12"/>
  <c r="T25" i="12"/>
  <c r="T24" i="12"/>
  <c r="T23" i="12"/>
  <c r="T22" i="12"/>
  <c r="T21" i="12"/>
  <c r="S56" i="12"/>
  <c r="S55" i="12"/>
  <c r="S54" i="12"/>
  <c r="S53" i="12"/>
  <c r="R56" i="12"/>
  <c r="F40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G2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J83" i="46" l="1"/>
  <c r="T60" i="24"/>
  <c r="T26" i="24"/>
  <c r="R60" i="24"/>
  <c r="T20" i="13"/>
  <c r="T61" i="24"/>
  <c r="T56" i="12"/>
  <c r="S19" i="12" l="1"/>
  <c r="S18" i="12"/>
  <c r="V18" i="12" s="1"/>
  <c r="S17" i="12"/>
  <c r="V19" i="12" l="1"/>
  <c r="V72" i="12"/>
  <c r="V34" i="12"/>
  <c r="V68" i="12"/>
  <c r="V86" i="12"/>
  <c r="V57" i="12"/>
  <c r="V73" i="12"/>
  <c r="V64" i="12"/>
  <c r="V58" i="12"/>
  <c r="V74" i="12"/>
  <c r="V79" i="12"/>
  <c r="V66" i="12"/>
  <c r="V82" i="12"/>
  <c r="V59" i="12"/>
  <c r="V75" i="12"/>
  <c r="V60" i="12"/>
  <c r="V76" i="12"/>
  <c r="V61" i="12"/>
  <c r="V62" i="12"/>
  <c r="V63" i="12"/>
  <c r="V83" i="12"/>
  <c r="V42" i="12"/>
  <c r="V43" i="12"/>
  <c r="V77" i="12"/>
  <c r="V78" i="12"/>
  <c r="V80" i="12"/>
  <c r="V81" i="12"/>
  <c r="V67" i="12"/>
  <c r="V85" i="12"/>
  <c r="V70" i="12"/>
  <c r="V53" i="12"/>
  <c r="V71" i="12"/>
  <c r="V65" i="12"/>
  <c r="V17" i="12"/>
  <c r="V84" i="12"/>
  <c r="V69" i="12"/>
  <c r="V87" i="12"/>
  <c r="V56" i="12"/>
  <c r="V54" i="12"/>
  <c r="V55" i="12"/>
  <c r="Q14" i="45"/>
  <c r="P14" i="45"/>
  <c r="O14" i="45"/>
  <c r="N14" i="45"/>
  <c r="M14" i="45"/>
  <c r="L14" i="45"/>
  <c r="K14" i="45"/>
  <c r="J14" i="45"/>
  <c r="I14" i="45"/>
  <c r="H14" i="45"/>
  <c r="G14" i="45"/>
  <c r="F14" i="45"/>
  <c r="J5" i="45"/>
  <c r="R14" i="45" l="1"/>
  <c r="O50" i="46" s="1"/>
  <c r="F41" i="49"/>
  <c r="G41" i="49"/>
  <c r="H41" i="49"/>
  <c r="I41" i="49"/>
  <c r="J41" i="49"/>
  <c r="K41" i="49"/>
  <c r="K42" i="49" s="1"/>
  <c r="L41" i="49"/>
  <c r="M41" i="49"/>
  <c r="N41" i="49"/>
  <c r="F38" i="49"/>
  <c r="G38" i="49"/>
  <c r="H38" i="49"/>
  <c r="I38" i="49"/>
  <c r="J38" i="49"/>
  <c r="K38" i="49"/>
  <c r="L38" i="49"/>
  <c r="M38" i="49"/>
  <c r="N38" i="49"/>
  <c r="O38" i="49"/>
  <c r="O41" i="49" s="1"/>
  <c r="P38" i="49"/>
  <c r="P41" i="49" s="1"/>
  <c r="E38" i="49"/>
  <c r="E41" i="49" s="1"/>
  <c r="E42" i="49" s="1"/>
  <c r="E43" i="49" s="1"/>
  <c r="F35" i="49"/>
  <c r="F42" i="49" s="1"/>
  <c r="K35" i="49"/>
  <c r="E35" i="49"/>
  <c r="F34" i="49"/>
  <c r="G34" i="49"/>
  <c r="H34" i="49"/>
  <c r="I34" i="49"/>
  <c r="J34" i="49"/>
  <c r="K34" i="49"/>
  <c r="L34" i="49"/>
  <c r="M34" i="49"/>
  <c r="N34" i="49"/>
  <c r="O34" i="49"/>
  <c r="P34" i="49"/>
  <c r="E34" i="49"/>
  <c r="E31" i="49"/>
  <c r="E23" i="49"/>
  <c r="F22" i="49"/>
  <c r="G22" i="49"/>
  <c r="H22" i="49"/>
  <c r="I22" i="49"/>
  <c r="J22" i="49"/>
  <c r="K22" i="49"/>
  <c r="L22" i="49"/>
  <c r="M22" i="49"/>
  <c r="N22" i="49"/>
  <c r="O22" i="49"/>
  <c r="P22" i="49"/>
  <c r="E22" i="49"/>
  <c r="F31" i="49"/>
  <c r="J31" i="49"/>
  <c r="J35" i="49" s="1"/>
  <c r="J42" i="49" s="1"/>
  <c r="P25" i="49"/>
  <c r="P31" i="49" s="1"/>
  <c r="O25" i="49"/>
  <c r="O31" i="49" s="1"/>
  <c r="N25" i="49"/>
  <c r="M25" i="49"/>
  <c r="M31" i="49" s="1"/>
  <c r="L25" i="49"/>
  <c r="L31" i="49" s="1"/>
  <c r="K25" i="49"/>
  <c r="K31" i="49" s="1"/>
  <c r="J25" i="49"/>
  <c r="I25" i="49"/>
  <c r="I31" i="49" s="1"/>
  <c r="H25" i="49"/>
  <c r="H31" i="49" s="1"/>
  <c r="G25" i="49"/>
  <c r="G31" i="49" s="1"/>
  <c r="F25" i="49"/>
  <c r="E25" i="49"/>
  <c r="F12" i="49"/>
  <c r="F18" i="49" s="1"/>
  <c r="G12" i="49"/>
  <c r="G18" i="49" s="1"/>
  <c r="H12" i="49"/>
  <c r="H18" i="49" s="1"/>
  <c r="I12" i="49"/>
  <c r="J12" i="49"/>
  <c r="J18" i="49" s="1"/>
  <c r="K12" i="49"/>
  <c r="K18" i="49" s="1"/>
  <c r="L12" i="49"/>
  <c r="L18" i="49" s="1"/>
  <c r="M12" i="49"/>
  <c r="M18" i="49" s="1"/>
  <c r="N12" i="49"/>
  <c r="N18" i="49" s="1"/>
  <c r="N23" i="49" s="1"/>
  <c r="O12" i="49"/>
  <c r="O18" i="49" s="1"/>
  <c r="P12" i="49"/>
  <c r="P18" i="49" s="1"/>
  <c r="E12" i="49"/>
  <c r="E18" i="49" s="1"/>
  <c r="Q63" i="7"/>
  <c r="R18" i="12"/>
  <c r="Q67" i="7"/>
  <c r="P67" i="7"/>
  <c r="O67" i="7"/>
  <c r="N67" i="7"/>
  <c r="M67" i="7"/>
  <c r="L67" i="7"/>
  <c r="K67" i="7"/>
  <c r="J67" i="7"/>
  <c r="I67" i="7"/>
  <c r="H67" i="7"/>
  <c r="G67" i="7"/>
  <c r="Q51" i="7"/>
  <c r="P51" i="7"/>
  <c r="O51" i="7"/>
  <c r="N51" i="7"/>
  <c r="M51" i="7"/>
  <c r="L51" i="7"/>
  <c r="K51" i="7"/>
  <c r="J51" i="7"/>
  <c r="I51" i="7"/>
  <c r="H51" i="7"/>
  <c r="G51" i="7"/>
  <c r="F51" i="7"/>
  <c r="M42" i="49" l="1"/>
  <c r="M35" i="49"/>
  <c r="P35" i="49"/>
  <c r="P42" i="49" s="1"/>
  <c r="O35" i="49"/>
  <c r="O42" i="49" s="1"/>
  <c r="H35" i="49"/>
  <c r="H42" i="49" s="1"/>
  <c r="N31" i="49"/>
  <c r="N35" i="49" s="1"/>
  <c r="N42" i="49" s="1"/>
  <c r="N43" i="49" s="1"/>
  <c r="T18" i="12"/>
  <c r="L35" i="49"/>
  <c r="L42" i="49" s="1"/>
  <c r="I35" i="49"/>
  <c r="I42" i="49" s="1"/>
  <c r="G35" i="49"/>
  <c r="G42" i="49" s="1"/>
  <c r="H19" i="46"/>
  <c r="O23" i="49"/>
  <c r="J23" i="49"/>
  <c r="J43" i="49" s="1"/>
  <c r="I18" i="49"/>
  <c r="I23" i="49" s="1"/>
  <c r="H23" i="49"/>
  <c r="L23" i="49"/>
  <c r="K23" i="49"/>
  <c r="K43" i="49" s="1"/>
  <c r="P23" i="49"/>
  <c r="G23" i="49"/>
  <c r="F23" i="49"/>
  <c r="F43" i="49" s="1"/>
  <c r="M23" i="49"/>
  <c r="P43" i="49" l="1"/>
  <c r="L43" i="49"/>
  <c r="H43" i="49"/>
  <c r="M43" i="49"/>
  <c r="G43" i="49"/>
  <c r="I43" i="49"/>
  <c r="O43" i="49"/>
  <c r="S55" i="7"/>
  <c r="R55" i="7"/>
  <c r="S54" i="7"/>
  <c r="R54" i="7"/>
  <c r="S53" i="7"/>
  <c r="R53" i="7"/>
  <c r="S52" i="7"/>
  <c r="R52" i="7"/>
  <c r="S51" i="7"/>
  <c r="R51" i="7"/>
  <c r="G50" i="7"/>
  <c r="H50" i="7"/>
  <c r="I50" i="7"/>
  <c r="J50" i="7"/>
  <c r="K50" i="7"/>
  <c r="L50" i="7"/>
  <c r="M50" i="7"/>
  <c r="N50" i="7"/>
  <c r="O50" i="7"/>
  <c r="P50" i="7"/>
  <c r="Q50" i="7"/>
  <c r="F50" i="7"/>
  <c r="T55" i="7" l="1"/>
  <c r="T51" i="7"/>
  <c r="T54" i="7"/>
  <c r="T52" i="7"/>
  <c r="T53" i="7"/>
  <c r="G47" i="46" l="1"/>
  <c r="H47" i="46"/>
  <c r="I47" i="46"/>
  <c r="J47" i="46"/>
  <c r="K47" i="46"/>
  <c r="L47" i="46"/>
  <c r="M47" i="46"/>
  <c r="N47" i="46"/>
  <c r="F47" i="46"/>
  <c r="B9" i="48"/>
  <c r="B10" i="48" s="1"/>
  <c r="B11" i="48" s="1"/>
  <c r="B12" i="48" s="1"/>
  <c r="B13" i="48" s="1"/>
  <c r="B14" i="48" s="1"/>
  <c r="B15" i="48" s="1"/>
  <c r="B16" i="48" s="1"/>
  <c r="B17" i="48" s="1"/>
  <c r="B18" i="48" s="1"/>
  <c r="B19" i="48" s="1"/>
  <c r="B20" i="48" s="1"/>
  <c r="B21" i="48" s="1"/>
  <c r="B22" i="48" s="1"/>
  <c r="B23" i="48" s="1"/>
  <c r="B24" i="48" s="1"/>
  <c r="B25" i="48" s="1"/>
  <c r="B26" i="48" s="1"/>
  <c r="B27" i="48" s="1"/>
  <c r="B28" i="48" s="1"/>
  <c r="B29" i="48" s="1"/>
  <c r="B30" i="48" s="1"/>
  <c r="B31" i="48" s="1"/>
  <c r="B32" i="48" s="1"/>
  <c r="B33" i="48" s="1"/>
  <c r="B34" i="48" s="1"/>
  <c r="B35" i="48" s="1"/>
  <c r="B36" i="48" s="1"/>
  <c r="B37" i="48" s="1"/>
  <c r="B38" i="48" s="1"/>
  <c r="B39" i="48" s="1"/>
  <c r="B40" i="48" s="1"/>
  <c r="B41" i="48" s="1"/>
  <c r="B42" i="48" s="1"/>
  <c r="B43" i="48" s="1"/>
  <c r="B44" i="48" s="1"/>
  <c r="B45" i="48" s="1"/>
  <c r="B46" i="48" s="1"/>
  <c r="B47" i="48" s="1"/>
  <c r="R14" i="29"/>
  <c r="Q14" i="29"/>
  <c r="W20" i="46" l="1"/>
  <c r="X12" i="46"/>
  <c r="X13" i="46"/>
  <c r="X14" i="46"/>
  <c r="X15" i="46"/>
  <c r="X16" i="46"/>
  <c r="X17" i="46"/>
  <c r="X18" i="46"/>
  <c r="X19" i="46"/>
  <c r="X11" i="46"/>
  <c r="X20" i="46" s="1"/>
  <c r="M11" i="47"/>
  <c r="M12" i="47" s="1"/>
  <c r="O45" i="35" s="1"/>
  <c r="M10" i="47"/>
  <c r="F12" i="47"/>
  <c r="H45" i="35" s="1"/>
  <c r="G12" i="47"/>
  <c r="I45" i="35" s="1"/>
  <c r="H12" i="47"/>
  <c r="J45" i="35" s="1"/>
  <c r="I12" i="47"/>
  <c r="K45" i="35" s="1"/>
  <c r="J12" i="47"/>
  <c r="L45" i="35" s="1"/>
  <c r="K12" i="47"/>
  <c r="M45" i="35" s="1"/>
  <c r="L12" i="47"/>
  <c r="N45" i="35" s="1"/>
  <c r="D12" i="47"/>
  <c r="F45" i="35" s="1"/>
  <c r="L10" i="47"/>
  <c r="K11" i="47"/>
  <c r="J11" i="47"/>
  <c r="I11" i="47"/>
  <c r="J10" i="47"/>
  <c r="I10" i="47"/>
  <c r="H10" i="47"/>
  <c r="AC94" i="12"/>
  <c r="AC96" i="12" s="1"/>
  <c r="G11" i="47"/>
  <c r="F11" i="47"/>
  <c r="G10" i="47"/>
  <c r="F10" i="47"/>
  <c r="E10" i="47"/>
  <c r="E12" i="47" s="1"/>
  <c r="G45" i="35" s="1"/>
  <c r="D11" i="47"/>
  <c r="D10" i="47"/>
  <c r="K9" i="47"/>
  <c r="J9" i="47"/>
  <c r="I9" i="47"/>
  <c r="G9" i="47"/>
  <c r="F9" i="47"/>
  <c r="D9" i="47"/>
  <c r="G55" i="51" l="1"/>
  <c r="G55" i="50"/>
  <c r="P55" i="50" s="1"/>
  <c r="G55" i="52"/>
  <c r="M55" i="52"/>
  <c r="J55" i="51"/>
  <c r="L55" i="52"/>
  <c r="I55" i="51"/>
  <c r="Q55" i="51"/>
  <c r="N55" i="51"/>
  <c r="O55" i="52"/>
  <c r="K55" i="52"/>
  <c r="H55" i="51"/>
  <c r="P55" i="51"/>
  <c r="R55" i="52"/>
  <c r="P55" i="52"/>
  <c r="J55" i="52"/>
  <c r="H55" i="52"/>
  <c r="R55" i="51"/>
  <c r="Q55" i="52"/>
  <c r="L55" i="51"/>
  <c r="N55" i="52"/>
  <c r="I55" i="52"/>
  <c r="O55" i="51"/>
  <c r="M55" i="51"/>
  <c r="K55" i="51"/>
  <c r="Z27" i="54"/>
  <c r="F25" i="54"/>
  <c r="F130" i="43"/>
  <c r="Q129" i="43"/>
  <c r="P129" i="43"/>
  <c r="O129" i="43"/>
  <c r="N129" i="43"/>
  <c r="M129" i="43"/>
  <c r="L129" i="43"/>
  <c r="K129" i="43"/>
  <c r="J129" i="43"/>
  <c r="I129" i="43"/>
  <c r="H129" i="43"/>
  <c r="G129" i="43"/>
  <c r="F129" i="43"/>
  <c r="Q126" i="43"/>
  <c r="P126" i="43"/>
  <c r="O126" i="43"/>
  <c r="N126" i="43"/>
  <c r="M126" i="43"/>
  <c r="L126" i="43"/>
  <c r="K126" i="43"/>
  <c r="J126" i="43"/>
  <c r="I126" i="43"/>
  <c r="H126" i="43"/>
  <c r="G126" i="43"/>
  <c r="F126" i="43"/>
  <c r="Q128" i="43"/>
  <c r="P128" i="43"/>
  <c r="O128" i="43"/>
  <c r="N128" i="43"/>
  <c r="M128" i="43"/>
  <c r="L128" i="43"/>
  <c r="K128" i="43"/>
  <c r="J128" i="43"/>
  <c r="I128" i="43"/>
  <c r="H128" i="43"/>
  <c r="G128" i="43"/>
  <c r="F128" i="43"/>
  <c r="G127" i="43"/>
  <c r="H127" i="43"/>
  <c r="I127" i="43"/>
  <c r="J127" i="43"/>
  <c r="K127" i="43"/>
  <c r="L127" i="43"/>
  <c r="M127" i="43"/>
  <c r="N127" i="43"/>
  <c r="O127" i="43"/>
  <c r="P127" i="43"/>
  <c r="Q127" i="43"/>
  <c r="F127" i="43"/>
  <c r="G33" i="46"/>
  <c r="G35" i="46"/>
  <c r="G36" i="46"/>
  <c r="S43" i="44"/>
  <c r="S42" i="44"/>
  <c r="S41" i="44"/>
  <c r="S40" i="44"/>
  <c r="S39" i="44"/>
  <c r="S38" i="44"/>
  <c r="S37" i="44"/>
  <c r="S36" i="44"/>
  <c r="S34" i="44"/>
  <c r="V34" i="44" s="1"/>
  <c r="S33" i="44"/>
  <c r="S27" i="44"/>
  <c r="V27" i="44" s="1"/>
  <c r="S29" i="44"/>
  <c r="V29" i="44" s="1"/>
  <c r="S30" i="44"/>
  <c r="S28" i="44"/>
  <c r="S26" i="44"/>
  <c r="S24" i="44"/>
  <c r="R24" i="44"/>
  <c r="S23" i="44"/>
  <c r="R23" i="44"/>
  <c r="S22" i="44"/>
  <c r="L21" i="46"/>
  <c r="S14" i="17"/>
  <c r="R14" i="17"/>
  <c r="S13" i="17"/>
  <c r="S48" i="15"/>
  <c r="S46" i="15"/>
  <c r="S45" i="15"/>
  <c r="S41" i="15"/>
  <c r="S40" i="15"/>
  <c r="S39" i="15"/>
  <c r="R39" i="15"/>
  <c r="S38" i="15"/>
  <c r="R38" i="15"/>
  <c r="S36" i="15"/>
  <c r="R36" i="15"/>
  <c r="S35" i="15"/>
  <c r="R35" i="15"/>
  <c r="S29" i="15"/>
  <c r="R29" i="15"/>
  <c r="K24" i="46" s="1"/>
  <c r="S31" i="15"/>
  <c r="R31" i="15"/>
  <c r="K26" i="46" s="1"/>
  <c r="S32" i="15"/>
  <c r="R32" i="15"/>
  <c r="K27" i="46" s="1"/>
  <c r="S28" i="15"/>
  <c r="R28" i="15"/>
  <c r="K23" i="46" s="1"/>
  <c r="S19" i="15"/>
  <c r="R19" i="15"/>
  <c r="S18" i="15"/>
  <c r="S33" i="24"/>
  <c r="S32" i="24"/>
  <c r="S31" i="24"/>
  <c r="S29" i="24"/>
  <c r="S28" i="24"/>
  <c r="S22" i="24"/>
  <c r="S24" i="24"/>
  <c r="S25" i="24"/>
  <c r="S21" i="24"/>
  <c r="V21" i="24" s="1"/>
  <c r="S18" i="24"/>
  <c r="R18" i="24"/>
  <c r="S17" i="24"/>
  <c r="N19" i="46"/>
  <c r="M19" i="46"/>
  <c r="J19" i="46"/>
  <c r="S72" i="7"/>
  <c r="S71" i="7"/>
  <c r="S70" i="7"/>
  <c r="S69" i="7"/>
  <c r="S68" i="7"/>
  <c r="R68" i="7"/>
  <c r="S67" i="7"/>
  <c r="R67" i="7"/>
  <c r="F33" i="46" s="1"/>
  <c r="S66" i="7"/>
  <c r="R66" i="7"/>
  <c r="F32" i="46" s="1"/>
  <c r="S65" i="7"/>
  <c r="R65" i="7"/>
  <c r="T65" i="7" s="1"/>
  <c r="S64" i="7"/>
  <c r="S63" i="7"/>
  <c r="S62" i="7"/>
  <c r="S61" i="7"/>
  <c r="R61" i="7"/>
  <c r="S60" i="7"/>
  <c r="R60" i="7"/>
  <c r="F26" i="46" s="1"/>
  <c r="S59" i="7"/>
  <c r="R59" i="7"/>
  <c r="F25" i="46" s="1"/>
  <c r="S58" i="7"/>
  <c r="R58" i="7"/>
  <c r="F24" i="46" s="1"/>
  <c r="S57" i="7"/>
  <c r="S50" i="7"/>
  <c r="S49" i="7"/>
  <c r="S48" i="7"/>
  <c r="R48" i="7"/>
  <c r="S47" i="7"/>
  <c r="L16" i="46"/>
  <c r="N15" i="46"/>
  <c r="M15" i="46"/>
  <c r="I55" i="50" l="1"/>
  <c r="Q55" i="50"/>
  <c r="K55" i="50"/>
  <c r="H55" i="50"/>
  <c r="R55" i="50"/>
  <c r="O55" i="50"/>
  <c r="J55" i="50"/>
  <c r="N55" i="50"/>
  <c r="M55" i="50"/>
  <c r="L55" i="50"/>
  <c r="F55" i="51"/>
  <c r="F55" i="52"/>
  <c r="N25" i="54"/>
  <c r="M25" i="54"/>
  <c r="O25" i="54"/>
  <c r="P25" i="54"/>
  <c r="H25" i="54"/>
  <c r="I25" i="54"/>
  <c r="L25" i="54"/>
  <c r="Q25" i="54"/>
  <c r="J25" i="54"/>
  <c r="K25" i="54"/>
  <c r="G25" i="54"/>
  <c r="V38" i="24"/>
  <c r="V30" i="24"/>
  <c r="V18" i="24"/>
  <c r="V31" i="17"/>
  <c r="V29" i="17"/>
  <c r="V32" i="17"/>
  <c r="V35" i="17"/>
  <c r="V33" i="17"/>
  <c r="V30" i="17"/>
  <c r="V28" i="17"/>
  <c r="V27" i="17"/>
  <c r="V34" i="17"/>
  <c r="V22" i="24"/>
  <c r="V33" i="24"/>
  <c r="S12" i="44"/>
  <c r="V44" i="44"/>
  <c r="V45" i="44"/>
  <c r="V25" i="24"/>
  <c r="V28" i="24"/>
  <c r="V32" i="24"/>
  <c r="M92" i="46"/>
  <c r="M91" i="46"/>
  <c r="N92" i="46"/>
  <c r="N91" i="46"/>
  <c r="V24" i="24"/>
  <c r="V29" i="24"/>
  <c r="V31" i="24"/>
  <c r="V30" i="15"/>
  <c r="V47" i="15"/>
  <c r="V43" i="44"/>
  <c r="V26" i="44"/>
  <c r="V33" i="44"/>
  <c r="V36" i="44"/>
  <c r="V37" i="44"/>
  <c r="V38" i="44"/>
  <c r="V39" i="44"/>
  <c r="V22" i="44"/>
  <c r="V32" i="44"/>
  <c r="V25" i="44"/>
  <c r="V35" i="44"/>
  <c r="V31" i="44"/>
  <c r="V46" i="44"/>
  <c r="V47" i="44"/>
  <c r="V48" i="44"/>
  <c r="V40" i="44"/>
  <c r="N21" i="46"/>
  <c r="V41" i="44"/>
  <c r="V23" i="44"/>
  <c r="V42" i="44"/>
  <c r="V24" i="44"/>
  <c r="V28" i="44"/>
  <c r="V30" i="44"/>
  <c r="V14" i="17"/>
  <c r="V23" i="24"/>
  <c r="V20" i="24"/>
  <c r="V27" i="24"/>
  <c r="V17" i="24"/>
  <c r="V34" i="24"/>
  <c r="V39" i="24"/>
  <c r="V19" i="24"/>
  <c r="V43" i="24"/>
  <c r="V35" i="24"/>
  <c r="V41" i="24"/>
  <c r="V26" i="24"/>
  <c r="V36" i="24"/>
  <c r="V42" i="24"/>
  <c r="V37" i="24"/>
  <c r="V40" i="24"/>
  <c r="T24" i="44"/>
  <c r="V16" i="17"/>
  <c r="V13" i="17"/>
  <c r="V15" i="17"/>
  <c r="T14" i="17"/>
  <c r="T23" i="44"/>
  <c r="V50" i="15"/>
  <c r="V49" i="15"/>
  <c r="M21" i="46"/>
  <c r="V33" i="15"/>
  <c r="V42" i="15"/>
  <c r="V43" i="15"/>
  <c r="V44" i="15"/>
  <c r="V48" i="15"/>
  <c r="V40" i="15"/>
  <c r="V29" i="15"/>
  <c r="V39" i="15"/>
  <c r="V41" i="15"/>
  <c r="V46" i="15"/>
  <c r="V19" i="15"/>
  <c r="V28" i="15"/>
  <c r="V32" i="15"/>
  <c r="V31" i="15"/>
  <c r="K32" i="46"/>
  <c r="V35" i="15"/>
  <c r="V25" i="15"/>
  <c r="V18" i="15"/>
  <c r="V26" i="15"/>
  <c r="V23" i="15"/>
  <c r="V20" i="15"/>
  <c r="V21" i="15"/>
  <c r="V22" i="15"/>
  <c r="V16" i="15"/>
  <c r="V24" i="15"/>
  <c r="V27" i="15"/>
  <c r="V36" i="15"/>
  <c r="V38" i="15"/>
  <c r="K36" i="46"/>
  <c r="V45" i="15"/>
  <c r="T32" i="15"/>
  <c r="T31" i="15"/>
  <c r="T19" i="15"/>
  <c r="T29" i="15"/>
  <c r="T35" i="15"/>
  <c r="T36" i="15"/>
  <c r="K21" i="46"/>
  <c r="T38" i="15"/>
  <c r="T28" i="15"/>
  <c r="T39" i="15"/>
  <c r="K33" i="46"/>
  <c r="T18" i="24"/>
  <c r="J21" i="46"/>
  <c r="T60" i="7"/>
  <c r="T48" i="7"/>
  <c r="T58" i="7"/>
  <c r="T67" i="7"/>
  <c r="T66" i="7"/>
  <c r="T59" i="7"/>
  <c r="T61" i="7"/>
  <c r="T68" i="7"/>
  <c r="F34" i="46"/>
  <c r="F27" i="46"/>
  <c r="F19" i="46"/>
  <c r="J249" i="43"/>
  <c r="K249" i="43"/>
  <c r="L249" i="43"/>
  <c r="M249" i="43"/>
  <c r="N249" i="43"/>
  <c r="O249" i="43"/>
  <c r="P249" i="43"/>
  <c r="Q249" i="43"/>
  <c r="K250" i="43"/>
  <c r="L250" i="43"/>
  <c r="M250" i="43"/>
  <c r="N250" i="43"/>
  <c r="O250" i="43"/>
  <c r="P250" i="43"/>
  <c r="Q250" i="43"/>
  <c r="G251" i="43"/>
  <c r="H251" i="43"/>
  <c r="I251" i="43"/>
  <c r="J251" i="43"/>
  <c r="K251" i="43"/>
  <c r="L251" i="43"/>
  <c r="M251" i="43"/>
  <c r="N251" i="43"/>
  <c r="O251" i="43"/>
  <c r="P251" i="43"/>
  <c r="Q251" i="43"/>
  <c r="G252" i="43"/>
  <c r="H252" i="43"/>
  <c r="I252" i="43"/>
  <c r="J252" i="43"/>
  <c r="K252" i="43"/>
  <c r="L252" i="43"/>
  <c r="M252" i="43"/>
  <c r="N252" i="43"/>
  <c r="O252" i="43"/>
  <c r="P252" i="43"/>
  <c r="Q252" i="43"/>
  <c r="G253" i="43"/>
  <c r="H253" i="43"/>
  <c r="I253" i="43"/>
  <c r="J253" i="43"/>
  <c r="K253" i="43"/>
  <c r="L253" i="43"/>
  <c r="M253" i="43"/>
  <c r="N253" i="43"/>
  <c r="O253" i="43"/>
  <c r="P253" i="43"/>
  <c r="Q253" i="43"/>
  <c r="F253" i="43"/>
  <c r="F252" i="43"/>
  <c r="F251" i="43"/>
  <c r="L244" i="43"/>
  <c r="K244" i="43"/>
  <c r="J244" i="43"/>
  <c r="J250" i="43" s="1"/>
  <c r="I244" i="43"/>
  <c r="I250" i="43" s="1"/>
  <c r="H244" i="43"/>
  <c r="H250" i="43" s="1"/>
  <c r="G244" i="43"/>
  <c r="G250" i="43" s="1"/>
  <c r="F244" i="43"/>
  <c r="F250" i="43" s="1"/>
  <c r="J243" i="43"/>
  <c r="I243" i="43"/>
  <c r="I249" i="43" s="1"/>
  <c r="H243" i="43"/>
  <c r="H249" i="43" s="1"/>
  <c r="G243" i="43"/>
  <c r="G249" i="43" s="1"/>
  <c r="F243" i="43"/>
  <c r="F249" i="43" s="1"/>
  <c r="G239" i="43"/>
  <c r="H239" i="43"/>
  <c r="I239" i="43"/>
  <c r="J239" i="43"/>
  <c r="K239" i="43"/>
  <c r="L239" i="43"/>
  <c r="M239" i="43"/>
  <c r="N239" i="43"/>
  <c r="O239" i="43"/>
  <c r="P239" i="43"/>
  <c r="G240" i="43"/>
  <c r="H240" i="43"/>
  <c r="I240" i="43"/>
  <c r="J240" i="43"/>
  <c r="K240" i="43"/>
  <c r="L240" i="43"/>
  <c r="M240" i="43"/>
  <c r="N240" i="43"/>
  <c r="O240" i="43"/>
  <c r="P240" i="43"/>
  <c r="F240" i="43"/>
  <c r="F239" i="43"/>
  <c r="G238" i="43"/>
  <c r="H238" i="43"/>
  <c r="I238" i="43"/>
  <c r="J238" i="43"/>
  <c r="K238" i="43"/>
  <c r="L238" i="43"/>
  <c r="M238" i="43"/>
  <c r="N238" i="43"/>
  <c r="O238" i="43"/>
  <c r="P238" i="43"/>
  <c r="F238" i="43"/>
  <c r="G237" i="43"/>
  <c r="H237" i="43"/>
  <c r="I237" i="43"/>
  <c r="J237" i="43"/>
  <c r="K237" i="43"/>
  <c r="L237" i="43"/>
  <c r="M237" i="43"/>
  <c r="N237" i="43"/>
  <c r="O237" i="43"/>
  <c r="P237" i="43"/>
  <c r="F237" i="43"/>
  <c r="S240" i="43"/>
  <c r="S239" i="43"/>
  <c r="S238" i="43"/>
  <c r="S237" i="43"/>
  <c r="S236" i="43"/>
  <c r="G236" i="43"/>
  <c r="H236" i="43"/>
  <c r="I236" i="43"/>
  <c r="J236" i="43"/>
  <c r="K236" i="43"/>
  <c r="L236" i="43"/>
  <c r="M236" i="43"/>
  <c r="N236" i="43"/>
  <c r="O236" i="43"/>
  <c r="P236" i="43"/>
  <c r="F236" i="43"/>
  <c r="G232" i="43"/>
  <c r="H232" i="43"/>
  <c r="I232" i="43"/>
  <c r="J232" i="43"/>
  <c r="F232" i="43"/>
  <c r="Q232" i="43"/>
  <c r="P232" i="43"/>
  <c r="O232" i="43"/>
  <c r="N232" i="43"/>
  <c r="M232" i="43"/>
  <c r="L232" i="43"/>
  <c r="K232" i="43"/>
  <c r="Q60" i="13"/>
  <c r="Q231" i="43" s="1"/>
  <c r="P60" i="13"/>
  <c r="P231" i="43" s="1"/>
  <c r="O60" i="13"/>
  <c r="O231" i="43" s="1"/>
  <c r="N60" i="13"/>
  <c r="N231" i="43" s="1"/>
  <c r="M60" i="13"/>
  <c r="M231" i="43" s="1"/>
  <c r="L60" i="13"/>
  <c r="L231" i="43" s="1"/>
  <c r="K60" i="13"/>
  <c r="K231" i="43" s="1"/>
  <c r="J60" i="13"/>
  <c r="J231" i="43" s="1"/>
  <c r="I60" i="13"/>
  <c r="I231" i="43" s="1"/>
  <c r="H60" i="13"/>
  <c r="H231" i="43" s="1"/>
  <c r="G60" i="13"/>
  <c r="G231" i="43" s="1"/>
  <c r="F60" i="13"/>
  <c r="F231" i="43" s="1"/>
  <c r="G90" i="12"/>
  <c r="G230" i="43" s="1"/>
  <c r="H90" i="12"/>
  <c r="H230" i="43" s="1"/>
  <c r="I90" i="12"/>
  <c r="I230" i="43" s="1"/>
  <c r="J90" i="12"/>
  <c r="J230" i="43" s="1"/>
  <c r="K90" i="12"/>
  <c r="K230" i="43" s="1"/>
  <c r="L90" i="12"/>
  <c r="L230" i="43" s="1"/>
  <c r="M90" i="12"/>
  <c r="M230" i="43" s="1"/>
  <c r="N90" i="12"/>
  <c r="N230" i="43" s="1"/>
  <c r="O90" i="12"/>
  <c r="O230" i="43" s="1"/>
  <c r="P90" i="12"/>
  <c r="P230" i="43" s="1"/>
  <c r="Q90" i="12"/>
  <c r="Q230" i="43" s="1"/>
  <c r="F90" i="12"/>
  <c r="F230" i="43" s="1"/>
  <c r="G91" i="7"/>
  <c r="G228" i="43" s="1"/>
  <c r="H91" i="7"/>
  <c r="H228" i="43" s="1"/>
  <c r="I91" i="7"/>
  <c r="I228" i="43" s="1"/>
  <c r="J91" i="7"/>
  <c r="J228" i="43" s="1"/>
  <c r="K91" i="7"/>
  <c r="K228" i="43" s="1"/>
  <c r="L91" i="7"/>
  <c r="L228" i="43" s="1"/>
  <c r="M91" i="7"/>
  <c r="M228" i="43" s="1"/>
  <c r="N91" i="7"/>
  <c r="N228" i="43" s="1"/>
  <c r="O91" i="7"/>
  <c r="O228" i="43" s="1"/>
  <c r="P91" i="7"/>
  <c r="P228" i="43" s="1"/>
  <c r="Q91" i="7"/>
  <c r="Q228" i="43" s="1"/>
  <c r="F91" i="7"/>
  <c r="F228" i="43" s="1"/>
  <c r="S225" i="43"/>
  <c r="S224" i="43"/>
  <c r="S223" i="43"/>
  <c r="S222" i="43"/>
  <c r="S221" i="43"/>
  <c r="S220" i="43"/>
  <c r="G221" i="43"/>
  <c r="H221" i="43"/>
  <c r="I221" i="43"/>
  <c r="J221" i="43"/>
  <c r="K221" i="43"/>
  <c r="L221" i="43"/>
  <c r="M221" i="43"/>
  <c r="N221" i="43"/>
  <c r="O221" i="43"/>
  <c r="P221" i="43"/>
  <c r="Q221" i="43"/>
  <c r="G222" i="43"/>
  <c r="H222" i="43"/>
  <c r="I222" i="43"/>
  <c r="J222" i="43"/>
  <c r="K222" i="43"/>
  <c r="L222" i="43"/>
  <c r="M222" i="43"/>
  <c r="N222" i="43"/>
  <c r="O222" i="43"/>
  <c r="P222" i="43"/>
  <c r="Q222" i="43"/>
  <c r="G223" i="43"/>
  <c r="H223" i="43"/>
  <c r="I223" i="43"/>
  <c r="J223" i="43"/>
  <c r="K223" i="43"/>
  <c r="L223" i="43"/>
  <c r="M223" i="43"/>
  <c r="N223" i="43"/>
  <c r="O223" i="43"/>
  <c r="P223" i="43"/>
  <c r="Q223" i="43"/>
  <c r="G224" i="43"/>
  <c r="H224" i="43"/>
  <c r="I224" i="43"/>
  <c r="J224" i="43"/>
  <c r="F224" i="43"/>
  <c r="F223" i="43"/>
  <c r="F222" i="43"/>
  <c r="F221" i="43"/>
  <c r="S88" i="7"/>
  <c r="S87" i="7"/>
  <c r="F100" i="7"/>
  <c r="G100" i="7"/>
  <c r="H100" i="7"/>
  <c r="I100" i="7"/>
  <c r="J100" i="7"/>
  <c r="K100" i="7"/>
  <c r="L100" i="7"/>
  <c r="M100" i="7"/>
  <c r="N100" i="7"/>
  <c r="O100" i="7"/>
  <c r="P100" i="7"/>
  <c r="S218" i="43"/>
  <c r="S217" i="43"/>
  <c r="R217" i="43"/>
  <c r="S216" i="43"/>
  <c r="R216" i="43"/>
  <c r="S215" i="43"/>
  <c r="R215" i="43"/>
  <c r="S214" i="43"/>
  <c r="R214" i="43"/>
  <c r="S213" i="43"/>
  <c r="R213" i="43"/>
  <c r="S212" i="43"/>
  <c r="S211" i="43"/>
  <c r="S210" i="43"/>
  <c r="S209" i="43"/>
  <c r="S208" i="43"/>
  <c r="S207" i="43"/>
  <c r="G211" i="43"/>
  <c r="H211" i="43"/>
  <c r="I211" i="43"/>
  <c r="J211" i="43"/>
  <c r="K211" i="43"/>
  <c r="L211" i="43"/>
  <c r="M211" i="43"/>
  <c r="N211" i="43"/>
  <c r="O211" i="43"/>
  <c r="P211" i="43"/>
  <c r="Q211" i="43"/>
  <c r="G212" i="43"/>
  <c r="F212" i="43"/>
  <c r="S86" i="7"/>
  <c r="G208" i="43"/>
  <c r="S85" i="7"/>
  <c r="I208" i="43"/>
  <c r="J208" i="43"/>
  <c r="K208" i="43"/>
  <c r="L208" i="43"/>
  <c r="M208" i="43"/>
  <c r="N208" i="43"/>
  <c r="O208" i="43"/>
  <c r="P208" i="43"/>
  <c r="Q208" i="43"/>
  <c r="F208" i="43"/>
  <c r="S206" i="43"/>
  <c r="S205" i="43"/>
  <c r="S204" i="43"/>
  <c r="R204" i="43"/>
  <c r="S203" i="43"/>
  <c r="R203" i="43"/>
  <c r="S202" i="43"/>
  <c r="R202" i="43"/>
  <c r="S201" i="43"/>
  <c r="R201" i="43"/>
  <c r="S200" i="43"/>
  <c r="R200" i="43"/>
  <c r="S199" i="43"/>
  <c r="S198" i="43"/>
  <c r="S197" i="43"/>
  <c r="S196" i="43"/>
  <c r="I196" i="43"/>
  <c r="Q196" i="43"/>
  <c r="G197" i="43"/>
  <c r="H197" i="43"/>
  <c r="I197" i="43"/>
  <c r="J197" i="43"/>
  <c r="K197" i="43"/>
  <c r="L197" i="43"/>
  <c r="M197" i="43"/>
  <c r="N197" i="43"/>
  <c r="O197" i="43"/>
  <c r="P197" i="43"/>
  <c r="Q197" i="43"/>
  <c r="G198" i="43"/>
  <c r="H198" i="43"/>
  <c r="I198" i="43"/>
  <c r="J198" i="43"/>
  <c r="K198" i="43"/>
  <c r="L198" i="43"/>
  <c r="M198" i="43"/>
  <c r="N198" i="43"/>
  <c r="O198" i="43"/>
  <c r="P198" i="43"/>
  <c r="Q198" i="43"/>
  <c r="G199" i="43"/>
  <c r="H199" i="43"/>
  <c r="I199" i="43"/>
  <c r="J199" i="43"/>
  <c r="K199" i="43"/>
  <c r="L199" i="43"/>
  <c r="M199" i="43"/>
  <c r="N199" i="43"/>
  <c r="O199" i="43"/>
  <c r="P199" i="43"/>
  <c r="Q199" i="43"/>
  <c r="G205" i="43"/>
  <c r="H205" i="43"/>
  <c r="I205" i="43"/>
  <c r="J205" i="43"/>
  <c r="K205" i="43"/>
  <c r="L205" i="43"/>
  <c r="M205" i="43"/>
  <c r="N205" i="43"/>
  <c r="O205" i="43"/>
  <c r="P205" i="43"/>
  <c r="Q205" i="43"/>
  <c r="F205" i="43"/>
  <c r="F199" i="43"/>
  <c r="F198" i="43"/>
  <c r="F197" i="43"/>
  <c r="S194" i="43"/>
  <c r="S193" i="43"/>
  <c r="S192" i="43"/>
  <c r="S191" i="43"/>
  <c r="S190" i="43"/>
  <c r="S189" i="43"/>
  <c r="S188" i="43"/>
  <c r="S187" i="43"/>
  <c r="S186" i="43"/>
  <c r="S185" i="43"/>
  <c r="N193" i="43"/>
  <c r="M193" i="43"/>
  <c r="L193" i="43"/>
  <c r="K193" i="43"/>
  <c r="J193" i="43"/>
  <c r="I193" i="43"/>
  <c r="H193" i="43"/>
  <c r="G193" i="43"/>
  <c r="M192" i="43"/>
  <c r="L192" i="43"/>
  <c r="K192" i="43"/>
  <c r="J192" i="43"/>
  <c r="I192" i="43"/>
  <c r="H192" i="43"/>
  <c r="G192" i="43"/>
  <c r="Q190" i="43"/>
  <c r="P190" i="43"/>
  <c r="O190" i="43"/>
  <c r="N190" i="43"/>
  <c r="M190" i="43"/>
  <c r="L190" i="43"/>
  <c r="K190" i="43"/>
  <c r="J190" i="43"/>
  <c r="I190" i="43"/>
  <c r="H190" i="43"/>
  <c r="G190" i="43"/>
  <c r="Q189" i="43"/>
  <c r="P189" i="43"/>
  <c r="O189" i="43"/>
  <c r="N189" i="43"/>
  <c r="M189" i="43"/>
  <c r="L189" i="43"/>
  <c r="K189" i="43"/>
  <c r="J189" i="43"/>
  <c r="I189" i="43"/>
  <c r="H189" i="43"/>
  <c r="G189" i="43"/>
  <c r="Q188" i="43"/>
  <c r="P188" i="43"/>
  <c r="O188" i="43"/>
  <c r="N188" i="43"/>
  <c r="M188" i="43"/>
  <c r="L188" i="43"/>
  <c r="K188" i="43"/>
  <c r="J188" i="43"/>
  <c r="I188" i="43"/>
  <c r="H188" i="43"/>
  <c r="G188" i="43"/>
  <c r="Q186" i="43"/>
  <c r="P186" i="43"/>
  <c r="O186" i="43"/>
  <c r="N186" i="43"/>
  <c r="M186" i="43"/>
  <c r="L186" i="43"/>
  <c r="K186" i="43"/>
  <c r="J186" i="43"/>
  <c r="I186" i="43"/>
  <c r="H186" i="43"/>
  <c r="G186" i="43"/>
  <c r="P185" i="43"/>
  <c r="O185" i="43"/>
  <c r="N185" i="43"/>
  <c r="M185" i="43"/>
  <c r="L185" i="43"/>
  <c r="K185" i="43"/>
  <c r="J185" i="43"/>
  <c r="I185" i="43"/>
  <c r="H185" i="43"/>
  <c r="G185" i="43"/>
  <c r="F193" i="43"/>
  <c r="F192" i="43"/>
  <c r="R45" i="15"/>
  <c r="K52" i="46" s="1"/>
  <c r="F189" i="43"/>
  <c r="F188" i="43"/>
  <c r="F186" i="43"/>
  <c r="F185" i="43"/>
  <c r="S183" i="43"/>
  <c r="S182" i="43"/>
  <c r="S181" i="43"/>
  <c r="S180" i="43"/>
  <c r="S179" i="43"/>
  <c r="S178" i="43"/>
  <c r="S177" i="43"/>
  <c r="S176" i="43"/>
  <c r="S175" i="43"/>
  <c r="S174" i="43"/>
  <c r="G179" i="43"/>
  <c r="H179" i="43"/>
  <c r="I179" i="43"/>
  <c r="J179" i="43"/>
  <c r="K179" i="43"/>
  <c r="L179" i="43"/>
  <c r="M179" i="43"/>
  <c r="N179" i="43"/>
  <c r="O179" i="43"/>
  <c r="P179" i="43"/>
  <c r="Q179" i="43"/>
  <c r="G181" i="43"/>
  <c r="H181" i="43"/>
  <c r="I181" i="43"/>
  <c r="J181" i="43"/>
  <c r="K181" i="43"/>
  <c r="L181" i="43"/>
  <c r="M181" i="43"/>
  <c r="N181" i="43"/>
  <c r="O181" i="43"/>
  <c r="P181" i="43"/>
  <c r="G182" i="43"/>
  <c r="H182" i="43"/>
  <c r="I182" i="43"/>
  <c r="J182" i="43"/>
  <c r="K182" i="43"/>
  <c r="L182" i="43"/>
  <c r="M182" i="43"/>
  <c r="G183" i="43"/>
  <c r="H183" i="43"/>
  <c r="I183" i="43"/>
  <c r="J183" i="43"/>
  <c r="K183" i="43"/>
  <c r="L183" i="43"/>
  <c r="M183" i="43"/>
  <c r="N183" i="43"/>
  <c r="F183" i="43"/>
  <c r="F182" i="43"/>
  <c r="F181" i="43"/>
  <c r="S41" i="16"/>
  <c r="V41" i="16" s="1"/>
  <c r="S37" i="16"/>
  <c r="V37" i="16" s="1"/>
  <c r="S36" i="16"/>
  <c r="V36" i="16" s="1"/>
  <c r="Q41" i="16"/>
  <c r="Q191" i="43" s="1"/>
  <c r="P41" i="16"/>
  <c r="P191" i="43" s="1"/>
  <c r="O41" i="16"/>
  <c r="O191" i="43" s="1"/>
  <c r="N41" i="16"/>
  <c r="N191" i="43" s="1"/>
  <c r="M41" i="16"/>
  <c r="L41" i="16"/>
  <c r="L191" i="43" s="1"/>
  <c r="K41" i="16"/>
  <c r="K191" i="43" s="1"/>
  <c r="J41" i="16"/>
  <c r="J191" i="43" s="1"/>
  <c r="I41" i="16"/>
  <c r="I191" i="43" s="1"/>
  <c r="H41" i="16"/>
  <c r="H191" i="43" s="1"/>
  <c r="G191" i="43"/>
  <c r="F191" i="43"/>
  <c r="F179" i="43"/>
  <c r="S164" i="43"/>
  <c r="S173" i="43"/>
  <c r="R173" i="43"/>
  <c r="S172" i="43"/>
  <c r="R172" i="43"/>
  <c r="S171" i="43"/>
  <c r="S170" i="43"/>
  <c r="S169" i="43"/>
  <c r="S168" i="43"/>
  <c r="S167" i="43"/>
  <c r="S166" i="43"/>
  <c r="S165" i="43"/>
  <c r="G169" i="43"/>
  <c r="H169" i="43"/>
  <c r="I169" i="43"/>
  <c r="J169" i="43"/>
  <c r="K169" i="43"/>
  <c r="L169" i="43"/>
  <c r="M169" i="43"/>
  <c r="N169" i="43"/>
  <c r="O169" i="43"/>
  <c r="P169" i="43"/>
  <c r="Q169" i="43"/>
  <c r="G170" i="43"/>
  <c r="H170" i="43"/>
  <c r="I170" i="43"/>
  <c r="J170" i="43"/>
  <c r="K170" i="43"/>
  <c r="L170" i="43"/>
  <c r="M170" i="43"/>
  <c r="N170" i="43"/>
  <c r="O170" i="43"/>
  <c r="P170" i="43"/>
  <c r="G171" i="43"/>
  <c r="H171" i="43"/>
  <c r="I171" i="43"/>
  <c r="J171" i="43"/>
  <c r="K171" i="43"/>
  <c r="L171" i="43"/>
  <c r="M171" i="43"/>
  <c r="N171" i="43"/>
  <c r="O171" i="43"/>
  <c r="P171" i="43"/>
  <c r="F171" i="43"/>
  <c r="F170" i="43"/>
  <c r="F169" i="43"/>
  <c r="Q52" i="13"/>
  <c r="Q168" i="43" s="1"/>
  <c r="P52" i="13"/>
  <c r="P168" i="43" s="1"/>
  <c r="O52" i="13"/>
  <c r="O168" i="43" s="1"/>
  <c r="N52" i="13"/>
  <c r="N168" i="43" s="1"/>
  <c r="M52" i="13"/>
  <c r="M168" i="43" s="1"/>
  <c r="L52" i="13"/>
  <c r="L168" i="43" s="1"/>
  <c r="K52" i="13"/>
  <c r="K168" i="43" s="1"/>
  <c r="J52" i="13"/>
  <c r="J168" i="43" s="1"/>
  <c r="I52" i="13"/>
  <c r="I168" i="43" s="1"/>
  <c r="H52" i="13"/>
  <c r="H168" i="43" s="1"/>
  <c r="G52" i="13"/>
  <c r="G168" i="43" s="1"/>
  <c r="F52" i="13"/>
  <c r="Q167" i="43"/>
  <c r="P167" i="43"/>
  <c r="O167" i="43"/>
  <c r="N167" i="43"/>
  <c r="M167" i="43"/>
  <c r="L167" i="43"/>
  <c r="K167" i="43"/>
  <c r="J167" i="43"/>
  <c r="I167" i="43"/>
  <c r="H167" i="43"/>
  <c r="G167" i="43"/>
  <c r="F167" i="43"/>
  <c r="Q166" i="43"/>
  <c r="Q165" i="43"/>
  <c r="S162" i="43"/>
  <c r="S161" i="43"/>
  <c r="S160" i="43"/>
  <c r="S159" i="43"/>
  <c r="S158" i="43"/>
  <c r="S157" i="43"/>
  <c r="S156" i="43"/>
  <c r="S155" i="43"/>
  <c r="G157" i="43"/>
  <c r="H157" i="43"/>
  <c r="I157" i="43"/>
  <c r="J157" i="43"/>
  <c r="K157" i="43"/>
  <c r="L157" i="43"/>
  <c r="M157" i="43"/>
  <c r="N157" i="43"/>
  <c r="O157" i="43"/>
  <c r="P157" i="43"/>
  <c r="Q157" i="43"/>
  <c r="G158" i="43"/>
  <c r="H158" i="43"/>
  <c r="I158" i="43"/>
  <c r="J158" i="43"/>
  <c r="K158" i="43"/>
  <c r="L158" i="43"/>
  <c r="M158" i="43"/>
  <c r="N158" i="43"/>
  <c r="O158" i="43"/>
  <c r="P158" i="43"/>
  <c r="Q158" i="43"/>
  <c r="G159" i="43"/>
  <c r="H159" i="43"/>
  <c r="I159" i="43"/>
  <c r="J159" i="43"/>
  <c r="K159" i="43"/>
  <c r="L159" i="43"/>
  <c r="M159" i="43"/>
  <c r="N159" i="43"/>
  <c r="O159" i="43"/>
  <c r="P159" i="43"/>
  <c r="Q159" i="43"/>
  <c r="G160" i="43"/>
  <c r="H160" i="43"/>
  <c r="I160" i="43"/>
  <c r="J160" i="43"/>
  <c r="K160" i="43"/>
  <c r="L160" i="43"/>
  <c r="M160" i="43"/>
  <c r="N160" i="43"/>
  <c r="O160" i="43"/>
  <c r="P160" i="43"/>
  <c r="Q160" i="43"/>
  <c r="F160" i="43"/>
  <c r="F159" i="43"/>
  <c r="F158" i="43"/>
  <c r="F157" i="43"/>
  <c r="G194" i="43"/>
  <c r="H194" i="43"/>
  <c r="I194" i="43"/>
  <c r="K194" i="43"/>
  <c r="L194" i="43"/>
  <c r="M194" i="43"/>
  <c r="N194" i="43"/>
  <c r="O194" i="43"/>
  <c r="P194" i="43"/>
  <c r="Q194" i="43"/>
  <c r="F194" i="43"/>
  <c r="R30" i="45"/>
  <c r="R29" i="45"/>
  <c r="R28" i="45"/>
  <c r="R27" i="45"/>
  <c r="R26" i="45"/>
  <c r="R24" i="45"/>
  <c r="R23" i="45"/>
  <c r="R22" i="45"/>
  <c r="O45" i="46" s="1"/>
  <c r="Q45" i="46" s="1"/>
  <c r="R21" i="45"/>
  <c r="R20" i="45"/>
  <c r="Q19" i="45"/>
  <c r="Q156" i="43" s="1"/>
  <c r="P19" i="45"/>
  <c r="P156" i="43" s="1"/>
  <c r="O19" i="45"/>
  <c r="O156" i="43" s="1"/>
  <c r="N19" i="45"/>
  <c r="N156" i="43" s="1"/>
  <c r="M19" i="45"/>
  <c r="M156" i="43" s="1"/>
  <c r="L19" i="45"/>
  <c r="L156" i="43" s="1"/>
  <c r="K19" i="45"/>
  <c r="K156" i="43" s="1"/>
  <c r="J19" i="45"/>
  <c r="J156" i="43" s="1"/>
  <c r="I19" i="45"/>
  <c r="I156" i="43" s="1"/>
  <c r="H19" i="45"/>
  <c r="H156" i="43" s="1"/>
  <c r="G19" i="45"/>
  <c r="G156" i="43" s="1"/>
  <c r="F19" i="45"/>
  <c r="F156" i="43" s="1"/>
  <c r="Q18" i="45"/>
  <c r="Q155" i="43" s="1"/>
  <c r="P18" i="45"/>
  <c r="P155" i="43" s="1"/>
  <c r="O18" i="45"/>
  <c r="O155" i="43" s="1"/>
  <c r="N18" i="45"/>
  <c r="N155" i="43" s="1"/>
  <c r="M18" i="45"/>
  <c r="M155" i="43" s="1"/>
  <c r="L18" i="45"/>
  <c r="L155" i="43" s="1"/>
  <c r="K18" i="45"/>
  <c r="K155" i="43" s="1"/>
  <c r="J18" i="45"/>
  <c r="J155" i="43" s="1"/>
  <c r="I18" i="45"/>
  <c r="I155" i="43" s="1"/>
  <c r="H18" i="45"/>
  <c r="H155" i="43" s="1"/>
  <c r="G18" i="45"/>
  <c r="G155" i="43" s="1"/>
  <c r="F18" i="45"/>
  <c r="F155" i="43" s="1"/>
  <c r="S153" i="43"/>
  <c r="T153" i="43" s="1"/>
  <c r="F55" i="50" l="1"/>
  <c r="R41" i="16"/>
  <c r="L52" i="46" s="1"/>
  <c r="T45" i="15"/>
  <c r="F190" i="43"/>
  <c r="R190" i="43" s="1"/>
  <c r="T190" i="43" s="1"/>
  <c r="F168" i="43"/>
  <c r="R168" i="43" s="1"/>
  <c r="T168" i="43" s="1"/>
  <c r="R52" i="13"/>
  <c r="I50" i="46" s="1"/>
  <c r="O46" i="46"/>
  <c r="Q46" i="46" s="1"/>
  <c r="O43" i="46"/>
  <c r="Q43" i="46" s="1"/>
  <c r="O44" i="46"/>
  <c r="Q44" i="46" s="1"/>
  <c r="R35" i="45"/>
  <c r="M191" i="43"/>
  <c r="R191" i="43" s="1"/>
  <c r="T191" i="43" s="1"/>
  <c r="J194" i="43"/>
  <c r="R194" i="43" s="1"/>
  <c r="T194" i="43" s="1"/>
  <c r="K29" i="46"/>
  <c r="K37" i="46"/>
  <c r="T203" i="43"/>
  <c r="F227" i="43"/>
  <c r="H227" i="43"/>
  <c r="T172" i="43"/>
  <c r="T204" i="43"/>
  <c r="T216" i="43"/>
  <c r="I227" i="43"/>
  <c r="T213" i="43"/>
  <c r="T215" i="43"/>
  <c r="R223" i="43"/>
  <c r="T223" i="43" s="1"/>
  <c r="T200" i="43"/>
  <c r="R221" i="43"/>
  <c r="T221" i="43" s="1"/>
  <c r="G227" i="43"/>
  <c r="K161" i="43"/>
  <c r="R222" i="43"/>
  <c r="T222" i="43" s="1"/>
  <c r="L227" i="43"/>
  <c r="Q227" i="43"/>
  <c r="O161" i="43"/>
  <c r="R198" i="43"/>
  <c r="T198" i="43" s="1"/>
  <c r="P227" i="43"/>
  <c r="R158" i="43"/>
  <c r="T158" i="43" s="1"/>
  <c r="M227" i="43"/>
  <c r="N227" i="43"/>
  <c r="T201" i="43"/>
  <c r="K227" i="43"/>
  <c r="O227" i="43"/>
  <c r="J227" i="43"/>
  <c r="H208" i="43"/>
  <c r="T214" i="43"/>
  <c r="T217" i="43"/>
  <c r="R167" i="43"/>
  <c r="T167" i="43" s="1"/>
  <c r="R199" i="43"/>
  <c r="T199" i="43" s="1"/>
  <c r="Q161" i="43"/>
  <c r="R179" i="43"/>
  <c r="T179" i="43" s="1"/>
  <c r="P161" i="43"/>
  <c r="N161" i="43"/>
  <c r="R155" i="43"/>
  <c r="T155" i="43" s="1"/>
  <c r="R169" i="43"/>
  <c r="T169" i="43" s="1"/>
  <c r="R157" i="43"/>
  <c r="T157" i="43" s="1"/>
  <c r="M161" i="43"/>
  <c r="L161" i="43"/>
  <c r="R159" i="43"/>
  <c r="T159" i="43" s="1"/>
  <c r="R160" i="43"/>
  <c r="T160" i="43" s="1"/>
  <c r="J161" i="43"/>
  <c r="R156" i="43"/>
  <c r="T156" i="43" s="1"/>
  <c r="I161" i="43"/>
  <c r="R186" i="43"/>
  <c r="T186" i="43" s="1"/>
  <c r="H161" i="43"/>
  <c r="G161" i="43"/>
  <c r="R188" i="43"/>
  <c r="T188" i="43" s="1"/>
  <c r="R205" i="43"/>
  <c r="T205" i="43" s="1"/>
  <c r="T202" i="43"/>
  <c r="R189" i="43"/>
  <c r="T189" i="43" s="1"/>
  <c r="R197" i="43"/>
  <c r="T197" i="43" s="1"/>
  <c r="Q195" i="43"/>
  <c r="I195" i="43"/>
  <c r="F161" i="43"/>
  <c r="T173" i="43"/>
  <c r="R85" i="7"/>
  <c r="F55" i="46" s="1"/>
  <c r="R19" i="45"/>
  <c r="O42" i="46" s="1"/>
  <c r="Q42" i="46" s="1"/>
  <c r="R18" i="45"/>
  <c r="O41" i="46" s="1"/>
  <c r="Q41" i="46" s="1"/>
  <c r="Q47" i="46" s="1"/>
  <c r="P31" i="45"/>
  <c r="Q31" i="45"/>
  <c r="I31" i="45"/>
  <c r="J31" i="45"/>
  <c r="K31" i="45"/>
  <c r="L31" i="45"/>
  <c r="M31" i="45"/>
  <c r="N31" i="45"/>
  <c r="O31" i="45"/>
  <c r="H31" i="45"/>
  <c r="F31" i="45"/>
  <c r="G31" i="45"/>
  <c r="S151" i="43"/>
  <c r="S150" i="43"/>
  <c r="S149" i="43"/>
  <c r="S148" i="43"/>
  <c r="S147" i="43"/>
  <c r="S146" i="43"/>
  <c r="S145" i="43"/>
  <c r="S144" i="43"/>
  <c r="S143" i="43"/>
  <c r="S142" i="43"/>
  <c r="S141" i="43"/>
  <c r="G143" i="43"/>
  <c r="H143" i="43"/>
  <c r="I143" i="43"/>
  <c r="J143" i="43"/>
  <c r="K143" i="43"/>
  <c r="L143" i="43"/>
  <c r="M143" i="43"/>
  <c r="N143" i="43"/>
  <c r="O143" i="43"/>
  <c r="P143" i="43"/>
  <c r="Q143" i="43"/>
  <c r="G144" i="43"/>
  <c r="H144" i="43"/>
  <c r="I144" i="43"/>
  <c r="J144" i="43"/>
  <c r="K144" i="43"/>
  <c r="L144" i="43"/>
  <c r="M144" i="43"/>
  <c r="N144" i="43"/>
  <c r="O144" i="43"/>
  <c r="P144" i="43"/>
  <c r="Q144" i="43"/>
  <c r="G145" i="43"/>
  <c r="H145" i="43"/>
  <c r="I145" i="43"/>
  <c r="J145" i="43"/>
  <c r="K145" i="43"/>
  <c r="L145" i="43"/>
  <c r="M145" i="43"/>
  <c r="N145" i="43"/>
  <c r="O145" i="43"/>
  <c r="P145" i="43"/>
  <c r="Q145" i="43"/>
  <c r="G146" i="43"/>
  <c r="H146" i="43"/>
  <c r="I146" i="43"/>
  <c r="J146" i="43"/>
  <c r="K146" i="43"/>
  <c r="L146" i="43"/>
  <c r="M146" i="43"/>
  <c r="N146" i="43"/>
  <c r="O146" i="43"/>
  <c r="P146" i="43"/>
  <c r="Q146" i="43"/>
  <c r="G147" i="43"/>
  <c r="H147" i="43"/>
  <c r="I147" i="43"/>
  <c r="J147" i="43"/>
  <c r="K147" i="43"/>
  <c r="L147" i="43"/>
  <c r="M147" i="43"/>
  <c r="N147" i="43"/>
  <c r="O147" i="43"/>
  <c r="P147" i="43"/>
  <c r="Q147" i="43"/>
  <c r="G148" i="43"/>
  <c r="H148" i="43"/>
  <c r="I148" i="43"/>
  <c r="J148" i="43"/>
  <c r="K148" i="43"/>
  <c r="L148" i="43"/>
  <c r="M148" i="43"/>
  <c r="N148" i="43"/>
  <c r="O148" i="43"/>
  <c r="P148" i="43"/>
  <c r="Q148" i="43"/>
  <c r="G149" i="43"/>
  <c r="H149" i="43"/>
  <c r="I149" i="43"/>
  <c r="J149" i="43"/>
  <c r="K149" i="43"/>
  <c r="L149" i="43"/>
  <c r="M149" i="43"/>
  <c r="N149" i="43"/>
  <c r="O149" i="43"/>
  <c r="P149" i="43"/>
  <c r="Q149" i="43"/>
  <c r="G150" i="43"/>
  <c r="H150" i="43"/>
  <c r="I150" i="43"/>
  <c r="J150" i="43"/>
  <c r="K150" i="43"/>
  <c r="L150" i="43"/>
  <c r="M150" i="43"/>
  <c r="N150" i="43"/>
  <c r="O150" i="43"/>
  <c r="P150" i="43"/>
  <c r="Q150" i="43"/>
  <c r="F150" i="43"/>
  <c r="F149" i="43"/>
  <c r="F148" i="43"/>
  <c r="F147" i="43"/>
  <c r="F146" i="43"/>
  <c r="F145" i="43"/>
  <c r="F144" i="43"/>
  <c r="F143" i="43"/>
  <c r="S140" i="43"/>
  <c r="S139" i="43"/>
  <c r="S138" i="43"/>
  <c r="S137" i="43"/>
  <c r="S136" i="43"/>
  <c r="S135" i="43"/>
  <c r="S134" i="43"/>
  <c r="S133" i="43"/>
  <c r="S132" i="43"/>
  <c r="Q140" i="43"/>
  <c r="P140" i="43"/>
  <c r="O140" i="43"/>
  <c r="N140" i="43"/>
  <c r="M140" i="43"/>
  <c r="L140" i="43"/>
  <c r="K140" i="43"/>
  <c r="J140" i="43"/>
  <c r="I140" i="43"/>
  <c r="H140" i="43"/>
  <c r="G140" i="43"/>
  <c r="Q139" i="43"/>
  <c r="P139" i="43"/>
  <c r="O139" i="43"/>
  <c r="N139" i="43"/>
  <c r="M139" i="43"/>
  <c r="L139" i="43"/>
  <c r="K139" i="43"/>
  <c r="J139" i="43"/>
  <c r="I139" i="43"/>
  <c r="H139" i="43"/>
  <c r="G139" i="43"/>
  <c r="Q138" i="43"/>
  <c r="P138" i="43"/>
  <c r="O138" i="43"/>
  <c r="N138" i="43"/>
  <c r="M138" i="43"/>
  <c r="L138" i="43"/>
  <c r="K138" i="43"/>
  <c r="J138" i="43"/>
  <c r="I138" i="43"/>
  <c r="H138" i="43"/>
  <c r="G138" i="43"/>
  <c r="Q137" i="43"/>
  <c r="P137" i="43"/>
  <c r="O137" i="43"/>
  <c r="N137" i="43"/>
  <c r="M137" i="43"/>
  <c r="L137" i="43"/>
  <c r="K137" i="43"/>
  <c r="J137" i="43"/>
  <c r="I137" i="43"/>
  <c r="H137" i="43"/>
  <c r="G137" i="43"/>
  <c r="Q136" i="43"/>
  <c r="P136" i="43"/>
  <c r="O136" i="43"/>
  <c r="N136" i="43"/>
  <c r="M136" i="43"/>
  <c r="L136" i="43"/>
  <c r="K136" i="43"/>
  <c r="J136" i="43"/>
  <c r="I136" i="43"/>
  <c r="H136" i="43"/>
  <c r="G136" i="43"/>
  <c r="Q135" i="43"/>
  <c r="P135" i="43"/>
  <c r="O135" i="43"/>
  <c r="N135" i="43"/>
  <c r="M135" i="43"/>
  <c r="L135" i="43"/>
  <c r="K135" i="43"/>
  <c r="J135" i="43"/>
  <c r="I135" i="43"/>
  <c r="H135" i="43"/>
  <c r="G135" i="43"/>
  <c r="Q134" i="43"/>
  <c r="P134" i="43"/>
  <c r="O134" i="43"/>
  <c r="N134" i="43"/>
  <c r="M134" i="43"/>
  <c r="L134" i="43"/>
  <c r="K134" i="43"/>
  <c r="J134" i="43"/>
  <c r="I134" i="43"/>
  <c r="H134" i="43"/>
  <c r="G134" i="43"/>
  <c r="Q133" i="43"/>
  <c r="P133" i="43"/>
  <c r="O133" i="43"/>
  <c r="N133" i="43"/>
  <c r="M133" i="43"/>
  <c r="L133" i="43"/>
  <c r="K133" i="43"/>
  <c r="J133" i="43"/>
  <c r="I133" i="43"/>
  <c r="H133" i="43"/>
  <c r="G133" i="43"/>
  <c r="Q132" i="43"/>
  <c r="F140" i="43"/>
  <c r="F139" i="43"/>
  <c r="F138" i="43"/>
  <c r="F137" i="43"/>
  <c r="F136" i="43"/>
  <c r="F135" i="43"/>
  <c r="F134" i="43"/>
  <c r="F133" i="43"/>
  <c r="S130" i="43"/>
  <c r="S129" i="43"/>
  <c r="S128" i="43"/>
  <c r="S127" i="43"/>
  <c r="S126" i="43"/>
  <c r="S125" i="43"/>
  <c r="S124" i="43"/>
  <c r="S123" i="43"/>
  <c r="S122" i="43"/>
  <c r="Q125" i="43"/>
  <c r="P125" i="43"/>
  <c r="O125" i="43"/>
  <c r="N125" i="43"/>
  <c r="M125" i="43"/>
  <c r="L125" i="43"/>
  <c r="K125" i="43"/>
  <c r="J125" i="43"/>
  <c r="I125" i="43"/>
  <c r="H125" i="43"/>
  <c r="G125" i="43"/>
  <c r="Q124" i="43"/>
  <c r="P124" i="43"/>
  <c r="O124" i="43"/>
  <c r="N124" i="43"/>
  <c r="M124" i="43"/>
  <c r="L124" i="43"/>
  <c r="K124" i="43"/>
  <c r="J124" i="43"/>
  <c r="I124" i="43"/>
  <c r="H124" i="43"/>
  <c r="G124" i="43"/>
  <c r="Q123" i="43"/>
  <c r="P123" i="43"/>
  <c r="O123" i="43"/>
  <c r="N123" i="43"/>
  <c r="M123" i="43"/>
  <c r="L123" i="43"/>
  <c r="K123" i="43"/>
  <c r="J123" i="43"/>
  <c r="I123" i="43"/>
  <c r="H123" i="43"/>
  <c r="G123" i="43"/>
  <c r="Q122" i="43"/>
  <c r="P122" i="43"/>
  <c r="O122" i="43"/>
  <c r="N122" i="43"/>
  <c r="M122" i="43"/>
  <c r="L122" i="43"/>
  <c r="K122" i="43"/>
  <c r="J122" i="43"/>
  <c r="I122" i="43"/>
  <c r="H122" i="43"/>
  <c r="G122" i="43"/>
  <c r="F125" i="43"/>
  <c r="F124" i="43"/>
  <c r="F123" i="43"/>
  <c r="F122" i="43"/>
  <c r="S120" i="43"/>
  <c r="S119" i="43"/>
  <c r="S118" i="43"/>
  <c r="S117" i="43"/>
  <c r="S116" i="43"/>
  <c r="S115" i="43"/>
  <c r="S114" i="43"/>
  <c r="S113" i="43"/>
  <c r="S112" i="43"/>
  <c r="G112" i="43"/>
  <c r="H112" i="43"/>
  <c r="I112" i="43"/>
  <c r="J112" i="43"/>
  <c r="K112" i="43"/>
  <c r="L112" i="43"/>
  <c r="M112" i="43"/>
  <c r="N112" i="43"/>
  <c r="O112" i="43"/>
  <c r="P112" i="43"/>
  <c r="Q112" i="43"/>
  <c r="Q113" i="43"/>
  <c r="Q114" i="43"/>
  <c r="Q115" i="43"/>
  <c r="G116" i="43"/>
  <c r="H116" i="43"/>
  <c r="I116" i="43"/>
  <c r="J116" i="43"/>
  <c r="K116" i="43"/>
  <c r="L116" i="43"/>
  <c r="M116" i="43"/>
  <c r="N116" i="43"/>
  <c r="O116" i="43"/>
  <c r="P116" i="43"/>
  <c r="Q116" i="43"/>
  <c r="G117" i="43"/>
  <c r="H117" i="43"/>
  <c r="I117" i="43"/>
  <c r="J117" i="43"/>
  <c r="K117" i="43"/>
  <c r="L117" i="43"/>
  <c r="M117" i="43"/>
  <c r="N117" i="43"/>
  <c r="O117" i="43"/>
  <c r="P117" i="43"/>
  <c r="Q117" i="43"/>
  <c r="G118" i="43"/>
  <c r="H118" i="43"/>
  <c r="I118" i="43"/>
  <c r="J118" i="43"/>
  <c r="K118" i="43"/>
  <c r="L118" i="43"/>
  <c r="M118" i="43"/>
  <c r="N118" i="43"/>
  <c r="O118" i="43"/>
  <c r="P118" i="43"/>
  <c r="Q118" i="43"/>
  <c r="G119" i="43"/>
  <c r="H119" i="43"/>
  <c r="I119" i="43"/>
  <c r="J119" i="43"/>
  <c r="K119" i="43"/>
  <c r="L119" i="43"/>
  <c r="M119" i="43"/>
  <c r="N119" i="43"/>
  <c r="O119" i="43"/>
  <c r="P119" i="43"/>
  <c r="Q119" i="43"/>
  <c r="F120" i="43"/>
  <c r="F119" i="43"/>
  <c r="F118" i="43"/>
  <c r="F117" i="43"/>
  <c r="F116" i="43"/>
  <c r="F112" i="43"/>
  <c r="S108" i="43"/>
  <c r="S107" i="43"/>
  <c r="S106" i="43"/>
  <c r="S105" i="43"/>
  <c r="S104" i="43"/>
  <c r="S103" i="43"/>
  <c r="S102" i="43"/>
  <c r="S101" i="43"/>
  <c r="S100" i="43"/>
  <c r="S99" i="43"/>
  <c r="S98" i="43"/>
  <c r="Q102" i="43"/>
  <c r="Q101" i="43"/>
  <c r="P100" i="43"/>
  <c r="O100" i="43"/>
  <c r="N100" i="43"/>
  <c r="M100" i="43"/>
  <c r="L100" i="43"/>
  <c r="K100" i="43"/>
  <c r="J100" i="43"/>
  <c r="I100" i="43"/>
  <c r="H100" i="43"/>
  <c r="G100" i="43"/>
  <c r="P99" i="43"/>
  <c r="O99" i="43"/>
  <c r="N99" i="43"/>
  <c r="M99" i="43"/>
  <c r="L99" i="43"/>
  <c r="K99" i="43"/>
  <c r="J99" i="43"/>
  <c r="I99" i="43"/>
  <c r="H99" i="43"/>
  <c r="G99" i="43"/>
  <c r="Q106" i="43"/>
  <c r="P106" i="43"/>
  <c r="O106" i="43"/>
  <c r="N106" i="43"/>
  <c r="M106" i="43"/>
  <c r="L106" i="43"/>
  <c r="K106" i="43"/>
  <c r="J106" i="43"/>
  <c r="I106" i="43"/>
  <c r="H106" i="43"/>
  <c r="G106" i="43"/>
  <c r="Q105" i="43"/>
  <c r="P105" i="43"/>
  <c r="O105" i="43"/>
  <c r="N105" i="43"/>
  <c r="M105" i="43"/>
  <c r="L105" i="43"/>
  <c r="K105" i="43"/>
  <c r="J105" i="43"/>
  <c r="I105" i="43"/>
  <c r="H105" i="43"/>
  <c r="G105" i="43"/>
  <c r="Q104" i="43"/>
  <c r="P104" i="43"/>
  <c r="O104" i="43"/>
  <c r="N104" i="43"/>
  <c r="M104" i="43"/>
  <c r="L104" i="43"/>
  <c r="K104" i="43"/>
  <c r="J104" i="43"/>
  <c r="I104" i="43"/>
  <c r="H104" i="43"/>
  <c r="G104" i="43"/>
  <c r="Q103" i="43"/>
  <c r="P103" i="43"/>
  <c r="O103" i="43"/>
  <c r="N103" i="43"/>
  <c r="M103" i="43"/>
  <c r="L103" i="43"/>
  <c r="K103" i="43"/>
  <c r="J103" i="43"/>
  <c r="I103" i="43"/>
  <c r="H103" i="43"/>
  <c r="G103" i="43"/>
  <c r="F106" i="43"/>
  <c r="F105" i="43"/>
  <c r="F104" i="43"/>
  <c r="F107" i="43"/>
  <c r="F103" i="43"/>
  <c r="F100" i="43"/>
  <c r="F99" i="43"/>
  <c r="S97" i="43"/>
  <c r="S96" i="43"/>
  <c r="S95" i="43"/>
  <c r="S94" i="43"/>
  <c r="S93" i="43"/>
  <c r="S92" i="43"/>
  <c r="S91" i="43"/>
  <c r="S90" i="43"/>
  <c r="S89" i="43"/>
  <c r="G89" i="43"/>
  <c r="H89" i="43"/>
  <c r="I89" i="43"/>
  <c r="J89" i="43"/>
  <c r="K89" i="43"/>
  <c r="L89" i="43"/>
  <c r="M89" i="43"/>
  <c r="N89" i="43"/>
  <c r="O89" i="43"/>
  <c r="P89" i="43"/>
  <c r="Q89" i="43"/>
  <c r="G90" i="43"/>
  <c r="H90" i="43"/>
  <c r="I90" i="43"/>
  <c r="J90" i="43"/>
  <c r="K90" i="43"/>
  <c r="L90" i="43"/>
  <c r="M90" i="43"/>
  <c r="N90" i="43"/>
  <c r="O90" i="43"/>
  <c r="P90" i="43"/>
  <c r="Q91" i="43"/>
  <c r="G92" i="43"/>
  <c r="H92" i="43"/>
  <c r="I92" i="43"/>
  <c r="J92" i="43"/>
  <c r="K92" i="43"/>
  <c r="L92" i="43"/>
  <c r="M92" i="43"/>
  <c r="N92" i="43"/>
  <c r="O92" i="43"/>
  <c r="P92" i="43"/>
  <c r="Q92" i="43"/>
  <c r="G93" i="43"/>
  <c r="H93" i="43"/>
  <c r="I93" i="43"/>
  <c r="J93" i="43"/>
  <c r="K93" i="43"/>
  <c r="L93" i="43"/>
  <c r="M93" i="43"/>
  <c r="N93" i="43"/>
  <c r="O93" i="43"/>
  <c r="P93" i="43"/>
  <c r="Q93" i="43"/>
  <c r="G94" i="43"/>
  <c r="H94" i="43"/>
  <c r="I94" i="43"/>
  <c r="J94" i="43"/>
  <c r="K94" i="43"/>
  <c r="L94" i="43"/>
  <c r="M94" i="43"/>
  <c r="N94" i="43"/>
  <c r="O94" i="43"/>
  <c r="P94" i="43"/>
  <c r="Q94" i="43"/>
  <c r="G95" i="43"/>
  <c r="H95" i="43"/>
  <c r="I95" i="43"/>
  <c r="J95" i="43"/>
  <c r="K95" i="43"/>
  <c r="L95" i="43"/>
  <c r="M95" i="43"/>
  <c r="N95" i="43"/>
  <c r="O95" i="43"/>
  <c r="P95" i="43"/>
  <c r="Q95" i="43"/>
  <c r="G96" i="43"/>
  <c r="H96" i="43"/>
  <c r="I96" i="43"/>
  <c r="J96" i="43"/>
  <c r="K96" i="43"/>
  <c r="L96" i="43"/>
  <c r="M96" i="43"/>
  <c r="N96" i="43"/>
  <c r="O96" i="43"/>
  <c r="P96" i="43"/>
  <c r="Q96" i="43"/>
  <c r="P97" i="43"/>
  <c r="Q97" i="43"/>
  <c r="F96" i="43"/>
  <c r="F95" i="43"/>
  <c r="F94" i="43"/>
  <c r="F93" i="43"/>
  <c r="F92" i="43"/>
  <c r="F90" i="43"/>
  <c r="F89" i="43"/>
  <c r="S87" i="43"/>
  <c r="S86" i="43"/>
  <c r="S85" i="43"/>
  <c r="S84" i="43"/>
  <c r="S83" i="43"/>
  <c r="S82" i="43"/>
  <c r="S81" i="43"/>
  <c r="S80" i="43"/>
  <c r="S79" i="43"/>
  <c r="G79" i="43"/>
  <c r="H79" i="43"/>
  <c r="I79" i="43"/>
  <c r="J79" i="43"/>
  <c r="K79" i="43"/>
  <c r="L79" i="43"/>
  <c r="M79" i="43"/>
  <c r="N79" i="43"/>
  <c r="O79" i="43"/>
  <c r="P79" i="43"/>
  <c r="Q79" i="43"/>
  <c r="Q80" i="43"/>
  <c r="Q81" i="43"/>
  <c r="Q82" i="43"/>
  <c r="G83" i="43"/>
  <c r="H83" i="43"/>
  <c r="I83" i="43"/>
  <c r="J83" i="43"/>
  <c r="K83" i="43"/>
  <c r="L83" i="43"/>
  <c r="M83" i="43"/>
  <c r="N83" i="43"/>
  <c r="O83" i="43"/>
  <c r="P83" i="43"/>
  <c r="Q83" i="43"/>
  <c r="G84" i="43"/>
  <c r="H84" i="43"/>
  <c r="I84" i="43"/>
  <c r="J84" i="43"/>
  <c r="K84" i="43"/>
  <c r="L84" i="43"/>
  <c r="M84" i="43"/>
  <c r="N84" i="43"/>
  <c r="O84" i="43"/>
  <c r="P84" i="43"/>
  <c r="Q84" i="43"/>
  <c r="G85" i="43"/>
  <c r="H85" i="43"/>
  <c r="I85" i="43"/>
  <c r="J85" i="43"/>
  <c r="K85" i="43"/>
  <c r="L85" i="43"/>
  <c r="M85" i="43"/>
  <c r="N85" i="43"/>
  <c r="O85" i="43"/>
  <c r="P85" i="43"/>
  <c r="Q85" i="43"/>
  <c r="G86" i="43"/>
  <c r="H86" i="43"/>
  <c r="I86" i="43"/>
  <c r="J86" i="43"/>
  <c r="K86" i="43"/>
  <c r="L86" i="43"/>
  <c r="M86" i="43"/>
  <c r="N86" i="43"/>
  <c r="O86" i="43"/>
  <c r="P86" i="43"/>
  <c r="Q86" i="43"/>
  <c r="O87" i="43"/>
  <c r="F86" i="43"/>
  <c r="F85" i="43"/>
  <c r="F84" i="43"/>
  <c r="F83" i="43"/>
  <c r="F79" i="43"/>
  <c r="S77" i="43"/>
  <c r="S76" i="43"/>
  <c r="S75" i="43"/>
  <c r="S74" i="43"/>
  <c r="S73" i="43"/>
  <c r="S72" i="43"/>
  <c r="S71" i="43"/>
  <c r="S70" i="43"/>
  <c r="S69" i="43"/>
  <c r="H73" i="43"/>
  <c r="I73" i="43"/>
  <c r="J73" i="43"/>
  <c r="K73" i="43"/>
  <c r="L73" i="43"/>
  <c r="M73" i="43"/>
  <c r="N73" i="43"/>
  <c r="O73" i="43"/>
  <c r="P73" i="43"/>
  <c r="Q73" i="43"/>
  <c r="H75" i="43"/>
  <c r="I75" i="43"/>
  <c r="J75" i="43"/>
  <c r="K75" i="43"/>
  <c r="L75" i="43"/>
  <c r="M75" i="43"/>
  <c r="N75" i="43"/>
  <c r="O75" i="43"/>
  <c r="P75" i="43"/>
  <c r="Q75" i="43"/>
  <c r="H76" i="43"/>
  <c r="I76" i="43"/>
  <c r="J76" i="43"/>
  <c r="K76" i="43"/>
  <c r="L76" i="43"/>
  <c r="M76" i="43"/>
  <c r="N76" i="43"/>
  <c r="O76" i="43"/>
  <c r="P76" i="43"/>
  <c r="Q76" i="43"/>
  <c r="G76" i="43"/>
  <c r="G75" i="43"/>
  <c r="G73" i="43"/>
  <c r="G69" i="43"/>
  <c r="H69" i="43"/>
  <c r="I69" i="43"/>
  <c r="J69" i="43"/>
  <c r="K69" i="43"/>
  <c r="L69" i="43"/>
  <c r="M69" i="43"/>
  <c r="N69" i="43"/>
  <c r="O69" i="43"/>
  <c r="P69" i="43"/>
  <c r="Q69" i="43"/>
  <c r="G70" i="43"/>
  <c r="H70" i="43"/>
  <c r="I70" i="43"/>
  <c r="J70" i="43"/>
  <c r="K70" i="43"/>
  <c r="L70" i="43"/>
  <c r="M70" i="43"/>
  <c r="N70" i="43"/>
  <c r="O70" i="43"/>
  <c r="P70" i="43"/>
  <c r="Q71" i="43"/>
  <c r="Q72" i="43"/>
  <c r="F77" i="43"/>
  <c r="M77" i="43" s="1"/>
  <c r="F74" i="43"/>
  <c r="K74" i="43" s="1"/>
  <c r="F70" i="43"/>
  <c r="F69" i="43"/>
  <c r="S67" i="43"/>
  <c r="S66" i="43"/>
  <c r="S65" i="43"/>
  <c r="S64" i="43"/>
  <c r="S63" i="43"/>
  <c r="S62" i="43"/>
  <c r="S61" i="43"/>
  <c r="S60" i="43"/>
  <c r="S59" i="43"/>
  <c r="G59" i="43"/>
  <c r="H59" i="43"/>
  <c r="I59" i="43"/>
  <c r="J59" i="43"/>
  <c r="K59" i="43"/>
  <c r="L59" i="43"/>
  <c r="M59" i="43"/>
  <c r="N59" i="43"/>
  <c r="O59" i="43"/>
  <c r="P59" i="43"/>
  <c r="Q59" i="43"/>
  <c r="Q60" i="43"/>
  <c r="Q61" i="43"/>
  <c r="Q62" i="43"/>
  <c r="G63" i="43"/>
  <c r="H63" i="43"/>
  <c r="I63" i="43"/>
  <c r="J63" i="43"/>
  <c r="K63" i="43"/>
  <c r="L63" i="43"/>
  <c r="M63" i="43"/>
  <c r="N63" i="43"/>
  <c r="O63" i="43"/>
  <c r="P63" i="43"/>
  <c r="Q63" i="43"/>
  <c r="G64" i="43"/>
  <c r="H64" i="43"/>
  <c r="I64" i="43"/>
  <c r="J64" i="43"/>
  <c r="K64" i="43"/>
  <c r="L64" i="43"/>
  <c r="M64" i="43"/>
  <c r="N64" i="43"/>
  <c r="O64" i="43"/>
  <c r="P64" i="43"/>
  <c r="Q64" i="43"/>
  <c r="G65" i="43"/>
  <c r="H65" i="43"/>
  <c r="I65" i="43"/>
  <c r="J65" i="43"/>
  <c r="K65" i="43"/>
  <c r="L65" i="43"/>
  <c r="M65" i="43"/>
  <c r="N65" i="43"/>
  <c r="O65" i="43"/>
  <c r="P65" i="43"/>
  <c r="Q65" i="43"/>
  <c r="G66" i="43"/>
  <c r="H66" i="43"/>
  <c r="I66" i="43"/>
  <c r="J66" i="43"/>
  <c r="K66" i="43"/>
  <c r="L66" i="43"/>
  <c r="M66" i="43"/>
  <c r="N66" i="43"/>
  <c r="O66" i="43"/>
  <c r="P66" i="43"/>
  <c r="Q66" i="43"/>
  <c r="F66" i="43"/>
  <c r="F65" i="43"/>
  <c r="F64" i="43"/>
  <c r="F63" i="43"/>
  <c r="F59" i="43"/>
  <c r="S57" i="43"/>
  <c r="S56" i="43"/>
  <c r="S55" i="43"/>
  <c r="S54" i="43"/>
  <c r="S53" i="43"/>
  <c r="S52" i="43"/>
  <c r="S51" i="43"/>
  <c r="S50" i="43"/>
  <c r="S49" i="43"/>
  <c r="Q49" i="43"/>
  <c r="G50" i="43"/>
  <c r="H50" i="43"/>
  <c r="I50" i="43"/>
  <c r="J50" i="43"/>
  <c r="K50" i="43"/>
  <c r="L50" i="43"/>
  <c r="M50" i="43"/>
  <c r="N50" i="43"/>
  <c r="O50" i="43"/>
  <c r="P50" i="43"/>
  <c r="Q50" i="43"/>
  <c r="Q51" i="43"/>
  <c r="Q52" i="43"/>
  <c r="G53" i="43"/>
  <c r="H53" i="43"/>
  <c r="I53" i="43"/>
  <c r="J53" i="43"/>
  <c r="K53" i="43"/>
  <c r="L53" i="43"/>
  <c r="M53" i="43"/>
  <c r="N53" i="43"/>
  <c r="O53" i="43"/>
  <c r="P53" i="43"/>
  <c r="Q53" i="43"/>
  <c r="G54" i="43"/>
  <c r="H54" i="43"/>
  <c r="I54" i="43"/>
  <c r="J54" i="43"/>
  <c r="K54" i="43"/>
  <c r="L54" i="43"/>
  <c r="M54" i="43"/>
  <c r="N54" i="43"/>
  <c r="O54" i="43"/>
  <c r="P54" i="43"/>
  <c r="Q54" i="43"/>
  <c r="G55" i="43"/>
  <c r="H55" i="43"/>
  <c r="I55" i="43"/>
  <c r="J55" i="43"/>
  <c r="K55" i="43"/>
  <c r="L55" i="43"/>
  <c r="M55" i="43"/>
  <c r="N55" i="43"/>
  <c r="O55" i="43"/>
  <c r="P55" i="43"/>
  <c r="Q55" i="43"/>
  <c r="G56" i="43"/>
  <c r="H56" i="43"/>
  <c r="I56" i="43"/>
  <c r="J56" i="43"/>
  <c r="K56" i="43"/>
  <c r="L56" i="43"/>
  <c r="M56" i="43"/>
  <c r="N56" i="43"/>
  <c r="O56" i="43"/>
  <c r="P56" i="43"/>
  <c r="Q56" i="43"/>
  <c r="O57" i="43"/>
  <c r="F56" i="43"/>
  <c r="F55" i="43"/>
  <c r="F54" i="43"/>
  <c r="F53" i="43"/>
  <c r="Q48" i="46" l="1"/>
  <c r="T41" i="16"/>
  <c r="T52" i="13"/>
  <c r="O47" i="46"/>
  <c r="O48" i="46" s="1"/>
  <c r="O54" i="46" s="1"/>
  <c r="O56" i="46" s="1"/>
  <c r="O58" i="46" s="1"/>
  <c r="T85" i="7"/>
  <c r="T227" i="43"/>
  <c r="O74" i="43"/>
  <c r="R208" i="43"/>
  <c r="T208" i="43" s="1"/>
  <c r="R161" i="43"/>
  <c r="T161" i="43" s="1"/>
  <c r="N74" i="43"/>
  <c r="L74" i="43"/>
  <c r="R112" i="43"/>
  <c r="T112" i="43" s="1"/>
  <c r="M74" i="43"/>
  <c r="R129" i="43"/>
  <c r="T129" i="43" s="1"/>
  <c r="R86" i="43"/>
  <c r="T86" i="43" s="1"/>
  <c r="G74" i="43"/>
  <c r="R122" i="43"/>
  <c r="T122" i="43" s="1"/>
  <c r="L77" i="43"/>
  <c r="R125" i="43"/>
  <c r="T125" i="43" s="1"/>
  <c r="R53" i="43"/>
  <c r="T53" i="43" s="1"/>
  <c r="P77" i="43"/>
  <c r="R59" i="43"/>
  <c r="T59" i="43" s="1"/>
  <c r="Q74" i="43"/>
  <c r="P74" i="43"/>
  <c r="R93" i="43"/>
  <c r="T93" i="43" s="1"/>
  <c r="R103" i="43"/>
  <c r="T103" i="43" s="1"/>
  <c r="R105" i="43"/>
  <c r="T105" i="43" s="1"/>
  <c r="R128" i="43"/>
  <c r="T128" i="43" s="1"/>
  <c r="R104" i="43"/>
  <c r="T104" i="43" s="1"/>
  <c r="R117" i="43"/>
  <c r="T117" i="43" s="1"/>
  <c r="R133" i="43"/>
  <c r="T133" i="43" s="1"/>
  <c r="R140" i="43"/>
  <c r="T140" i="43" s="1"/>
  <c r="R54" i="43"/>
  <c r="T54" i="43" s="1"/>
  <c r="R134" i="43"/>
  <c r="T134" i="43" s="1"/>
  <c r="R123" i="43"/>
  <c r="T123" i="43" s="1"/>
  <c r="R83" i="43"/>
  <c r="T83" i="43" s="1"/>
  <c r="R136" i="43"/>
  <c r="T136" i="43" s="1"/>
  <c r="R146" i="43"/>
  <c r="T146" i="43" s="1"/>
  <c r="R84" i="43"/>
  <c r="T84" i="43" s="1"/>
  <c r="R106" i="43"/>
  <c r="T106" i="43" s="1"/>
  <c r="R137" i="43"/>
  <c r="T137" i="43" s="1"/>
  <c r="R143" i="43"/>
  <c r="T143" i="43" s="1"/>
  <c r="R64" i="43"/>
  <c r="T64" i="43" s="1"/>
  <c r="R69" i="43"/>
  <c r="T69" i="43" s="1"/>
  <c r="R63" i="43"/>
  <c r="T63" i="43" s="1"/>
  <c r="R139" i="43"/>
  <c r="T139" i="43" s="1"/>
  <c r="R65" i="43"/>
  <c r="T65" i="43" s="1"/>
  <c r="R116" i="43"/>
  <c r="T116" i="43" s="1"/>
  <c r="R150" i="43"/>
  <c r="T150" i="43" s="1"/>
  <c r="R95" i="43"/>
  <c r="T95" i="43" s="1"/>
  <c r="R144" i="43"/>
  <c r="T144" i="43" s="1"/>
  <c r="R55" i="43"/>
  <c r="T55" i="43" s="1"/>
  <c r="R145" i="43"/>
  <c r="T145" i="43" s="1"/>
  <c r="R92" i="43"/>
  <c r="T92" i="43" s="1"/>
  <c r="F121" i="43"/>
  <c r="R66" i="43"/>
  <c r="T66" i="43" s="1"/>
  <c r="I74" i="43"/>
  <c r="R94" i="43"/>
  <c r="T94" i="43" s="1"/>
  <c r="R124" i="43"/>
  <c r="T124" i="43" s="1"/>
  <c r="R127" i="43"/>
  <c r="T127" i="43" s="1"/>
  <c r="R138" i="43"/>
  <c r="T138" i="43" s="1"/>
  <c r="R148" i="43"/>
  <c r="T148" i="43" s="1"/>
  <c r="R56" i="43"/>
  <c r="T56" i="43" s="1"/>
  <c r="R85" i="43"/>
  <c r="T85" i="43" s="1"/>
  <c r="J74" i="43"/>
  <c r="R79" i="43"/>
  <c r="T79" i="43" s="1"/>
  <c r="R119" i="43"/>
  <c r="T119" i="43" s="1"/>
  <c r="R147" i="43"/>
  <c r="T147" i="43" s="1"/>
  <c r="G77" i="43"/>
  <c r="R118" i="43"/>
  <c r="T118" i="43" s="1"/>
  <c r="R149" i="43"/>
  <c r="T149" i="43" s="1"/>
  <c r="R89" i="43"/>
  <c r="T89" i="43" s="1"/>
  <c r="Q77" i="43"/>
  <c r="R96" i="43"/>
  <c r="T96" i="43" s="1"/>
  <c r="R126" i="43"/>
  <c r="T126" i="43" s="1"/>
  <c r="R135" i="43"/>
  <c r="T135" i="43" s="1"/>
  <c r="R31" i="45"/>
  <c r="J77" i="43"/>
  <c r="H74" i="43"/>
  <c r="I77" i="43"/>
  <c r="H77" i="43"/>
  <c r="Q131" i="43"/>
  <c r="K77" i="43"/>
  <c r="O77" i="43"/>
  <c r="N77" i="43"/>
  <c r="R73" i="43"/>
  <c r="R76" i="43"/>
  <c r="R75" i="43"/>
  <c r="F50" i="43"/>
  <c r="Q46" i="43"/>
  <c r="S46" i="43"/>
  <c r="S45" i="43"/>
  <c r="V147" i="43" s="1"/>
  <c r="S44" i="43"/>
  <c r="S43" i="43"/>
  <c r="S42" i="43"/>
  <c r="S41" i="43"/>
  <c r="H42" i="43"/>
  <c r="I42" i="43"/>
  <c r="J42" i="43"/>
  <c r="K42" i="43"/>
  <c r="L42" i="43"/>
  <c r="M42" i="43"/>
  <c r="N42" i="43"/>
  <c r="O42" i="43"/>
  <c r="P42" i="43"/>
  <c r="Q42" i="43"/>
  <c r="G42" i="43"/>
  <c r="F42" i="43"/>
  <c r="S35" i="43"/>
  <c r="S39" i="43"/>
  <c r="S38" i="43"/>
  <c r="S37" i="43"/>
  <c r="S36" i="43"/>
  <c r="G37" i="43"/>
  <c r="H37" i="43"/>
  <c r="I37" i="43"/>
  <c r="J37" i="43"/>
  <c r="K37" i="43"/>
  <c r="L37" i="43"/>
  <c r="M37" i="43"/>
  <c r="N37" i="43"/>
  <c r="O37" i="43"/>
  <c r="P37" i="43"/>
  <c r="Q37" i="43"/>
  <c r="G38" i="43"/>
  <c r="H38" i="43"/>
  <c r="I38" i="43"/>
  <c r="J38" i="43"/>
  <c r="K38" i="43"/>
  <c r="L38" i="43"/>
  <c r="M38" i="43"/>
  <c r="N38" i="43"/>
  <c r="O38" i="43"/>
  <c r="P38" i="43"/>
  <c r="Q38" i="43"/>
  <c r="G39" i="43"/>
  <c r="H39" i="43"/>
  <c r="I39" i="43"/>
  <c r="J39" i="43"/>
  <c r="K39" i="43"/>
  <c r="L39" i="43"/>
  <c r="M39" i="43"/>
  <c r="N39" i="43"/>
  <c r="O39" i="43"/>
  <c r="P39" i="43"/>
  <c r="Q39" i="43"/>
  <c r="F39" i="43"/>
  <c r="F38" i="43"/>
  <c r="F37" i="43"/>
  <c r="S34" i="43"/>
  <c r="S33" i="43"/>
  <c r="S32" i="43"/>
  <c r="S31" i="43"/>
  <c r="Q34" i="43"/>
  <c r="P34" i="43"/>
  <c r="O34" i="43"/>
  <c r="N34" i="43"/>
  <c r="M34" i="43"/>
  <c r="L34" i="43"/>
  <c r="K34" i="43"/>
  <c r="J34" i="43"/>
  <c r="I34" i="43"/>
  <c r="H34" i="43"/>
  <c r="G34" i="43"/>
  <c r="Q33" i="43"/>
  <c r="P33" i="43"/>
  <c r="O33" i="43"/>
  <c r="N33" i="43"/>
  <c r="M33" i="43"/>
  <c r="L33" i="43"/>
  <c r="K33" i="43"/>
  <c r="J33" i="43"/>
  <c r="I33" i="43"/>
  <c r="H33" i="43"/>
  <c r="G33" i="43"/>
  <c r="Q32" i="43"/>
  <c r="P31" i="43"/>
  <c r="O31" i="43"/>
  <c r="N31" i="43"/>
  <c r="M31" i="43"/>
  <c r="L31" i="43"/>
  <c r="K31" i="43"/>
  <c r="J31" i="43"/>
  <c r="I31" i="43"/>
  <c r="H31" i="43"/>
  <c r="G31" i="43"/>
  <c r="F34" i="43"/>
  <c r="F33" i="43"/>
  <c r="F31" i="43"/>
  <c r="S29" i="43"/>
  <c r="S28" i="43"/>
  <c r="S27" i="43"/>
  <c r="S26" i="43"/>
  <c r="S25" i="43"/>
  <c r="S24" i="43"/>
  <c r="S22" i="43"/>
  <c r="S21" i="43"/>
  <c r="S20" i="43"/>
  <c r="S19" i="43"/>
  <c r="S18" i="43"/>
  <c r="S17" i="43"/>
  <c r="S16" i="43"/>
  <c r="S15" i="43"/>
  <c r="S14" i="43"/>
  <c r="Q25" i="43"/>
  <c r="Q26" i="43"/>
  <c r="G27" i="43"/>
  <c r="H27" i="43"/>
  <c r="I27" i="43"/>
  <c r="J27" i="43"/>
  <c r="K27" i="43"/>
  <c r="L27" i="43"/>
  <c r="M27" i="43"/>
  <c r="N27" i="43"/>
  <c r="O27" i="43"/>
  <c r="P27" i="43"/>
  <c r="Q27" i="43"/>
  <c r="G28" i="43"/>
  <c r="H28" i="43"/>
  <c r="I28" i="43"/>
  <c r="J28" i="43"/>
  <c r="K28" i="43"/>
  <c r="L28" i="43"/>
  <c r="M28" i="43"/>
  <c r="N28" i="43"/>
  <c r="O28" i="43"/>
  <c r="P28" i="43"/>
  <c r="Q28" i="43"/>
  <c r="G29" i="43"/>
  <c r="H29" i="43"/>
  <c r="I29" i="43"/>
  <c r="J29" i="43"/>
  <c r="K29" i="43"/>
  <c r="L29" i="43"/>
  <c r="M29" i="43"/>
  <c r="N29" i="43"/>
  <c r="O29" i="43"/>
  <c r="P29" i="43"/>
  <c r="Q29" i="43"/>
  <c r="F29" i="43"/>
  <c r="F28" i="43"/>
  <c r="F27" i="43"/>
  <c r="Q15" i="43"/>
  <c r="Q16" i="43"/>
  <c r="Q17" i="43"/>
  <c r="G18" i="43"/>
  <c r="H18" i="43"/>
  <c r="I18" i="43"/>
  <c r="J18" i="43"/>
  <c r="K18" i="43"/>
  <c r="L18" i="43"/>
  <c r="M18" i="43"/>
  <c r="N18" i="43"/>
  <c r="O18" i="43"/>
  <c r="P18" i="43"/>
  <c r="Q18" i="43"/>
  <c r="G19" i="43"/>
  <c r="H19" i="43"/>
  <c r="I19" i="43"/>
  <c r="J19" i="43"/>
  <c r="K19" i="43"/>
  <c r="L19" i="43"/>
  <c r="M19" i="43"/>
  <c r="N19" i="43"/>
  <c r="O19" i="43"/>
  <c r="P19" i="43"/>
  <c r="Q19" i="43"/>
  <c r="G20" i="43"/>
  <c r="H20" i="43"/>
  <c r="I20" i="43"/>
  <c r="J20" i="43"/>
  <c r="K20" i="43"/>
  <c r="L20" i="43"/>
  <c r="M20" i="43"/>
  <c r="N20" i="43"/>
  <c r="O20" i="43"/>
  <c r="P20" i="43"/>
  <c r="Q20" i="43"/>
  <c r="G21" i="43"/>
  <c r="H21" i="43"/>
  <c r="I21" i="43"/>
  <c r="J21" i="43"/>
  <c r="K21" i="43"/>
  <c r="L21" i="43"/>
  <c r="M21" i="43"/>
  <c r="N21" i="43"/>
  <c r="O21" i="43"/>
  <c r="P21" i="43"/>
  <c r="Q21" i="43"/>
  <c r="Q42" i="44"/>
  <c r="O42" i="44"/>
  <c r="O41" i="44"/>
  <c r="O40" i="44"/>
  <c r="Q37" i="44"/>
  <c r="Q107" i="43" s="1"/>
  <c r="P37" i="44"/>
  <c r="P107" i="43" s="1"/>
  <c r="Q36" i="44"/>
  <c r="P36" i="44"/>
  <c r="Q34" i="44"/>
  <c r="P34" i="44"/>
  <c r="Q33" i="44"/>
  <c r="Q120" i="43" s="1"/>
  <c r="Q111" i="43" s="1"/>
  <c r="P33" i="44"/>
  <c r="P120" i="43" s="1"/>
  <c r="Q27" i="44"/>
  <c r="Q67" i="43" s="1"/>
  <c r="Q58" i="43" s="1"/>
  <c r="P27" i="44"/>
  <c r="P67" i="43" s="1"/>
  <c r="Q29" i="44"/>
  <c r="Q87" i="43" s="1"/>
  <c r="Q78" i="43" s="1"/>
  <c r="P29" i="44"/>
  <c r="P87" i="43" s="1"/>
  <c r="Q26" i="44"/>
  <c r="Q57" i="43" s="1"/>
  <c r="Q48" i="43" s="1"/>
  <c r="P26" i="44"/>
  <c r="P57" i="43" s="1"/>
  <c r="Q22" i="44"/>
  <c r="Q22" i="43" s="1"/>
  <c r="P130" i="43" l="1"/>
  <c r="P121" i="43"/>
  <c r="Q130" i="43"/>
  <c r="Q121" i="43" s="1"/>
  <c r="O183" i="43"/>
  <c r="O193" i="43"/>
  <c r="P42" i="44"/>
  <c r="Q41" i="44"/>
  <c r="Q193" i="43" s="1"/>
  <c r="Q40" i="44"/>
  <c r="Q183" i="43" s="1"/>
  <c r="P40" i="44"/>
  <c r="P183" i="43" s="1"/>
  <c r="P41" i="44"/>
  <c r="V32" i="43"/>
  <c r="R74" i="43"/>
  <c r="T74" i="43" s="1"/>
  <c r="R34" i="43"/>
  <c r="T34" i="43" s="1"/>
  <c r="V18" i="43"/>
  <c r="V74" i="43"/>
  <c r="V22" i="43"/>
  <c r="V75" i="43"/>
  <c r="V161" i="43"/>
  <c r="V35" i="43"/>
  <c r="R38" i="43"/>
  <c r="T38" i="43" s="1"/>
  <c r="V29" i="43"/>
  <c r="R37" i="43"/>
  <c r="T37" i="43" s="1"/>
  <c r="R33" i="43"/>
  <c r="T33" i="43" s="1"/>
  <c r="V95" i="43"/>
  <c r="V84" i="43"/>
  <c r="V119" i="43"/>
  <c r="V116" i="43"/>
  <c r="V39" i="43"/>
  <c r="V126" i="43"/>
  <c r="R27" i="43"/>
  <c r="T27" i="43" s="1"/>
  <c r="V113" i="43"/>
  <c r="R28" i="43"/>
  <c r="T28" i="43" s="1"/>
  <c r="R29" i="43"/>
  <c r="T29" i="43" s="1"/>
  <c r="R39" i="43"/>
  <c r="T39" i="43" s="1"/>
  <c r="R42" i="43"/>
  <c r="T42" i="43" s="1"/>
  <c r="V128" i="43"/>
  <c r="V42" i="43"/>
  <c r="R77" i="43"/>
  <c r="T77" i="43" s="1"/>
  <c r="V63" i="43"/>
  <c r="V56" i="43"/>
  <c r="V129" i="43"/>
  <c r="V59" i="43"/>
  <c r="V145" i="43"/>
  <c r="V19" i="43"/>
  <c r="V20" i="43"/>
  <c r="V100" i="43"/>
  <c r="V138" i="43"/>
  <c r="V76" i="43"/>
  <c r="V114" i="43"/>
  <c r="V21" i="43"/>
  <c r="V125" i="43"/>
  <c r="V103" i="43"/>
  <c r="V57" i="43"/>
  <c r="V66" i="43"/>
  <c r="V141" i="43"/>
  <c r="V136" i="43"/>
  <c r="V31" i="43"/>
  <c r="V41" i="43"/>
  <c r="V44" i="43"/>
  <c r="R50" i="43"/>
  <c r="T50" i="43" s="1"/>
  <c r="V94" i="43"/>
  <c r="V90" i="43"/>
  <c r="V67" i="43"/>
  <c r="V33" i="43"/>
  <c r="V43" i="43"/>
  <c r="V46" i="43"/>
  <c r="V51" i="43"/>
  <c r="V87" i="43"/>
  <c r="V71" i="43"/>
  <c r="V61" i="43"/>
  <c r="V34" i="43"/>
  <c r="V106" i="43"/>
  <c r="V79" i="43"/>
  <c r="V14" i="43"/>
  <c r="V25" i="43"/>
  <c r="V142" i="43"/>
  <c r="V24" i="43"/>
  <c r="V15" i="43"/>
  <c r="V130" i="43"/>
  <c r="V60" i="43"/>
  <c r="V123" i="43"/>
  <c r="V49" i="43"/>
  <c r="V77" i="43"/>
  <c r="V36" i="43"/>
  <c r="V52" i="43"/>
  <c r="V97" i="43"/>
  <c r="V37" i="43"/>
  <c r="V135" i="43"/>
  <c r="V143" i="43"/>
  <c r="V93" i="43"/>
  <c r="V139" i="43"/>
  <c r="V127" i="43"/>
  <c r="V38" i="43"/>
  <c r="V89" i="43"/>
  <c r="T73" i="43"/>
  <c r="V227" i="43"/>
  <c r="V211" i="43"/>
  <c r="V205" i="43"/>
  <c r="V189" i="43"/>
  <c r="V173" i="43"/>
  <c r="V157" i="43"/>
  <c r="V45" i="43"/>
  <c r="V232" i="43"/>
  <c r="V216" i="43"/>
  <c r="V194" i="43"/>
  <c r="V162" i="43"/>
  <c r="V98" i="43"/>
  <c r="V221" i="43"/>
  <c r="V199" i="43"/>
  <c r="V183" i="43"/>
  <c r="V167" i="43"/>
  <c r="V226" i="43"/>
  <c r="V210" i="43"/>
  <c r="V204" i="43"/>
  <c r="V188" i="43"/>
  <c r="V172" i="43"/>
  <c r="V156" i="43"/>
  <c r="V140" i="43"/>
  <c r="V124" i="43"/>
  <c r="V108" i="43"/>
  <c r="V92" i="43"/>
  <c r="V231" i="43"/>
  <c r="V215" i="43"/>
  <c r="V193" i="43"/>
  <c r="V177" i="43"/>
  <c r="V160" i="43"/>
  <c r="V225" i="43"/>
  <c r="V209" i="43"/>
  <c r="V203" i="43"/>
  <c r="V187" i="43"/>
  <c r="V171" i="43"/>
  <c r="V155" i="43"/>
  <c r="V230" i="43"/>
  <c r="V214" i="43"/>
  <c r="V192" i="43"/>
  <c r="V176" i="43"/>
  <c r="V144" i="43"/>
  <c r="V112" i="43"/>
  <c r="V96" i="43"/>
  <c r="V80" i="43"/>
  <c r="V224" i="43"/>
  <c r="V208" i="43"/>
  <c r="V202" i="43"/>
  <c r="V186" i="43"/>
  <c r="V170" i="43"/>
  <c r="V229" i="43"/>
  <c r="V213" i="43"/>
  <c r="V191" i="43"/>
  <c r="V175" i="43"/>
  <c r="V159" i="43"/>
  <c r="V47" i="43"/>
  <c r="V218" i="43"/>
  <c r="V196" i="43"/>
  <c r="V164" i="43"/>
  <c r="V223" i="43"/>
  <c r="V207" i="43"/>
  <c r="V201" i="43"/>
  <c r="V185" i="43"/>
  <c r="V169" i="43"/>
  <c r="V153" i="43"/>
  <c r="V137" i="43"/>
  <c r="V105" i="43"/>
  <c r="V73" i="43"/>
  <c r="V228" i="43"/>
  <c r="V212" i="43"/>
  <c r="V190" i="43"/>
  <c r="V174" i="43"/>
  <c r="V158" i="43"/>
  <c r="V110" i="43"/>
  <c r="V200" i="43"/>
  <c r="V168" i="43"/>
  <c r="V104" i="43"/>
  <c r="V72" i="43"/>
  <c r="V217" i="43"/>
  <c r="V163" i="43"/>
  <c r="V222" i="43"/>
  <c r="V120" i="43"/>
  <c r="V198" i="43"/>
  <c r="V197" i="43"/>
  <c r="V70" i="43"/>
  <c r="V150" i="43"/>
  <c r="V149" i="43"/>
  <c r="V69" i="43"/>
  <c r="V220" i="43"/>
  <c r="V102" i="43"/>
  <c r="V219" i="43"/>
  <c r="V101" i="43"/>
  <c r="V64" i="43"/>
  <c r="V133" i="43"/>
  <c r="V134" i="43"/>
  <c r="V117" i="43"/>
  <c r="V85" i="43"/>
  <c r="V54" i="43"/>
  <c r="V166" i="43"/>
  <c r="V165" i="43"/>
  <c r="V53" i="43"/>
  <c r="V118" i="43"/>
  <c r="V65" i="43"/>
  <c r="V148" i="43"/>
  <c r="V115" i="43"/>
  <c r="V82" i="43"/>
  <c r="V107" i="43"/>
  <c r="V122" i="43"/>
  <c r="V132" i="43"/>
  <c r="V16" i="43"/>
  <c r="V99" i="43"/>
  <c r="V83" i="43"/>
  <c r="V91" i="43"/>
  <c r="V55" i="43"/>
  <c r="V81" i="43"/>
  <c r="V86" i="43"/>
  <c r="V26" i="43"/>
  <c r="V27" i="43"/>
  <c r="V17" i="43"/>
  <c r="V28" i="43"/>
  <c r="V50" i="43"/>
  <c r="V62" i="43"/>
  <c r="V146" i="43"/>
  <c r="T75" i="43"/>
  <c r="S109" i="43"/>
  <c r="T76" i="43"/>
  <c r="S23" i="43"/>
  <c r="V23" i="43" s="1"/>
  <c r="P22" i="44"/>
  <c r="P22" i="43" s="1"/>
  <c r="O22" i="44"/>
  <c r="O22" i="43" s="1"/>
  <c r="P193" i="43" l="1"/>
  <c r="R193" i="43" s="1"/>
  <c r="T193" i="43" s="1"/>
  <c r="R42" i="44"/>
  <c r="R183" i="43"/>
  <c r="T183" i="43" s="1"/>
  <c r="R41" i="44"/>
  <c r="R40" i="44"/>
  <c r="N51" i="46" s="1"/>
  <c r="V109" i="43"/>
  <c r="S152" i="43"/>
  <c r="O37" i="44"/>
  <c r="O107" i="43" s="1"/>
  <c r="N37" i="44"/>
  <c r="M37" i="44"/>
  <c r="L37" i="44"/>
  <c r="K37" i="44"/>
  <c r="O34" i="44"/>
  <c r="L28" i="44"/>
  <c r="K28" i="44"/>
  <c r="J28" i="44"/>
  <c r="F28" i="44"/>
  <c r="F22" i="44"/>
  <c r="M29" i="44"/>
  <c r="M87" i="43" s="1"/>
  <c r="I30" i="44"/>
  <c r="J97" i="43" s="1"/>
  <c r="Q28" i="44"/>
  <c r="M28" i="44"/>
  <c r="I28" i="44"/>
  <c r="H28" i="44"/>
  <c r="G28" i="44"/>
  <c r="F26" i="44"/>
  <c r="N28" i="44"/>
  <c r="K22" i="44"/>
  <c r="K22" i="43" s="1"/>
  <c r="J22" i="44"/>
  <c r="J22" i="43" s="1"/>
  <c r="I22" i="44"/>
  <c r="I22" i="43" s="1"/>
  <c r="H22" i="44"/>
  <c r="H22" i="43" s="1"/>
  <c r="N52" i="46" l="1"/>
  <c r="M107" i="43"/>
  <c r="L107" i="43"/>
  <c r="N107" i="43"/>
  <c r="K107" i="43"/>
  <c r="T40" i="44"/>
  <c r="T41" i="44"/>
  <c r="T42" i="44"/>
  <c r="F22" i="43"/>
  <c r="F57" i="43"/>
  <c r="J30" i="44"/>
  <c r="K97" i="43" s="1"/>
  <c r="N33" i="44"/>
  <c r="N120" i="43" s="1"/>
  <c r="N26" i="44"/>
  <c r="N57" i="43" s="1"/>
  <c r="N29" i="44"/>
  <c r="N87" i="43" s="1"/>
  <c r="K29" i="44"/>
  <c r="K87" i="43" s="1"/>
  <c r="H37" i="44"/>
  <c r="I37" i="44"/>
  <c r="M26" i="44"/>
  <c r="M57" i="43" s="1"/>
  <c r="M33" i="44"/>
  <c r="M120" i="43" s="1"/>
  <c r="J29" i="44"/>
  <c r="J87" i="43" s="1"/>
  <c r="G37" i="44"/>
  <c r="N27" i="44"/>
  <c r="N67" i="43" s="1"/>
  <c r="O27" i="44"/>
  <c r="O67" i="43" s="1"/>
  <c r="J37" i="44"/>
  <c r="K30" i="44"/>
  <c r="L97" i="43" s="1"/>
  <c r="H36" i="44"/>
  <c r="N30" i="44"/>
  <c r="O97" i="43" s="1"/>
  <c r="I36" i="44"/>
  <c r="G26" i="44"/>
  <c r="G57" i="43" s="1"/>
  <c r="H27" i="44"/>
  <c r="H67" i="43" s="1"/>
  <c r="O28" i="44"/>
  <c r="G33" i="44"/>
  <c r="I34" i="44"/>
  <c r="K36" i="44"/>
  <c r="L30" i="44"/>
  <c r="M97" i="43" s="1"/>
  <c r="M22" i="44"/>
  <c r="M22" i="43" s="1"/>
  <c r="G27" i="44"/>
  <c r="G67" i="43" s="1"/>
  <c r="H34" i="44"/>
  <c r="J36" i="44"/>
  <c r="H26" i="44"/>
  <c r="H57" i="43" s="1"/>
  <c r="I27" i="44"/>
  <c r="I67" i="43" s="1"/>
  <c r="P28" i="44"/>
  <c r="F27" i="44"/>
  <c r="H33" i="44"/>
  <c r="H120" i="43" s="1"/>
  <c r="J34" i="44"/>
  <c r="L36" i="44"/>
  <c r="L22" i="44"/>
  <c r="L22" i="43" s="1"/>
  <c r="M30" i="44"/>
  <c r="N97" i="43" s="1"/>
  <c r="N22" i="44"/>
  <c r="N22" i="43" s="1"/>
  <c r="I33" i="44"/>
  <c r="I120" i="43" s="1"/>
  <c r="M36" i="44"/>
  <c r="J26" i="44"/>
  <c r="J57" i="43" s="1"/>
  <c r="G29" i="44"/>
  <c r="G87" i="43" s="1"/>
  <c r="F29" i="44"/>
  <c r="L34" i="44"/>
  <c r="K26" i="44"/>
  <c r="K57" i="43" s="1"/>
  <c r="H29" i="44"/>
  <c r="H87" i="43" s="1"/>
  <c r="L27" i="44"/>
  <c r="L67" i="43" s="1"/>
  <c r="K33" i="44"/>
  <c r="K120" i="43" s="1"/>
  <c r="M34" i="44"/>
  <c r="O36" i="44"/>
  <c r="O130" i="43" s="1"/>
  <c r="G36" i="44"/>
  <c r="G34" i="44"/>
  <c r="I26" i="44"/>
  <c r="I57" i="43" s="1"/>
  <c r="J27" i="44"/>
  <c r="J67" i="43" s="1"/>
  <c r="K34" i="44"/>
  <c r="K27" i="44"/>
  <c r="K67" i="43" s="1"/>
  <c r="J33" i="44"/>
  <c r="J120" i="43" s="1"/>
  <c r="N36" i="44"/>
  <c r="L26" i="44"/>
  <c r="L57" i="43" s="1"/>
  <c r="I29" i="44"/>
  <c r="I87" i="43" s="1"/>
  <c r="M27" i="44"/>
  <c r="M67" i="43" s="1"/>
  <c r="F30" i="44"/>
  <c r="L33" i="44"/>
  <c r="L120" i="43" s="1"/>
  <c r="N34" i="44"/>
  <c r="G30" i="44"/>
  <c r="H97" i="43" s="1"/>
  <c r="G22" i="44"/>
  <c r="G22" i="43" s="1"/>
  <c r="H30" i="44"/>
  <c r="I97" i="43" s="1"/>
  <c r="L29" i="44"/>
  <c r="L87" i="43" s="1"/>
  <c r="O33" i="44"/>
  <c r="O120" i="43" s="1"/>
  <c r="J107" i="43" l="1"/>
  <c r="I107" i="43"/>
  <c r="H107" i="43"/>
  <c r="R28" i="44"/>
  <c r="N25" i="46" s="1"/>
  <c r="K130" i="43"/>
  <c r="K121" i="43" s="1"/>
  <c r="J130" i="43"/>
  <c r="J121" i="43" s="1"/>
  <c r="M130" i="43"/>
  <c r="M121" i="43" s="1"/>
  <c r="R36" i="44"/>
  <c r="N35" i="46" s="1"/>
  <c r="N130" i="43"/>
  <c r="N121" i="43" s="1"/>
  <c r="I130" i="43"/>
  <c r="I121" i="43" s="1"/>
  <c r="G120" i="43"/>
  <c r="R120" i="43" s="1"/>
  <c r="T120" i="43" s="1"/>
  <c r="R33" i="44"/>
  <c r="N32" i="46" s="1"/>
  <c r="R34" i="44"/>
  <c r="G130" i="43"/>
  <c r="F67" i="43"/>
  <c r="R67" i="43" s="1"/>
  <c r="T67" i="43" s="1"/>
  <c r="R27" i="44"/>
  <c r="N24" i="46" s="1"/>
  <c r="G97" i="43"/>
  <c r="R30" i="44"/>
  <c r="N27" i="46" s="1"/>
  <c r="R26" i="44"/>
  <c r="N23" i="46" s="1"/>
  <c r="O121" i="43"/>
  <c r="L130" i="43"/>
  <c r="L121" i="43" s="1"/>
  <c r="H130" i="43"/>
  <c r="H121" i="43" s="1"/>
  <c r="R22" i="44"/>
  <c r="F87" i="43"/>
  <c r="R87" i="43" s="1"/>
  <c r="T87" i="43" s="1"/>
  <c r="R29" i="44"/>
  <c r="R37" i="44"/>
  <c r="R57" i="43"/>
  <c r="T57" i="43" s="1"/>
  <c r="R22" i="43"/>
  <c r="T22" i="43" s="1"/>
  <c r="G107" i="43"/>
  <c r="F38" i="44"/>
  <c r="M38" i="44"/>
  <c r="M39" i="44" s="1"/>
  <c r="M43" i="44" s="1"/>
  <c r="M46" i="44" s="1"/>
  <c r="P38" i="44"/>
  <c r="P39" i="44" s="1"/>
  <c r="P43" i="44" s="1"/>
  <c r="P46" i="44" s="1"/>
  <c r="N38" i="44"/>
  <c r="N39" i="44" s="1"/>
  <c r="N43" i="44" s="1"/>
  <c r="N46" i="44" s="1"/>
  <c r="Q38" i="44"/>
  <c r="Q39" i="44" s="1"/>
  <c r="Q43" i="44" s="1"/>
  <c r="Q46" i="44" s="1"/>
  <c r="F97" i="43"/>
  <c r="L38" i="44"/>
  <c r="L39" i="44" s="1"/>
  <c r="L43" i="44" s="1"/>
  <c r="L46" i="44" s="1"/>
  <c r="K38" i="44"/>
  <c r="K39" i="44" s="1"/>
  <c r="K43" i="44" s="1"/>
  <c r="K46" i="44" s="1"/>
  <c r="G38" i="44"/>
  <c r="G39" i="44" s="1"/>
  <c r="G43" i="44" s="1"/>
  <c r="G46" i="44" s="1"/>
  <c r="O38" i="44"/>
  <c r="O39" i="44" s="1"/>
  <c r="O43" i="44" s="1"/>
  <c r="O46" i="44" s="1"/>
  <c r="H38" i="44"/>
  <c r="H39" i="44" s="1"/>
  <c r="H43" i="44" s="1"/>
  <c r="H46" i="44" s="1"/>
  <c r="I38" i="44"/>
  <c r="I39" i="44" s="1"/>
  <c r="I43" i="44" s="1"/>
  <c r="I46" i="44" s="1"/>
  <c r="J38" i="44"/>
  <c r="J39" i="44" s="1"/>
  <c r="J43" i="44" s="1"/>
  <c r="J46" i="44" s="1"/>
  <c r="R12" i="44" l="1"/>
  <c r="U44" i="44"/>
  <c r="U45" i="44"/>
  <c r="U34" i="44"/>
  <c r="N33" i="46"/>
  <c r="U29" i="44"/>
  <c r="N26" i="46"/>
  <c r="U37" i="44"/>
  <c r="N36" i="46"/>
  <c r="H47" i="44"/>
  <c r="H48" i="44" s="1"/>
  <c r="U28" i="44"/>
  <c r="U30" i="44"/>
  <c r="U27" i="44"/>
  <c r="Q47" i="44"/>
  <c r="Q48" i="44" s="1"/>
  <c r="U26" i="44"/>
  <c r="T36" i="44"/>
  <c r="W36" i="44" s="1"/>
  <c r="U36" i="44"/>
  <c r="P47" i="44"/>
  <c r="P48" i="44" s="1"/>
  <c r="R130" i="43"/>
  <c r="T130" i="43" s="1"/>
  <c r="T33" i="44"/>
  <c r="U33" i="44"/>
  <c r="G47" i="44"/>
  <c r="G48" i="44" s="1"/>
  <c r="M47" i="44"/>
  <c r="M48" i="44" s="1"/>
  <c r="O47" i="44"/>
  <c r="O48" i="44" s="1"/>
  <c r="T22" i="44"/>
  <c r="N13" i="46"/>
  <c r="N89" i="46" s="1"/>
  <c r="U35" i="44"/>
  <c r="U22" i="44"/>
  <c r="U32" i="44"/>
  <c r="U25" i="44"/>
  <c r="U31" i="44"/>
  <c r="U23" i="44"/>
  <c r="U24" i="44"/>
  <c r="U40" i="44"/>
  <c r="U41" i="44"/>
  <c r="U42" i="44"/>
  <c r="T28" i="44"/>
  <c r="G121" i="43"/>
  <c r="T37" i="44"/>
  <c r="T30" i="44"/>
  <c r="T34" i="44"/>
  <c r="F39" i="44"/>
  <c r="F43" i="44" s="1"/>
  <c r="F46" i="44" s="1"/>
  <c r="R38" i="44"/>
  <c r="T27" i="44"/>
  <c r="T29" i="44"/>
  <c r="T26" i="44"/>
  <c r="R107" i="43"/>
  <c r="T107" i="43" s="1"/>
  <c r="R97" i="43"/>
  <c r="T97" i="43" s="1"/>
  <c r="T12" i="44" l="1"/>
  <c r="W44" i="44"/>
  <c r="W45" i="44"/>
  <c r="W37" i="44"/>
  <c r="N18" i="46"/>
  <c r="N20" i="46" s="1"/>
  <c r="W33" i="44"/>
  <c r="W29" i="44"/>
  <c r="W34" i="44"/>
  <c r="W26" i="44"/>
  <c r="W30" i="44"/>
  <c r="N29" i="46"/>
  <c r="I47" i="44"/>
  <c r="I48" i="44" s="1"/>
  <c r="L47" i="44"/>
  <c r="L48" i="44" s="1"/>
  <c r="W35" i="44"/>
  <c r="W22" i="44"/>
  <c r="W32" i="44"/>
  <c r="W25" i="44"/>
  <c r="W31" i="44"/>
  <c r="W23" i="44"/>
  <c r="W24" i="44"/>
  <c r="W42" i="44"/>
  <c r="W41" i="44"/>
  <c r="W40" i="44"/>
  <c r="N47" i="44"/>
  <c r="N48" i="44" s="1"/>
  <c r="W27" i="44"/>
  <c r="J47" i="44"/>
  <c r="J48" i="44" s="1"/>
  <c r="W28" i="44"/>
  <c r="K47" i="44"/>
  <c r="K48" i="44" s="1"/>
  <c r="T38" i="44"/>
  <c r="W38" i="44" s="1"/>
  <c r="U38" i="44"/>
  <c r="N37" i="46"/>
  <c r="R43" i="44"/>
  <c r="R39" i="44"/>
  <c r="F21" i="43"/>
  <c r="R21" i="43" s="1"/>
  <c r="T21" i="43" s="1"/>
  <c r="F20" i="43"/>
  <c r="R20" i="43" s="1"/>
  <c r="T20" i="43" s="1"/>
  <c r="F19" i="43"/>
  <c r="R19" i="43" s="1"/>
  <c r="T19" i="43" s="1"/>
  <c r="F18" i="43"/>
  <c r="R18" i="43" s="1"/>
  <c r="T18" i="43" s="1"/>
  <c r="P259" i="43"/>
  <c r="O259" i="43"/>
  <c r="N259" i="43"/>
  <c r="M259" i="43"/>
  <c r="L259" i="43"/>
  <c r="K259" i="43"/>
  <c r="J259" i="43"/>
  <c r="I259" i="43"/>
  <c r="H259" i="43"/>
  <c r="F259" i="43"/>
  <c r="P258" i="43"/>
  <c r="O258" i="43"/>
  <c r="N258" i="43"/>
  <c r="M258" i="43"/>
  <c r="L258" i="43"/>
  <c r="K258" i="43"/>
  <c r="J258" i="43"/>
  <c r="I258" i="43"/>
  <c r="H258" i="43"/>
  <c r="G258" i="43"/>
  <c r="P257" i="43"/>
  <c r="O257" i="43"/>
  <c r="N257" i="43"/>
  <c r="M257" i="43"/>
  <c r="L257" i="43"/>
  <c r="K257" i="43"/>
  <c r="J257" i="43"/>
  <c r="I257" i="43"/>
  <c r="H257" i="43"/>
  <c r="G257" i="43"/>
  <c r="F257" i="43"/>
  <c r="P256" i="43"/>
  <c r="O256" i="43"/>
  <c r="N256" i="43"/>
  <c r="M256" i="43"/>
  <c r="L256" i="43"/>
  <c r="K256" i="43"/>
  <c r="J256" i="43"/>
  <c r="I256" i="43"/>
  <c r="H256" i="43"/>
  <c r="G256" i="43"/>
  <c r="F256" i="43"/>
  <c r="P255" i="43"/>
  <c r="O255" i="43"/>
  <c r="N255" i="43"/>
  <c r="M255" i="43"/>
  <c r="L255" i="43"/>
  <c r="K255" i="43"/>
  <c r="J255" i="43"/>
  <c r="I255" i="43"/>
  <c r="H255" i="43"/>
  <c r="G255" i="43"/>
  <c r="F255" i="43"/>
  <c r="S195" i="43"/>
  <c r="V195" i="43" s="1"/>
  <c r="S184" i="43"/>
  <c r="V184" i="43" s="1"/>
  <c r="V182" i="43"/>
  <c r="V181" i="43"/>
  <c r="V180" i="43"/>
  <c r="V179" i="43"/>
  <c r="V178" i="43"/>
  <c r="S131" i="43"/>
  <c r="V131" i="43" s="1"/>
  <c r="S121" i="43"/>
  <c r="V121" i="43" s="1"/>
  <c r="R121" i="43"/>
  <c r="S111" i="43"/>
  <c r="V111" i="43" s="1"/>
  <c r="S88" i="43"/>
  <c r="V88" i="43" s="1"/>
  <c r="S78" i="43"/>
  <c r="V78" i="43" s="1"/>
  <c r="S68" i="43"/>
  <c r="V68" i="43" s="1"/>
  <c r="S58" i="43"/>
  <c r="V58" i="43" s="1"/>
  <c r="S48" i="43"/>
  <c r="V48" i="43" s="1"/>
  <c r="S40" i="43"/>
  <c r="V40" i="43" s="1"/>
  <c r="S30" i="43"/>
  <c r="V30" i="43" s="1"/>
  <c r="S13" i="43"/>
  <c r="V13" i="43" s="1"/>
  <c r="S91" i="11"/>
  <c r="T39" i="44" l="1"/>
  <c r="W39" i="44" s="1"/>
  <c r="U39" i="44"/>
  <c r="T43" i="44"/>
  <c r="W43" i="44" s="1"/>
  <c r="U43" i="44"/>
  <c r="V151" i="43"/>
  <c r="T121" i="43"/>
  <c r="G259" i="43"/>
  <c r="F258" i="43"/>
  <c r="R46" i="44" l="1"/>
  <c r="F47" i="44"/>
  <c r="R47" i="44" s="1"/>
  <c r="N55" i="46" s="1"/>
  <c r="V152" i="43"/>
  <c r="G55" i="42"/>
  <c r="G53" i="42"/>
  <c r="H53" i="42" s="1"/>
  <c r="G52" i="42"/>
  <c r="H52" i="42" s="1"/>
  <c r="U47" i="44" l="1"/>
  <c r="T47" i="44"/>
  <c r="W47" i="44" s="1"/>
  <c r="F48" i="44"/>
  <c r="R48" i="44" s="1"/>
  <c r="U46" i="44"/>
  <c r="T46" i="44"/>
  <c r="W46" i="44" s="1"/>
  <c r="V206" i="43"/>
  <c r="G51" i="42"/>
  <c r="H14" i="42"/>
  <c r="H13" i="42"/>
  <c r="H12" i="42"/>
  <c r="G49" i="42"/>
  <c r="U48" i="44" l="1"/>
  <c r="T48" i="44"/>
  <c r="W48" i="44" s="1"/>
  <c r="L51" i="42"/>
  <c r="N51" i="42"/>
  <c r="O51" i="42"/>
  <c r="P51" i="42"/>
  <c r="Q51" i="42"/>
  <c r="R51" i="42"/>
  <c r="H51" i="42"/>
  <c r="K51" i="42"/>
  <c r="J51" i="42"/>
  <c r="I51" i="42"/>
  <c r="M51" i="42"/>
  <c r="G48" i="42"/>
  <c r="I17" i="42"/>
  <c r="G43" i="42"/>
  <c r="G44" i="42"/>
  <c r="I37" i="42"/>
  <c r="J37" i="42"/>
  <c r="K37" i="42"/>
  <c r="L37" i="42"/>
  <c r="M37" i="42"/>
  <c r="N37" i="42"/>
  <c r="O37" i="42"/>
  <c r="P37" i="42"/>
  <c r="Q37" i="42"/>
  <c r="R37" i="42"/>
  <c r="H37" i="42"/>
  <c r="K118" i="41"/>
  <c r="L118" i="41"/>
  <c r="M118" i="41"/>
  <c r="N118" i="41"/>
  <c r="O118" i="41"/>
  <c r="P118" i="41"/>
  <c r="Q118" i="41"/>
  <c r="J118" i="41"/>
  <c r="K117" i="41"/>
  <c r="L117" i="41"/>
  <c r="M117" i="41"/>
  <c r="N117" i="41"/>
  <c r="O117" i="41"/>
  <c r="P117" i="41"/>
  <c r="Q117" i="41"/>
  <c r="J117" i="41"/>
  <c r="T33" i="41"/>
  <c r="R33" i="41"/>
  <c r="H34" i="42"/>
  <c r="H33" i="42"/>
  <c r="H30" i="42"/>
  <c r="H29" i="42"/>
  <c r="L26" i="42"/>
  <c r="M26" i="42"/>
  <c r="N26" i="42"/>
  <c r="O26" i="42"/>
  <c r="P26" i="42"/>
  <c r="Q26" i="42"/>
  <c r="R26" i="42"/>
  <c r="H26" i="42"/>
  <c r="G26" i="42"/>
  <c r="I26" i="42" s="1"/>
  <c r="G42" i="42"/>
  <c r="K26" i="42" l="1"/>
  <c r="J26" i="42"/>
  <c r="G24" i="42"/>
  <c r="K114" i="41"/>
  <c r="L114" i="41"/>
  <c r="M114" i="41"/>
  <c r="N114" i="41"/>
  <c r="O114" i="41"/>
  <c r="P114" i="41"/>
  <c r="Q114" i="41"/>
  <c r="K115" i="41"/>
  <c r="L115" i="41"/>
  <c r="M115" i="41"/>
  <c r="N115" i="41"/>
  <c r="O115" i="41"/>
  <c r="P115" i="41"/>
  <c r="Q115" i="41"/>
  <c r="J115" i="41"/>
  <c r="J114" i="41"/>
  <c r="G54" i="42"/>
  <c r="H54" i="42" s="1"/>
  <c r="I24" i="42" l="1"/>
  <c r="J24" i="42"/>
  <c r="K24" i="42"/>
  <c r="L24" i="42"/>
  <c r="M24" i="42"/>
  <c r="H24" i="42"/>
  <c r="O24" i="42"/>
  <c r="N24" i="42"/>
  <c r="P24" i="42"/>
  <c r="Q24" i="42"/>
  <c r="R24" i="42"/>
  <c r="O47" i="35"/>
  <c r="N47" i="35"/>
  <c r="M47" i="35"/>
  <c r="F31" i="54" s="1"/>
  <c r="L47" i="35"/>
  <c r="K47" i="35"/>
  <c r="G64" i="52" s="1"/>
  <c r="J47" i="35"/>
  <c r="R64" i="52" l="1"/>
  <c r="N64" i="52"/>
  <c r="Q64" i="52"/>
  <c r="M64" i="52"/>
  <c r="K64" i="52"/>
  <c r="O64" i="52"/>
  <c r="L64" i="52"/>
  <c r="H64" i="52"/>
  <c r="J64" i="52"/>
  <c r="I64" i="52"/>
  <c r="P64" i="52"/>
  <c r="F29" i="54"/>
  <c r="F34" i="54" s="1"/>
  <c r="F35" i="54" s="1"/>
  <c r="F36" i="54" s="1"/>
  <c r="R31" i="54"/>
  <c r="T31" i="54" s="1"/>
  <c r="Q83" i="35"/>
  <c r="F64" i="52" l="1"/>
  <c r="I67" i="35"/>
  <c r="I108" i="35" s="1"/>
  <c r="R59" i="42" l="1"/>
  <c r="Q59" i="42"/>
  <c r="P59" i="42"/>
  <c r="O59" i="42"/>
  <c r="N59" i="42"/>
  <c r="M59" i="42"/>
  <c r="L59" i="42"/>
  <c r="K59" i="42"/>
  <c r="J59" i="42"/>
  <c r="I59" i="42"/>
  <c r="H59" i="42"/>
  <c r="H55" i="42"/>
  <c r="F55" i="42" s="1"/>
  <c r="J54" i="42"/>
  <c r="R53" i="42"/>
  <c r="K52" i="42"/>
  <c r="F51" i="42"/>
  <c r="H17" i="42"/>
  <c r="H48" i="42" l="1"/>
  <c r="H49" i="42"/>
  <c r="F59" i="42"/>
  <c r="I52" i="42"/>
  <c r="L52" i="42"/>
  <c r="M52" i="42"/>
  <c r="N52" i="42"/>
  <c r="O52" i="42"/>
  <c r="P52" i="42"/>
  <c r="Q52" i="42"/>
  <c r="R52" i="42"/>
  <c r="Q53" i="42"/>
  <c r="K54" i="42"/>
  <c r="I53" i="42"/>
  <c r="L54" i="42"/>
  <c r="J53" i="42"/>
  <c r="M54" i="42"/>
  <c r="I54" i="42"/>
  <c r="K53" i="42"/>
  <c r="N54" i="42"/>
  <c r="L53" i="42"/>
  <c r="O54" i="42"/>
  <c r="M53" i="42"/>
  <c r="P54" i="42"/>
  <c r="J52" i="42"/>
  <c r="N53" i="42"/>
  <c r="Q54" i="42"/>
  <c r="O53" i="42"/>
  <c r="R54" i="42"/>
  <c r="P53" i="42"/>
  <c r="F52" i="42" l="1"/>
  <c r="F53" i="42"/>
  <c r="F54" i="42"/>
  <c r="N48" i="17" l="1"/>
  <c r="O48" i="17"/>
  <c r="P48" i="17"/>
  <c r="Q48" i="17"/>
  <c r="N49" i="17"/>
  <c r="O49" i="17"/>
  <c r="P49" i="17"/>
  <c r="Q49" i="17"/>
  <c r="N50" i="17"/>
  <c r="O50" i="17"/>
  <c r="P50" i="17"/>
  <c r="Q50" i="17"/>
  <c r="O47" i="17"/>
  <c r="P47" i="17"/>
  <c r="Q47" i="17"/>
  <c r="N47" i="17"/>
  <c r="S38" i="17"/>
  <c r="S37" i="17"/>
  <c r="R37" i="17"/>
  <c r="M65" i="46" s="1"/>
  <c r="M84" i="46" s="1"/>
  <c r="Z27" i="17"/>
  <c r="Z26" i="17"/>
  <c r="Z23" i="17"/>
  <c r="Z24" i="17"/>
  <c r="T37" i="17"/>
  <c r="N30" i="17"/>
  <c r="S26" i="17"/>
  <c r="V26" i="17" s="1"/>
  <c r="R26" i="17"/>
  <c r="S24" i="17"/>
  <c r="V24" i="17" s="1"/>
  <c r="R24" i="17"/>
  <c r="S23" i="17"/>
  <c r="V23" i="17" s="1"/>
  <c r="R23" i="17"/>
  <c r="S20" i="17"/>
  <c r="V20" i="17" s="1"/>
  <c r="R20" i="17"/>
  <c r="S19" i="17"/>
  <c r="V19" i="17" s="1"/>
  <c r="R19" i="17"/>
  <c r="S18" i="17"/>
  <c r="V18" i="17" s="1"/>
  <c r="R18" i="17"/>
  <c r="S17" i="17"/>
  <c r="V17" i="17" s="1"/>
  <c r="R17" i="17"/>
  <c r="O13" i="17"/>
  <c r="O28" i="17" s="1"/>
  <c r="P13" i="17"/>
  <c r="P28" i="17" s="1"/>
  <c r="Q13" i="17"/>
  <c r="Q28" i="17" s="1"/>
  <c r="N13" i="17"/>
  <c r="R54" i="16"/>
  <c r="L66" i="46" s="1"/>
  <c r="L85" i="46" s="1"/>
  <c r="R53" i="16"/>
  <c r="L65" i="46" s="1"/>
  <c r="L84" i="46" s="1"/>
  <c r="R52" i="16"/>
  <c r="L64" i="46" s="1"/>
  <c r="L83" i="46" s="1"/>
  <c r="S58" i="16"/>
  <c r="S62" i="16" s="1"/>
  <c r="S57" i="16"/>
  <c r="S61" i="16" s="1"/>
  <c r="S56" i="16"/>
  <c r="S60" i="16" s="1"/>
  <c r="F58" i="16"/>
  <c r="H58" i="16" s="1"/>
  <c r="H62" i="16" s="1"/>
  <c r="F57" i="16"/>
  <c r="Q57" i="16" s="1"/>
  <c r="Q61" i="16" s="1"/>
  <c r="F56" i="16"/>
  <c r="F60" i="16" s="1"/>
  <c r="S33" i="16"/>
  <c r="V33" i="16" s="1"/>
  <c r="R33" i="16"/>
  <c r="S32" i="16"/>
  <c r="V32" i="16" s="1"/>
  <c r="R32" i="16"/>
  <c r="S31" i="16"/>
  <c r="V31" i="16" s="1"/>
  <c r="R31" i="16"/>
  <c r="S30" i="16"/>
  <c r="V30" i="16" s="1"/>
  <c r="R30" i="16"/>
  <c r="S27" i="16"/>
  <c r="V27" i="16" s="1"/>
  <c r="R27" i="16"/>
  <c r="S26" i="16"/>
  <c r="V26" i="16" s="1"/>
  <c r="R26" i="16"/>
  <c r="S25" i="16"/>
  <c r="V25" i="16" s="1"/>
  <c r="R25" i="16"/>
  <c r="S24" i="16"/>
  <c r="V24" i="16" s="1"/>
  <c r="R24" i="16"/>
  <c r="G16" i="16"/>
  <c r="F16" i="16"/>
  <c r="F34" i="16" s="1"/>
  <c r="F43" i="16" s="1"/>
  <c r="Q16" i="16"/>
  <c r="Q34" i="16" s="1"/>
  <c r="P16" i="16"/>
  <c r="P34" i="16" s="1"/>
  <c r="O16" i="16"/>
  <c r="O34" i="16" s="1"/>
  <c r="N16" i="16"/>
  <c r="N34" i="16" s="1"/>
  <c r="N43" i="16" s="1"/>
  <c r="M16" i="16"/>
  <c r="M34" i="16" s="1"/>
  <c r="M43" i="16" s="1"/>
  <c r="L16" i="16"/>
  <c r="L34" i="16" s="1"/>
  <c r="L43" i="16" s="1"/>
  <c r="K16" i="16"/>
  <c r="K34" i="16" s="1"/>
  <c r="K43" i="16" s="1"/>
  <c r="J16" i="16"/>
  <c r="J34" i="16" s="1"/>
  <c r="J43" i="16" s="1"/>
  <c r="I16" i="16"/>
  <c r="I34" i="16" s="1"/>
  <c r="I43" i="16" s="1"/>
  <c r="H16" i="16"/>
  <c r="H34" i="16" s="1"/>
  <c r="H43" i="16" s="1"/>
  <c r="S69" i="15"/>
  <c r="S68" i="15"/>
  <c r="S67" i="15"/>
  <c r="S66" i="15"/>
  <c r="S65" i="15"/>
  <c r="S61" i="15"/>
  <c r="R61" i="15"/>
  <c r="K68" i="46" s="1"/>
  <c r="K87" i="46" s="1"/>
  <c r="S60" i="15"/>
  <c r="R60" i="15"/>
  <c r="K67" i="46" s="1"/>
  <c r="S59" i="15"/>
  <c r="R59" i="15"/>
  <c r="K65" i="46" s="1"/>
  <c r="S58" i="15"/>
  <c r="R58" i="15"/>
  <c r="K66" i="46" s="1"/>
  <c r="S57" i="15"/>
  <c r="R57" i="15"/>
  <c r="K64" i="46" s="1"/>
  <c r="K83" i="46" s="1"/>
  <c r="G65" i="15"/>
  <c r="G71" i="15" s="1"/>
  <c r="H65" i="15"/>
  <c r="H71" i="15" s="1"/>
  <c r="I65" i="15"/>
  <c r="I71" i="15" s="1"/>
  <c r="J65" i="15"/>
  <c r="J71" i="15" s="1"/>
  <c r="K65" i="15"/>
  <c r="K71" i="15" s="1"/>
  <c r="L65" i="15"/>
  <c r="L71" i="15" s="1"/>
  <c r="M65" i="15"/>
  <c r="M71" i="15" s="1"/>
  <c r="N65" i="15"/>
  <c r="N71" i="15" s="1"/>
  <c r="O65" i="15"/>
  <c r="O71" i="15" s="1"/>
  <c r="P65" i="15"/>
  <c r="P71" i="15" s="1"/>
  <c r="Q65" i="15"/>
  <c r="Q71" i="15" s="1"/>
  <c r="G66" i="15"/>
  <c r="G72" i="15" s="1"/>
  <c r="H66" i="15"/>
  <c r="H72" i="15" s="1"/>
  <c r="I66" i="15"/>
  <c r="I72" i="15" s="1"/>
  <c r="J66" i="15"/>
  <c r="J72" i="15" s="1"/>
  <c r="K66" i="15"/>
  <c r="K72" i="15" s="1"/>
  <c r="L66" i="15"/>
  <c r="L72" i="15" s="1"/>
  <c r="M66" i="15"/>
  <c r="M72" i="15" s="1"/>
  <c r="N66" i="15"/>
  <c r="N72" i="15" s="1"/>
  <c r="O66" i="15"/>
  <c r="O72" i="15" s="1"/>
  <c r="P66" i="15"/>
  <c r="P72" i="15" s="1"/>
  <c r="Q66" i="15"/>
  <c r="Q72" i="15" s="1"/>
  <c r="G67" i="15"/>
  <c r="G73" i="15" s="1"/>
  <c r="H67" i="15"/>
  <c r="H73" i="15" s="1"/>
  <c r="I67" i="15"/>
  <c r="I73" i="15" s="1"/>
  <c r="J67" i="15"/>
  <c r="J73" i="15" s="1"/>
  <c r="K67" i="15"/>
  <c r="K73" i="15" s="1"/>
  <c r="L67" i="15"/>
  <c r="L73" i="15" s="1"/>
  <c r="M67" i="15"/>
  <c r="M73" i="15" s="1"/>
  <c r="N67" i="15"/>
  <c r="N73" i="15" s="1"/>
  <c r="O67" i="15"/>
  <c r="O73" i="15" s="1"/>
  <c r="P67" i="15"/>
  <c r="P73" i="15" s="1"/>
  <c r="Q67" i="15"/>
  <c r="Q73" i="15" s="1"/>
  <c r="G68" i="15"/>
  <c r="H68" i="15"/>
  <c r="H74" i="15" s="1"/>
  <c r="I68" i="15"/>
  <c r="I74" i="15" s="1"/>
  <c r="J68" i="15"/>
  <c r="J74" i="15" s="1"/>
  <c r="K68" i="15"/>
  <c r="K74" i="15" s="1"/>
  <c r="L68" i="15"/>
  <c r="L74" i="15" s="1"/>
  <c r="M68" i="15"/>
  <c r="M74" i="15" s="1"/>
  <c r="N68" i="15"/>
  <c r="N74" i="15" s="1"/>
  <c r="O68" i="15"/>
  <c r="O74" i="15" s="1"/>
  <c r="P68" i="15"/>
  <c r="P74" i="15" s="1"/>
  <c r="Q68" i="15"/>
  <c r="Q74" i="15" s="1"/>
  <c r="G69" i="15"/>
  <c r="G75" i="15" s="1"/>
  <c r="H69" i="15"/>
  <c r="H75" i="15" s="1"/>
  <c r="I69" i="15"/>
  <c r="I75" i="15" s="1"/>
  <c r="J69" i="15"/>
  <c r="J75" i="15" s="1"/>
  <c r="K69" i="15"/>
  <c r="K75" i="15" s="1"/>
  <c r="L69" i="15"/>
  <c r="L75" i="15" s="1"/>
  <c r="M69" i="15"/>
  <c r="M75" i="15" s="1"/>
  <c r="N69" i="15"/>
  <c r="N75" i="15" s="1"/>
  <c r="O69" i="15"/>
  <c r="O75" i="15" s="1"/>
  <c r="P69" i="15"/>
  <c r="P75" i="15" s="1"/>
  <c r="Q69" i="15"/>
  <c r="Q75" i="15" s="1"/>
  <c r="F69" i="15"/>
  <c r="F75" i="15" s="1"/>
  <c r="F68" i="15"/>
  <c r="F74" i="15" s="1"/>
  <c r="F67" i="15"/>
  <c r="F73" i="15" s="1"/>
  <c r="F66" i="15"/>
  <c r="F72" i="15" s="1"/>
  <c r="F65" i="15"/>
  <c r="F71" i="15" s="1"/>
  <c r="R13" i="15"/>
  <c r="R14" i="15"/>
  <c r="R15" i="15"/>
  <c r="R16" i="15"/>
  <c r="R17" i="15"/>
  <c r="G18" i="15"/>
  <c r="G40" i="15" s="1"/>
  <c r="G48" i="15" s="1"/>
  <c r="H18" i="15"/>
  <c r="H40" i="15" s="1"/>
  <c r="H48" i="15" s="1"/>
  <c r="I18" i="15"/>
  <c r="I40" i="15" s="1"/>
  <c r="I48" i="15" s="1"/>
  <c r="J18" i="15"/>
  <c r="J40" i="15" s="1"/>
  <c r="J48" i="15" s="1"/>
  <c r="K18" i="15"/>
  <c r="K40" i="15" s="1"/>
  <c r="K48" i="15" s="1"/>
  <c r="L18" i="15"/>
  <c r="L40" i="15" s="1"/>
  <c r="L48" i="15" s="1"/>
  <c r="M18" i="15"/>
  <c r="M40" i="15" s="1"/>
  <c r="M48" i="15" s="1"/>
  <c r="N18" i="15"/>
  <c r="N40" i="15" s="1"/>
  <c r="N48" i="15" s="1"/>
  <c r="O18" i="15"/>
  <c r="O40" i="15" s="1"/>
  <c r="O48" i="15" s="1"/>
  <c r="P18" i="15"/>
  <c r="P40" i="15" s="1"/>
  <c r="P48" i="15" s="1"/>
  <c r="F18" i="15"/>
  <c r="F40" i="15" s="1"/>
  <c r="F48" i="15" s="1"/>
  <c r="Q18" i="15"/>
  <c r="Q40" i="15" s="1"/>
  <c r="K85" i="46" l="1"/>
  <c r="K86" i="46"/>
  <c r="O43" i="16"/>
  <c r="O44" i="16" s="1"/>
  <c r="O45" i="16" s="1"/>
  <c r="P43" i="16"/>
  <c r="P44" i="16" s="1"/>
  <c r="P45" i="16" s="1"/>
  <c r="K84" i="46"/>
  <c r="M44" i="16"/>
  <c r="M45" i="16" s="1"/>
  <c r="N44" i="16"/>
  <c r="N45" i="16"/>
  <c r="L36" i="46"/>
  <c r="G34" i="16"/>
  <c r="L23" i="46"/>
  <c r="L44" i="16"/>
  <c r="L45" i="16" s="1"/>
  <c r="L26" i="46"/>
  <c r="L32" i="46"/>
  <c r="J44" i="16"/>
  <c r="J45" i="16"/>
  <c r="H44" i="16"/>
  <c r="H45" i="16" s="1"/>
  <c r="I44" i="16"/>
  <c r="I45" i="16" s="1"/>
  <c r="K44" i="16"/>
  <c r="K45" i="16" s="1"/>
  <c r="M27" i="46"/>
  <c r="T17" i="17"/>
  <c r="M23" i="46"/>
  <c r="R49" i="17"/>
  <c r="M26" i="46"/>
  <c r="R48" i="17"/>
  <c r="R50" i="17"/>
  <c r="M24" i="46"/>
  <c r="T18" i="17"/>
  <c r="N28" i="17"/>
  <c r="R13" i="17"/>
  <c r="R47" i="17"/>
  <c r="T23" i="17"/>
  <c r="M32" i="46"/>
  <c r="T24" i="17"/>
  <c r="M33" i="46"/>
  <c r="T26" i="17"/>
  <c r="R16" i="16"/>
  <c r="I58" i="16"/>
  <c r="I62" i="16" s="1"/>
  <c r="L58" i="16"/>
  <c r="L62" i="16" s="1"/>
  <c r="M58" i="16"/>
  <c r="M62" i="16" s="1"/>
  <c r="T25" i="16"/>
  <c r="L27" i="46"/>
  <c r="T27" i="16"/>
  <c r="L24" i="46"/>
  <c r="T32" i="16"/>
  <c r="T31" i="16"/>
  <c r="L33" i="46"/>
  <c r="L37" i="46" s="1"/>
  <c r="K19" i="46"/>
  <c r="U25" i="15"/>
  <c r="K16" i="46"/>
  <c r="U23" i="15"/>
  <c r="U24" i="15"/>
  <c r="K14" i="46"/>
  <c r="K90" i="46" s="1"/>
  <c r="U22" i="15"/>
  <c r="K15" i="46"/>
  <c r="K91" i="46" s="1"/>
  <c r="U21" i="15"/>
  <c r="T58" i="15"/>
  <c r="R40" i="15"/>
  <c r="R18" i="15"/>
  <c r="T60" i="15"/>
  <c r="T61" i="15"/>
  <c r="T48" i="17"/>
  <c r="N182" i="43"/>
  <c r="N192" i="43"/>
  <c r="T19" i="17"/>
  <c r="T20" i="17"/>
  <c r="M56" i="16"/>
  <c r="M60" i="16" s="1"/>
  <c r="R67" i="15"/>
  <c r="T67" i="15" s="1"/>
  <c r="T16" i="15"/>
  <c r="K17" i="46"/>
  <c r="K93" i="46" s="1"/>
  <c r="T24" i="16"/>
  <c r="N56" i="16"/>
  <c r="N60" i="16" s="1"/>
  <c r="J58" i="16"/>
  <c r="J62" i="16" s="1"/>
  <c r="O56" i="16"/>
  <c r="O60" i="16" s="1"/>
  <c r="K58" i="16"/>
  <c r="K62" i="16" s="1"/>
  <c r="Q56" i="16"/>
  <c r="Q60" i="16" s="1"/>
  <c r="H57" i="16"/>
  <c r="H61" i="16" s="1"/>
  <c r="N58" i="16"/>
  <c r="N62" i="16" s="1"/>
  <c r="F61" i="16"/>
  <c r="I57" i="16"/>
  <c r="I61" i="16" s="1"/>
  <c r="O58" i="16"/>
  <c r="O62" i="16" s="1"/>
  <c r="F62" i="16"/>
  <c r="J57" i="16"/>
  <c r="J61" i="16" s="1"/>
  <c r="P58" i="16"/>
  <c r="P62" i="16" s="1"/>
  <c r="G56" i="16"/>
  <c r="G60" i="16" s="1"/>
  <c r="K57" i="16"/>
  <c r="K61" i="16" s="1"/>
  <c r="Q58" i="16"/>
  <c r="Q62" i="16" s="1"/>
  <c r="T30" i="16"/>
  <c r="G57" i="16"/>
  <c r="G61" i="16" s="1"/>
  <c r="L57" i="16"/>
  <c r="L61" i="16" s="1"/>
  <c r="G58" i="16"/>
  <c r="G62" i="16" s="1"/>
  <c r="M57" i="16"/>
  <c r="M61" i="16" s="1"/>
  <c r="N57" i="16"/>
  <c r="N61" i="16" s="1"/>
  <c r="P56" i="16"/>
  <c r="P60" i="16" s="1"/>
  <c r="I56" i="16"/>
  <c r="I60" i="16" s="1"/>
  <c r="O57" i="16"/>
  <c r="O61" i="16" s="1"/>
  <c r="H56" i="16"/>
  <c r="H60" i="16" s="1"/>
  <c r="P57" i="16"/>
  <c r="P61" i="16" s="1"/>
  <c r="K56" i="16"/>
  <c r="K60" i="16" s="1"/>
  <c r="J56" i="16"/>
  <c r="J60" i="16" s="1"/>
  <c r="T33" i="16"/>
  <c r="L56" i="16"/>
  <c r="L60" i="16" s="1"/>
  <c r="R68" i="15"/>
  <c r="T68" i="15" s="1"/>
  <c r="R69" i="15"/>
  <c r="T69" i="15" s="1"/>
  <c r="G74" i="15"/>
  <c r="R65" i="15"/>
  <c r="T65" i="15" s="1"/>
  <c r="T57" i="15"/>
  <c r="T59" i="15"/>
  <c r="R66" i="15"/>
  <c r="T66" i="15" s="1"/>
  <c r="T26" i="16"/>
  <c r="U20" i="17" l="1"/>
  <c r="U31" i="17"/>
  <c r="U29" i="17"/>
  <c r="U32" i="17"/>
  <c r="U27" i="17"/>
  <c r="N34" i="17"/>
  <c r="N33" i="17"/>
  <c r="K92" i="46"/>
  <c r="G43" i="16"/>
  <c r="G44" i="16" s="1"/>
  <c r="G45" i="16" s="1"/>
  <c r="U25" i="16"/>
  <c r="U42" i="16"/>
  <c r="U30" i="15"/>
  <c r="U47" i="15"/>
  <c r="N35" i="17"/>
  <c r="T16" i="16"/>
  <c r="W42" i="16" s="1"/>
  <c r="U28" i="16"/>
  <c r="U17" i="16"/>
  <c r="U38" i="16"/>
  <c r="U29" i="16"/>
  <c r="U39" i="16"/>
  <c r="U16" i="16"/>
  <c r="U40" i="16"/>
  <c r="U41" i="16"/>
  <c r="U24" i="16"/>
  <c r="U27" i="16"/>
  <c r="W33" i="16"/>
  <c r="W32" i="16"/>
  <c r="U33" i="16"/>
  <c r="U26" i="16"/>
  <c r="U32" i="16"/>
  <c r="U30" i="16"/>
  <c r="U31" i="16"/>
  <c r="U24" i="17"/>
  <c r="U26" i="17"/>
  <c r="U23" i="17"/>
  <c r="T47" i="17"/>
  <c r="T13" i="17"/>
  <c r="U16" i="17"/>
  <c r="U15" i="17"/>
  <c r="U13" i="17"/>
  <c r="U14" i="17"/>
  <c r="U19" i="17"/>
  <c r="U18" i="17"/>
  <c r="U17" i="17"/>
  <c r="M37" i="46"/>
  <c r="M29" i="46"/>
  <c r="F44" i="16"/>
  <c r="R34" i="16"/>
  <c r="L29" i="46"/>
  <c r="U44" i="15"/>
  <c r="U43" i="15"/>
  <c r="U42" i="15"/>
  <c r="U17" i="15"/>
  <c r="U33" i="15"/>
  <c r="U16" i="15"/>
  <c r="U13" i="15"/>
  <c r="U14" i="15"/>
  <c r="U15" i="15"/>
  <c r="T40" i="15"/>
  <c r="U40" i="15"/>
  <c r="T72" i="15"/>
  <c r="T18" i="15"/>
  <c r="U18" i="15"/>
  <c r="U19" i="15"/>
  <c r="U35" i="15"/>
  <c r="U38" i="15"/>
  <c r="U39" i="15"/>
  <c r="U31" i="15"/>
  <c r="U29" i="15"/>
  <c r="U28" i="15"/>
  <c r="U36" i="15"/>
  <c r="U32" i="15"/>
  <c r="U45" i="15"/>
  <c r="R75" i="15"/>
  <c r="R73" i="15"/>
  <c r="T73" i="15"/>
  <c r="T75" i="15"/>
  <c r="R72" i="15"/>
  <c r="T74" i="15"/>
  <c r="T50" i="17"/>
  <c r="T49" i="17"/>
  <c r="R74" i="15"/>
  <c r="R57" i="16"/>
  <c r="R56" i="16"/>
  <c r="R58" i="16"/>
  <c r="T71" i="15"/>
  <c r="R71" i="15"/>
  <c r="R37" i="24"/>
  <c r="J41" i="24"/>
  <c r="J212" i="43" s="1"/>
  <c r="I41" i="24"/>
  <c r="I212" i="43" s="1"/>
  <c r="H41" i="24"/>
  <c r="R36" i="24"/>
  <c r="R35" i="24"/>
  <c r="R25" i="24"/>
  <c r="J27" i="46" s="1"/>
  <c r="R24" i="24"/>
  <c r="J26" i="46" s="1"/>
  <c r="R22" i="24"/>
  <c r="J24" i="46" s="1"/>
  <c r="R28" i="24"/>
  <c r="J32" i="46" s="1"/>
  <c r="R29" i="24"/>
  <c r="J33" i="46" s="1"/>
  <c r="R31" i="24"/>
  <c r="J35" i="46" s="1"/>
  <c r="R32" i="24"/>
  <c r="J36" i="46" s="1"/>
  <c r="R21" i="24"/>
  <c r="J23" i="46" s="1"/>
  <c r="P17" i="24"/>
  <c r="P33" i="24" s="1"/>
  <c r="P39" i="24" s="1"/>
  <c r="O17" i="24"/>
  <c r="O33" i="24" s="1"/>
  <c r="O39" i="24" s="1"/>
  <c r="N17" i="24"/>
  <c r="N33" i="24" s="1"/>
  <c r="N39" i="24" s="1"/>
  <c r="M17" i="24"/>
  <c r="M33" i="24" s="1"/>
  <c r="M39" i="24" s="1"/>
  <c r="L17" i="24"/>
  <c r="L33" i="24" s="1"/>
  <c r="L39" i="24" s="1"/>
  <c r="K17" i="24"/>
  <c r="W32" i="17" l="1"/>
  <c r="W31" i="17"/>
  <c r="W29" i="17"/>
  <c r="W27" i="17"/>
  <c r="W26" i="16"/>
  <c r="W24" i="16"/>
  <c r="W30" i="16"/>
  <c r="W25" i="16"/>
  <c r="K33" i="24"/>
  <c r="K39" i="24" s="1"/>
  <c r="K41" i="24" s="1"/>
  <c r="K212" i="43" s="1"/>
  <c r="W31" i="16"/>
  <c r="W30" i="15"/>
  <c r="W47" i="15"/>
  <c r="T34" i="16"/>
  <c r="W34" i="16" s="1"/>
  <c r="U34" i="16"/>
  <c r="W40" i="16"/>
  <c r="W17" i="16"/>
  <c r="W39" i="16"/>
  <c r="W16" i="16"/>
  <c r="W29" i="16"/>
  <c r="W28" i="16"/>
  <c r="W38" i="16"/>
  <c r="W41" i="16"/>
  <c r="W27" i="16"/>
  <c r="T36" i="24"/>
  <c r="J52" i="46"/>
  <c r="H212" i="43"/>
  <c r="T31" i="24"/>
  <c r="T37" i="24"/>
  <c r="J50" i="46"/>
  <c r="T35" i="24"/>
  <c r="J51" i="46"/>
  <c r="W16" i="17"/>
  <c r="W15" i="17"/>
  <c r="W13" i="17"/>
  <c r="W14" i="17"/>
  <c r="W19" i="17"/>
  <c r="W18" i="17"/>
  <c r="W23" i="17"/>
  <c r="W24" i="17"/>
  <c r="W17" i="17"/>
  <c r="W20" i="17"/>
  <c r="W26" i="17"/>
  <c r="F45" i="16"/>
  <c r="W33" i="15"/>
  <c r="W42" i="15"/>
  <c r="W43" i="15"/>
  <c r="W44" i="15"/>
  <c r="W25" i="15"/>
  <c r="W20" i="15"/>
  <c r="W21" i="15"/>
  <c r="W18" i="15"/>
  <c r="W22" i="15"/>
  <c r="W23" i="15"/>
  <c r="W24" i="15"/>
  <c r="W38" i="15"/>
  <c r="W29" i="15"/>
  <c r="W19" i="15"/>
  <c r="W31" i="15"/>
  <c r="W32" i="15"/>
  <c r="W39" i="15"/>
  <c r="W28" i="15"/>
  <c r="W36" i="15"/>
  <c r="W35" i="15"/>
  <c r="W45" i="15"/>
  <c r="W16" i="15"/>
  <c r="W40" i="15"/>
  <c r="M41" i="24"/>
  <c r="M212" i="43" s="1"/>
  <c r="O41" i="24"/>
  <c r="O212" i="43" s="1"/>
  <c r="T24" i="24"/>
  <c r="T29" i="24"/>
  <c r="T28" i="24"/>
  <c r="T22" i="24"/>
  <c r="L41" i="24"/>
  <c r="L212" i="43" s="1"/>
  <c r="P41" i="24"/>
  <c r="P212" i="43" s="1"/>
  <c r="T32" i="24"/>
  <c r="T25" i="24"/>
  <c r="N41" i="24"/>
  <c r="N212" i="43" s="1"/>
  <c r="T58" i="16"/>
  <c r="R62" i="16"/>
  <c r="T56" i="16"/>
  <c r="R60" i="16"/>
  <c r="T57" i="16"/>
  <c r="R61" i="16"/>
  <c r="T21" i="24"/>
  <c r="L224" i="43" l="1"/>
  <c r="P224" i="43"/>
  <c r="N224" i="43"/>
  <c r="O224" i="43"/>
  <c r="K224" i="43"/>
  <c r="M224" i="43"/>
  <c r="K110" i="41" l="1"/>
  <c r="K111" i="41"/>
  <c r="L111" i="41"/>
  <c r="M111" i="41"/>
  <c r="N111" i="41"/>
  <c r="O111" i="41"/>
  <c r="P111" i="41"/>
  <c r="Q111" i="41"/>
  <c r="J111" i="41"/>
  <c r="R26" i="41"/>
  <c r="R27" i="41"/>
  <c r="R28" i="41"/>
  <c r="T28" i="41" s="1"/>
  <c r="R29" i="41"/>
  <c r="T29" i="41" s="1"/>
  <c r="R30" i="41"/>
  <c r="T30" i="41" s="1"/>
  <c r="R31" i="41"/>
  <c r="R32" i="41"/>
  <c r="R34" i="41"/>
  <c r="R35" i="41"/>
  <c r="T35" i="41" s="1"/>
  <c r="R36" i="41"/>
  <c r="T36" i="41" s="1"/>
  <c r="R44" i="41"/>
  <c r="T44" i="41" s="1"/>
  <c r="J46" i="41"/>
  <c r="S31" i="41"/>
  <c r="F21" i="9"/>
  <c r="E21" i="9"/>
  <c r="Q110" i="41"/>
  <c r="Q104" i="41"/>
  <c r="Q108" i="41" s="1"/>
  <c r="P104" i="41"/>
  <c r="P108" i="41" s="1"/>
  <c r="O104" i="41"/>
  <c r="O108" i="41" s="1"/>
  <c r="N104" i="41"/>
  <c r="N108" i="41" s="1"/>
  <c r="M104" i="41"/>
  <c r="M108" i="41" s="1"/>
  <c r="L104" i="41"/>
  <c r="L108" i="41" s="1"/>
  <c r="K104" i="41"/>
  <c r="K108" i="41" s="1"/>
  <c r="J104" i="41"/>
  <c r="J108" i="41" s="1"/>
  <c r="Q103" i="41"/>
  <c r="Q107" i="41" s="1"/>
  <c r="P103" i="41"/>
  <c r="P107" i="41" s="1"/>
  <c r="O103" i="41"/>
  <c r="O107" i="41" s="1"/>
  <c r="N103" i="41"/>
  <c r="N107" i="41" s="1"/>
  <c r="M103" i="41"/>
  <c r="M107" i="41" s="1"/>
  <c r="L103" i="41"/>
  <c r="K103" i="41"/>
  <c r="K107" i="41" s="1"/>
  <c r="J103" i="41"/>
  <c r="J107" i="41" s="1"/>
  <c r="T100" i="41"/>
  <c r="T118" i="41" s="1"/>
  <c r="G38" i="42" s="1"/>
  <c r="T99" i="41"/>
  <c r="V96" i="41"/>
  <c r="V95" i="41"/>
  <c r="N72" i="41"/>
  <c r="I72" i="41"/>
  <c r="G72" i="41"/>
  <c r="P70" i="41"/>
  <c r="O70" i="41"/>
  <c r="N70" i="41"/>
  <c r="M70" i="41"/>
  <c r="L70" i="41"/>
  <c r="K70" i="41"/>
  <c r="J70" i="41"/>
  <c r="I70" i="41"/>
  <c r="H70" i="41"/>
  <c r="G70" i="41"/>
  <c r="F70" i="41"/>
  <c r="S58" i="41"/>
  <c r="S57" i="41"/>
  <c r="R57" i="41"/>
  <c r="S56" i="41"/>
  <c r="R56" i="41"/>
  <c r="R55" i="41"/>
  <c r="S55" i="41"/>
  <c r="Q54" i="41"/>
  <c r="S54" i="41" s="1"/>
  <c r="Q53" i="41"/>
  <c r="S53" i="41" s="1"/>
  <c r="Q52" i="41"/>
  <c r="S52" i="41" s="1"/>
  <c r="R51" i="41"/>
  <c r="S51" i="41"/>
  <c r="P50" i="41"/>
  <c r="Q50" i="41" s="1"/>
  <c r="O50" i="41"/>
  <c r="N50" i="41"/>
  <c r="M50" i="41"/>
  <c r="L50" i="41"/>
  <c r="K50" i="41"/>
  <c r="J50" i="41"/>
  <c r="I50" i="41"/>
  <c r="H50" i="41"/>
  <c r="G50" i="41"/>
  <c r="F50" i="41"/>
  <c r="V48" i="41"/>
  <c r="S45" i="41"/>
  <c r="R43" i="41"/>
  <c r="S43" i="41"/>
  <c r="S42" i="41"/>
  <c r="R42" i="41"/>
  <c r="M46" i="41"/>
  <c r="P37" i="41"/>
  <c r="N37" i="41"/>
  <c r="K37" i="41"/>
  <c r="S34" i="41"/>
  <c r="O37" i="41"/>
  <c r="S32" i="41"/>
  <c r="M37" i="41"/>
  <c r="L37" i="41"/>
  <c r="J37" i="41"/>
  <c r="I37" i="41"/>
  <c r="H37" i="41"/>
  <c r="G37" i="41"/>
  <c r="S27" i="41"/>
  <c r="S25" i="41"/>
  <c r="K25" i="41"/>
  <c r="J25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N17" i="41"/>
  <c r="M17" i="41"/>
  <c r="J17" i="41"/>
  <c r="I17" i="41"/>
  <c r="F17" i="41"/>
  <c r="R16" i="41"/>
  <c r="S16" i="41"/>
  <c r="Q15" i="41"/>
  <c r="R15" i="41" s="1"/>
  <c r="Q14" i="41"/>
  <c r="S14" i="41" s="1"/>
  <c r="S13" i="41"/>
  <c r="R13" i="41"/>
  <c r="S12" i="41"/>
  <c r="P17" i="41"/>
  <c r="O110" i="41"/>
  <c r="N110" i="41"/>
  <c r="M110" i="41"/>
  <c r="L110" i="41"/>
  <c r="J110" i="41"/>
  <c r="G50" i="42" l="1"/>
  <c r="I38" i="42"/>
  <c r="I50" i="42" s="1"/>
  <c r="J38" i="42"/>
  <c r="J50" i="42" s="1"/>
  <c r="K38" i="42"/>
  <c r="K50" i="42" s="1"/>
  <c r="N38" i="42"/>
  <c r="Q38" i="42"/>
  <c r="L38" i="42"/>
  <c r="L50" i="42" s="1"/>
  <c r="M38" i="42"/>
  <c r="P38" i="42"/>
  <c r="H38" i="42"/>
  <c r="H50" i="42" s="1"/>
  <c r="O38" i="42"/>
  <c r="R38" i="42"/>
  <c r="T34" i="41"/>
  <c r="W99" i="41"/>
  <c r="R52" i="41"/>
  <c r="T52" i="41" s="1"/>
  <c r="X52" i="41" s="1"/>
  <c r="R14" i="41"/>
  <c r="T14" i="41" s="1"/>
  <c r="X14" i="41" s="1"/>
  <c r="R53" i="41"/>
  <c r="T53" i="41" s="1"/>
  <c r="R54" i="41"/>
  <c r="T54" i="41" s="1"/>
  <c r="X54" i="41" s="1"/>
  <c r="T31" i="41"/>
  <c r="T117" i="41" s="1"/>
  <c r="I46" i="41"/>
  <c r="T57" i="41"/>
  <c r="R25" i="41"/>
  <c r="T25" i="41" s="1"/>
  <c r="T42" i="41"/>
  <c r="K46" i="41"/>
  <c r="T51" i="41"/>
  <c r="X51" i="41" s="1"/>
  <c r="X96" i="41"/>
  <c r="H46" i="41"/>
  <c r="G46" i="41"/>
  <c r="J24" i="41"/>
  <c r="J38" i="41" s="1"/>
  <c r="N46" i="41"/>
  <c r="T43" i="41"/>
  <c r="X43" i="41" s="1"/>
  <c r="T55" i="41"/>
  <c r="X55" i="41" s="1"/>
  <c r="F24" i="41"/>
  <c r="T56" i="41"/>
  <c r="X56" i="41" s="1"/>
  <c r="I24" i="41"/>
  <c r="I38" i="41" s="1"/>
  <c r="R45" i="41"/>
  <c r="T45" i="41" s="1"/>
  <c r="X45" i="41" s="1"/>
  <c r="N24" i="41"/>
  <c r="N38" i="41" s="1"/>
  <c r="X108" i="41"/>
  <c r="T104" i="41"/>
  <c r="T108" i="41" s="1"/>
  <c r="O46" i="41"/>
  <c r="R50" i="41"/>
  <c r="F46" i="41"/>
  <c r="P46" i="41"/>
  <c r="Q17" i="41"/>
  <c r="Q24" i="41" s="1"/>
  <c r="T27" i="41"/>
  <c r="P24" i="41"/>
  <c r="P38" i="41" s="1"/>
  <c r="R58" i="41"/>
  <c r="T58" i="41" s="1"/>
  <c r="S41" i="41"/>
  <c r="T103" i="41"/>
  <c r="T107" i="41" s="1"/>
  <c r="L46" i="41"/>
  <c r="M24" i="41"/>
  <c r="M38" i="41" s="1"/>
  <c r="M47" i="41" s="1"/>
  <c r="M59" i="41" s="1"/>
  <c r="T13" i="41"/>
  <c r="T16" i="41"/>
  <c r="T111" i="41" s="1"/>
  <c r="X107" i="41"/>
  <c r="S40" i="41"/>
  <c r="T32" i="41"/>
  <c r="S37" i="41"/>
  <c r="Q37" i="41"/>
  <c r="G17" i="41"/>
  <c r="G24" i="41" s="1"/>
  <c r="G38" i="41" s="1"/>
  <c r="R37" i="41"/>
  <c r="H17" i="41"/>
  <c r="H24" i="41" s="1"/>
  <c r="H38" i="41" s="1"/>
  <c r="L107" i="41"/>
  <c r="P110" i="41"/>
  <c r="R40" i="41"/>
  <c r="R41" i="41"/>
  <c r="K17" i="41"/>
  <c r="K24" i="41" s="1"/>
  <c r="K38" i="41" s="1"/>
  <c r="F37" i="41"/>
  <c r="S15" i="41"/>
  <c r="T15" i="41" s="1"/>
  <c r="L17" i="41"/>
  <c r="L24" i="41" s="1"/>
  <c r="L38" i="41" s="1"/>
  <c r="S50" i="41"/>
  <c r="R12" i="41"/>
  <c r="O17" i="41"/>
  <c r="O24" i="41" s="1"/>
  <c r="O38" i="41" s="1"/>
  <c r="I47" i="41" l="1"/>
  <c r="I59" i="41" s="1"/>
  <c r="F38" i="41"/>
  <c r="F47" i="41" s="1"/>
  <c r="F59" i="41" s="1"/>
  <c r="X99" i="41"/>
  <c r="K47" i="41"/>
  <c r="K59" i="41" s="1"/>
  <c r="G47" i="41"/>
  <c r="G59" i="41" s="1"/>
  <c r="N47" i="41"/>
  <c r="N59" i="41" s="1"/>
  <c r="L47" i="41"/>
  <c r="L59" i="41" s="1"/>
  <c r="X100" i="41"/>
  <c r="X13" i="41" s="1"/>
  <c r="Q46" i="41"/>
  <c r="H47" i="41"/>
  <c r="H59" i="41" s="1"/>
  <c r="T50" i="41"/>
  <c r="X50" i="41" s="1"/>
  <c r="Q38" i="41"/>
  <c r="P47" i="41"/>
  <c r="P59" i="41" s="1"/>
  <c r="O47" i="41"/>
  <c r="O59" i="41" s="1"/>
  <c r="X53" i="41"/>
  <c r="J47" i="41"/>
  <c r="J59" i="41" s="1"/>
  <c r="T41" i="41"/>
  <c r="X41" i="41" s="1"/>
  <c r="S46" i="41"/>
  <c r="R46" i="41"/>
  <c r="T40" i="41"/>
  <c r="T37" i="41"/>
  <c r="S17" i="41"/>
  <c r="S24" i="41" s="1"/>
  <c r="S38" i="41" s="1"/>
  <c r="R17" i="41"/>
  <c r="R24" i="41" s="1"/>
  <c r="R38" i="41" s="1"/>
  <c r="T12" i="41"/>
  <c r="X15" i="41"/>
  <c r="X16" i="41"/>
  <c r="Q47" i="41" l="1"/>
  <c r="Q59" i="41" s="1"/>
  <c r="R47" i="41"/>
  <c r="R59" i="41" s="1"/>
  <c r="S47" i="41"/>
  <c r="S59" i="41" s="1"/>
  <c r="T17" i="41"/>
  <c r="T24" i="41" s="1"/>
  <c r="T110" i="41"/>
  <c r="X12" i="41" s="1"/>
  <c r="X17" i="41" s="1"/>
  <c r="U37" i="41"/>
  <c r="X40" i="41"/>
  <c r="U40" i="41"/>
  <c r="T46" i="41"/>
  <c r="U12" i="41" l="1"/>
  <c r="U46" i="41"/>
  <c r="X24" i="41"/>
  <c r="U17" i="41"/>
  <c r="U53" i="41"/>
  <c r="U43" i="41"/>
  <c r="U51" i="41"/>
  <c r="U55" i="41"/>
  <c r="U54" i="41"/>
  <c r="U13" i="41"/>
  <c r="U56" i="41"/>
  <c r="U52" i="41"/>
  <c r="U57" i="41"/>
  <c r="U58" i="41"/>
  <c r="U45" i="41"/>
  <c r="U27" i="41"/>
  <c r="V27" i="41" s="1"/>
  <c r="X27" i="41" s="1"/>
  <c r="U42" i="41"/>
  <c r="U14" i="41"/>
  <c r="U32" i="41"/>
  <c r="V32" i="41" s="1"/>
  <c r="X32" i="41" s="1"/>
  <c r="U41" i="41"/>
  <c r="U16" i="41"/>
  <c r="U15" i="41"/>
  <c r="U50" i="41"/>
  <c r="U31" i="41"/>
  <c r="V31" i="41" s="1"/>
  <c r="X31" i="41" s="1"/>
  <c r="U34" i="41"/>
  <c r="V34" i="41" s="1"/>
  <c r="X34" i="41" s="1"/>
  <c r="U24" i="41" l="1"/>
  <c r="T38" i="41"/>
  <c r="X37" i="41"/>
  <c r="X38" i="41" s="1"/>
  <c r="E20" i="9"/>
  <c r="F20" i="9"/>
  <c r="R58" i="39"/>
  <c r="H57" i="39"/>
  <c r="H56" i="39"/>
  <c r="L56" i="39" s="1"/>
  <c r="H55" i="39"/>
  <c r="L17" i="39"/>
  <c r="K17" i="39"/>
  <c r="J17" i="39"/>
  <c r="R64" i="39"/>
  <c r="Q64" i="39"/>
  <c r="P64" i="39"/>
  <c r="O64" i="39"/>
  <c r="N64" i="39"/>
  <c r="M64" i="39"/>
  <c r="L64" i="39"/>
  <c r="K64" i="39"/>
  <c r="J64" i="39"/>
  <c r="I64" i="39"/>
  <c r="H64" i="39"/>
  <c r="G58" i="39"/>
  <c r="K55" i="39"/>
  <c r="G54" i="39"/>
  <c r="R29" i="39"/>
  <c r="Q29" i="39"/>
  <c r="P29" i="39"/>
  <c r="O29" i="39"/>
  <c r="N29" i="39"/>
  <c r="M29" i="39"/>
  <c r="L29" i="39"/>
  <c r="K29" i="39"/>
  <c r="J29" i="39"/>
  <c r="I29" i="39"/>
  <c r="H29" i="39"/>
  <c r="G51" i="39"/>
  <c r="G31" i="18"/>
  <c r="N31" i="18" s="1"/>
  <c r="G30" i="18"/>
  <c r="H30" i="18" s="1"/>
  <c r="G29" i="18"/>
  <c r="I29" i="18" s="1"/>
  <c r="G16" i="18"/>
  <c r="I30" i="18" l="1"/>
  <c r="H31" i="18"/>
  <c r="M31" i="18"/>
  <c r="R31" i="18"/>
  <c r="Q31" i="18"/>
  <c r="K30" i="18"/>
  <c r="Q58" i="39"/>
  <c r="O58" i="39"/>
  <c r="M30" i="18"/>
  <c r="L30" i="18"/>
  <c r="J30" i="18"/>
  <c r="M58" i="39"/>
  <c r="K58" i="39"/>
  <c r="N58" i="39"/>
  <c r="L58" i="39"/>
  <c r="P58" i="39"/>
  <c r="J31" i="18"/>
  <c r="I31" i="18"/>
  <c r="O30" i="18"/>
  <c r="K56" i="39"/>
  <c r="P31" i="18"/>
  <c r="J58" i="39"/>
  <c r="L31" i="18"/>
  <c r="R30" i="18"/>
  <c r="N30" i="18"/>
  <c r="J56" i="39"/>
  <c r="R32" i="18"/>
  <c r="O57" i="39"/>
  <c r="J57" i="39"/>
  <c r="K57" i="39"/>
  <c r="Q57" i="39"/>
  <c r="L57" i="39"/>
  <c r="M57" i="39"/>
  <c r="N57" i="39"/>
  <c r="P57" i="39"/>
  <c r="R57" i="39"/>
  <c r="I57" i="39"/>
  <c r="I56" i="39"/>
  <c r="R56" i="39"/>
  <c r="O31" i="18"/>
  <c r="Q56" i="39"/>
  <c r="P29" i="18"/>
  <c r="P56" i="39"/>
  <c r="O56" i="39"/>
  <c r="N56" i="39"/>
  <c r="Q30" i="18"/>
  <c r="P30" i="18"/>
  <c r="K31" i="18"/>
  <c r="M56" i="39"/>
  <c r="I58" i="39"/>
  <c r="U38" i="41"/>
  <c r="T47" i="41"/>
  <c r="L51" i="39"/>
  <c r="J51" i="39"/>
  <c r="G52" i="39"/>
  <c r="I55" i="39"/>
  <c r="L55" i="39"/>
  <c r="G50" i="39"/>
  <c r="I51" i="39"/>
  <c r="H51" i="39"/>
  <c r="K51" i="39"/>
  <c r="F64" i="39"/>
  <c r="G44" i="39"/>
  <c r="G53" i="39"/>
  <c r="M55" i="39"/>
  <c r="N55" i="39"/>
  <c r="O55" i="39"/>
  <c r="P55" i="39"/>
  <c r="Q55" i="39"/>
  <c r="R55" i="39"/>
  <c r="J55" i="39"/>
  <c r="Q32" i="18"/>
  <c r="H29" i="18"/>
  <c r="O32" i="18"/>
  <c r="Q29" i="18"/>
  <c r="H32" i="18"/>
  <c r="P32" i="18"/>
  <c r="N32" i="18"/>
  <c r="M32" i="18"/>
  <c r="L29" i="18"/>
  <c r="J32" i="18"/>
  <c r="O29" i="18"/>
  <c r="N29" i="18"/>
  <c r="L32" i="18"/>
  <c r="M29" i="18"/>
  <c r="K32" i="18"/>
  <c r="K29" i="18"/>
  <c r="I32" i="18"/>
  <c r="J29" i="18"/>
  <c r="R29" i="18"/>
  <c r="G12" i="18"/>
  <c r="Z40" i="17"/>
  <c r="Q40" i="17"/>
  <c r="G71" i="13"/>
  <c r="G77" i="13" s="1"/>
  <c r="H71" i="13"/>
  <c r="H77" i="13" s="1"/>
  <c r="I71" i="13"/>
  <c r="I77" i="13" s="1"/>
  <c r="J71" i="13"/>
  <c r="J77" i="13" s="1"/>
  <c r="K71" i="13"/>
  <c r="K77" i="13" s="1"/>
  <c r="L71" i="13"/>
  <c r="L77" i="13" s="1"/>
  <c r="M71" i="13"/>
  <c r="M77" i="13" s="1"/>
  <c r="N71" i="13"/>
  <c r="N77" i="13" s="1"/>
  <c r="O71" i="13"/>
  <c r="O77" i="13" s="1"/>
  <c r="P71" i="13"/>
  <c r="P77" i="13" s="1"/>
  <c r="Q71" i="13"/>
  <c r="Q77" i="13" s="1"/>
  <c r="G72" i="13"/>
  <c r="H72" i="13"/>
  <c r="I72" i="13"/>
  <c r="J72" i="13"/>
  <c r="K72" i="13"/>
  <c r="L72" i="13"/>
  <c r="M72" i="13"/>
  <c r="N72" i="13"/>
  <c r="O72" i="13"/>
  <c r="P72" i="13"/>
  <c r="Q72" i="13"/>
  <c r="G73" i="13"/>
  <c r="H73" i="13"/>
  <c r="I73" i="13"/>
  <c r="J73" i="13"/>
  <c r="K73" i="13"/>
  <c r="L73" i="13"/>
  <c r="L79" i="13" s="1"/>
  <c r="M73" i="13"/>
  <c r="M79" i="13" s="1"/>
  <c r="N73" i="13"/>
  <c r="N79" i="13" s="1"/>
  <c r="O73" i="13"/>
  <c r="O79" i="13" s="1"/>
  <c r="P73" i="13"/>
  <c r="P79" i="13" s="1"/>
  <c r="Q73" i="13"/>
  <c r="Q79" i="13" s="1"/>
  <c r="G74" i="13"/>
  <c r="H74" i="13"/>
  <c r="I74" i="13"/>
  <c r="J74" i="13"/>
  <c r="K74" i="13"/>
  <c r="L74" i="13"/>
  <c r="M74" i="13"/>
  <c r="N74" i="13"/>
  <c r="N80" i="13" s="1"/>
  <c r="O74" i="13"/>
  <c r="O80" i="13" s="1"/>
  <c r="P74" i="13"/>
  <c r="P80" i="13" s="1"/>
  <c r="Q74" i="13"/>
  <c r="Q80" i="13" s="1"/>
  <c r="F74" i="13"/>
  <c r="F73" i="13"/>
  <c r="F72" i="13"/>
  <c r="F71" i="13"/>
  <c r="O68" i="13"/>
  <c r="P68" i="13"/>
  <c r="Q68" i="13"/>
  <c r="N68" i="13"/>
  <c r="Q67" i="13"/>
  <c r="Q66" i="13"/>
  <c r="AE96" i="12"/>
  <c r="AC104" i="12"/>
  <c r="AC102" i="12"/>
  <c r="AE94" i="12"/>
  <c r="G109" i="12"/>
  <c r="G115" i="12" s="1"/>
  <c r="H109" i="12"/>
  <c r="H115" i="12" s="1"/>
  <c r="I109" i="12"/>
  <c r="I115" i="12" s="1"/>
  <c r="J109" i="12"/>
  <c r="J115" i="12" s="1"/>
  <c r="K109" i="12"/>
  <c r="K115" i="12" s="1"/>
  <c r="L109" i="12"/>
  <c r="L115" i="12" s="1"/>
  <c r="M109" i="12"/>
  <c r="M115" i="12" s="1"/>
  <c r="N109" i="12"/>
  <c r="N115" i="12" s="1"/>
  <c r="O109" i="12"/>
  <c r="O115" i="12" s="1"/>
  <c r="P109" i="12"/>
  <c r="P115" i="12" s="1"/>
  <c r="Q109" i="12"/>
  <c r="Q115" i="12" s="1"/>
  <c r="G111" i="12"/>
  <c r="G117" i="12" s="1"/>
  <c r="H111" i="12"/>
  <c r="H117" i="12" s="1"/>
  <c r="I111" i="12"/>
  <c r="I117" i="12" s="1"/>
  <c r="J111" i="12"/>
  <c r="J117" i="12" s="1"/>
  <c r="K111" i="12"/>
  <c r="K117" i="12" s="1"/>
  <c r="L111" i="12"/>
  <c r="L117" i="12" s="1"/>
  <c r="M111" i="12"/>
  <c r="M117" i="12" s="1"/>
  <c r="N111" i="12"/>
  <c r="N117" i="12" s="1"/>
  <c r="O111" i="12"/>
  <c r="O117" i="12" s="1"/>
  <c r="P111" i="12"/>
  <c r="P117" i="12" s="1"/>
  <c r="Q111" i="12"/>
  <c r="Q117" i="12" s="1"/>
  <c r="F111" i="12"/>
  <c r="F117" i="12" s="1"/>
  <c r="F109" i="12"/>
  <c r="F115" i="12" s="1"/>
  <c r="Q102" i="12"/>
  <c r="Q104" i="12"/>
  <c r="Q105" i="11"/>
  <c r="Q106" i="11"/>
  <c r="R73" i="13" l="1"/>
  <c r="R74" i="13"/>
  <c r="F77" i="13"/>
  <c r="R71" i="13"/>
  <c r="R72" i="13"/>
  <c r="T72" i="13" s="1"/>
  <c r="AF96" i="12"/>
  <c r="AF94" i="12"/>
  <c r="F31" i="18"/>
  <c r="F30" i="18"/>
  <c r="T32" i="18"/>
  <c r="AC115" i="12"/>
  <c r="F29" i="18"/>
  <c r="T111" i="12"/>
  <c r="T31" i="18"/>
  <c r="T109" i="12"/>
  <c r="T115" i="12" s="1"/>
  <c r="T30" i="18"/>
  <c r="F32" i="18"/>
  <c r="T29" i="18"/>
  <c r="T59" i="41"/>
  <c r="T48" i="41"/>
  <c r="U47" i="41"/>
  <c r="F57" i="39"/>
  <c r="F56" i="39"/>
  <c r="F55" i="39"/>
  <c r="F58" i="39"/>
  <c r="G61" i="39"/>
  <c r="G62" i="39" s="1"/>
  <c r="T19" i="7"/>
  <c r="T20" i="7"/>
  <c r="T21" i="7"/>
  <c r="T22" i="7"/>
  <c r="T18" i="7"/>
  <c r="G98" i="11"/>
  <c r="G102" i="11" s="1"/>
  <c r="H98" i="11"/>
  <c r="H102" i="11" s="1"/>
  <c r="I98" i="11"/>
  <c r="I102" i="11" s="1"/>
  <c r="J98" i="11"/>
  <c r="J102" i="11" s="1"/>
  <c r="K98" i="11"/>
  <c r="K102" i="11" s="1"/>
  <c r="L98" i="11"/>
  <c r="L102" i="11" s="1"/>
  <c r="M98" i="11"/>
  <c r="M102" i="11" s="1"/>
  <c r="N98" i="11"/>
  <c r="N102" i="11" s="1"/>
  <c r="O98" i="11"/>
  <c r="O102" i="11" s="1"/>
  <c r="P98" i="11"/>
  <c r="P102" i="11" s="1"/>
  <c r="Q98" i="11"/>
  <c r="Q102" i="11" s="1"/>
  <c r="G99" i="11"/>
  <c r="G103" i="11" s="1"/>
  <c r="H99" i="11"/>
  <c r="H103" i="11" s="1"/>
  <c r="I99" i="11"/>
  <c r="I103" i="11" s="1"/>
  <c r="J99" i="11"/>
  <c r="J103" i="11" s="1"/>
  <c r="K99" i="11"/>
  <c r="K103" i="11" s="1"/>
  <c r="L99" i="11"/>
  <c r="L103" i="11" s="1"/>
  <c r="M99" i="11"/>
  <c r="M103" i="11" s="1"/>
  <c r="N99" i="11"/>
  <c r="N103" i="11" s="1"/>
  <c r="O99" i="11"/>
  <c r="O103" i="11" s="1"/>
  <c r="P99" i="11"/>
  <c r="P103" i="11" s="1"/>
  <c r="Q99" i="11"/>
  <c r="Q103" i="11" s="1"/>
  <c r="F99" i="11"/>
  <c r="R99" i="11" s="1"/>
  <c r="F98" i="11"/>
  <c r="Q96" i="7"/>
  <c r="R96" i="7" s="1"/>
  <c r="Q97" i="7"/>
  <c r="R97" i="7" s="1"/>
  <c r="Q98" i="7"/>
  <c r="R98" i="7" s="1"/>
  <c r="Q99" i="7"/>
  <c r="R99" i="7" s="1"/>
  <c r="Q95" i="7"/>
  <c r="R95" i="7" s="1"/>
  <c r="Q31" i="43"/>
  <c r="Q24" i="43"/>
  <c r="Q23" i="43" s="1"/>
  <c r="Q36" i="43"/>
  <c r="Q35" i="43" s="1"/>
  <c r="Q41" i="43"/>
  <c r="Q40" i="43" s="1"/>
  <c r="Q14" i="43"/>
  <c r="Q13" i="43" s="1"/>
  <c r="Q38" i="17"/>
  <c r="Z38" i="17" s="1"/>
  <c r="P38" i="17"/>
  <c r="P39" i="17" s="1"/>
  <c r="O38" i="17"/>
  <c r="O39" i="17" s="1"/>
  <c r="N38" i="17"/>
  <c r="G72" i="38"/>
  <c r="G80" i="38" s="1"/>
  <c r="G90" i="37"/>
  <c r="F86" i="37"/>
  <c r="F85" i="37"/>
  <c r="F84" i="37"/>
  <c r="F83" i="37"/>
  <c r="F82" i="37"/>
  <c r="Q70" i="37"/>
  <c r="Q88" i="37" s="1"/>
  <c r="K71" i="37"/>
  <c r="K89" i="37" s="1"/>
  <c r="R72" i="37"/>
  <c r="R90" i="37" s="1"/>
  <c r="H72" i="37"/>
  <c r="H70" i="37"/>
  <c r="H88" i="37" s="1"/>
  <c r="G74" i="37"/>
  <c r="H74" i="37" s="1"/>
  <c r="H92" i="37" s="1"/>
  <c r="G73" i="37"/>
  <c r="N73" i="37" s="1"/>
  <c r="N91" i="37" s="1"/>
  <c r="G72" i="37"/>
  <c r="N72" i="37" s="1"/>
  <c r="N90" i="37" s="1"/>
  <c r="G71" i="37"/>
  <c r="I71" i="37" s="1"/>
  <c r="I89" i="37" s="1"/>
  <c r="G70" i="37"/>
  <c r="R70" i="37" s="1"/>
  <c r="R88" i="37" s="1"/>
  <c r="H50" i="30"/>
  <c r="I50" i="30"/>
  <c r="J50" i="30"/>
  <c r="K50" i="30"/>
  <c r="L50" i="30"/>
  <c r="M50" i="30"/>
  <c r="N50" i="30"/>
  <c r="O50" i="30"/>
  <c r="P50" i="30"/>
  <c r="Q50" i="30"/>
  <c r="R50" i="30"/>
  <c r="G50" i="30"/>
  <c r="G71" i="38"/>
  <c r="G79" i="38" s="1"/>
  <c r="T54" i="16"/>
  <c r="T62" i="16" s="1"/>
  <c r="T53" i="16"/>
  <c r="T61" i="16" s="1"/>
  <c r="T52" i="16"/>
  <c r="T60" i="16" s="1"/>
  <c r="G88" i="37" l="1"/>
  <c r="N70" i="37"/>
  <c r="N88" i="37" s="1"/>
  <c r="M70" i="37"/>
  <c r="M88" i="37" s="1"/>
  <c r="P70" i="37"/>
  <c r="P88" i="37" s="1"/>
  <c r="L70" i="37"/>
  <c r="L88" i="37" s="1"/>
  <c r="O70" i="37"/>
  <c r="O88" i="37" s="1"/>
  <c r="K70" i="37"/>
  <c r="K88" i="37" s="1"/>
  <c r="J70" i="37"/>
  <c r="J88" i="37" s="1"/>
  <c r="I70" i="37"/>
  <c r="I88" i="37" s="1"/>
  <c r="T99" i="7"/>
  <c r="F68" i="46"/>
  <c r="O71" i="37"/>
  <c r="O89" i="37" s="1"/>
  <c r="N71" i="37"/>
  <c r="N89" i="37" s="1"/>
  <c r="T96" i="7"/>
  <c r="F66" i="46"/>
  <c r="T99" i="11"/>
  <c r="T103" i="11" s="1"/>
  <c r="R103" i="11"/>
  <c r="P71" i="37"/>
  <c r="P89" i="37" s="1"/>
  <c r="T98" i="7"/>
  <c r="F67" i="46"/>
  <c r="T97" i="7"/>
  <c r="F65" i="46"/>
  <c r="M71" i="37"/>
  <c r="M89" i="37" s="1"/>
  <c r="L71" i="37"/>
  <c r="L89" i="37" s="1"/>
  <c r="F102" i="11"/>
  <c r="R98" i="11"/>
  <c r="Q72" i="37"/>
  <c r="Q90" i="37" s="1"/>
  <c r="M72" i="37"/>
  <c r="M90" i="37" s="1"/>
  <c r="H71" i="37"/>
  <c r="H89" i="37" s="1"/>
  <c r="K72" i="37"/>
  <c r="K90" i="37" s="1"/>
  <c r="J72" i="37"/>
  <c r="J90" i="37" s="1"/>
  <c r="T71" i="13"/>
  <c r="T77" i="13" s="1"/>
  <c r="R77" i="13"/>
  <c r="L72" i="37"/>
  <c r="L90" i="37" s="1"/>
  <c r="I72" i="37"/>
  <c r="I90" i="37" s="1"/>
  <c r="R71" i="37"/>
  <c r="R89" i="37" s="1"/>
  <c r="T74" i="13"/>
  <c r="T80" i="13" s="1"/>
  <c r="R80" i="13"/>
  <c r="Q71" i="37"/>
  <c r="Q89" i="37" s="1"/>
  <c r="G89" i="37"/>
  <c r="T95" i="7"/>
  <c r="F64" i="46"/>
  <c r="T73" i="13"/>
  <c r="T79" i="13" s="1"/>
  <c r="R79" i="13"/>
  <c r="N39" i="17"/>
  <c r="Z39" i="17" s="1"/>
  <c r="Z37" i="17" s="1"/>
  <c r="R38" i="17"/>
  <c r="R39" i="17" s="1"/>
  <c r="Q238" i="43"/>
  <c r="Q240" i="43"/>
  <c r="Q100" i="7"/>
  <c r="R100" i="7" s="1"/>
  <c r="T100" i="7" s="1"/>
  <c r="Q236" i="43"/>
  <c r="Q261" i="43" s="1"/>
  <c r="Q237" i="43"/>
  <c r="Q262" i="43" s="1"/>
  <c r="Q239" i="43"/>
  <c r="R31" i="43"/>
  <c r="Q30" i="43"/>
  <c r="T38" i="17"/>
  <c r="T39" i="17" s="1"/>
  <c r="AB102" i="11"/>
  <c r="Q73" i="37"/>
  <c r="Q91" i="37" s="1"/>
  <c r="J74" i="37"/>
  <c r="J92" i="37" s="1"/>
  <c r="O74" i="37"/>
  <c r="O92" i="37" s="1"/>
  <c r="P74" i="37"/>
  <c r="P92" i="37" s="1"/>
  <c r="G92" i="37"/>
  <c r="K74" i="37"/>
  <c r="K92" i="37" s="1"/>
  <c r="N74" i="37"/>
  <c r="N92" i="37" s="1"/>
  <c r="L74" i="37"/>
  <c r="L92" i="37" s="1"/>
  <c r="M74" i="37"/>
  <c r="M92" i="37" s="1"/>
  <c r="K73" i="37"/>
  <c r="K91" i="37" s="1"/>
  <c r="H73" i="37"/>
  <c r="H91" i="37" s="1"/>
  <c r="R74" i="37"/>
  <c r="R92" i="37" s="1"/>
  <c r="Q74" i="37"/>
  <c r="Q92" i="37" s="1"/>
  <c r="P73" i="37"/>
  <c r="P91" i="37" s="1"/>
  <c r="F103" i="11"/>
  <c r="AB103" i="11"/>
  <c r="AB95" i="11" s="1"/>
  <c r="R73" i="37"/>
  <c r="R91" i="37" s="1"/>
  <c r="O73" i="37"/>
  <c r="O91" i="37" s="1"/>
  <c r="I73" i="37"/>
  <c r="I91" i="37" s="1"/>
  <c r="J73" i="37"/>
  <c r="J91" i="37" s="1"/>
  <c r="L73" i="37"/>
  <c r="L91" i="37" s="1"/>
  <c r="H90" i="37"/>
  <c r="I74" i="37"/>
  <c r="I92" i="37" s="1"/>
  <c r="M73" i="37"/>
  <c r="M91" i="37" s="1"/>
  <c r="G91" i="37"/>
  <c r="P72" i="37"/>
  <c r="P90" i="37" s="1"/>
  <c r="J71" i="37"/>
  <c r="J89" i="37" s="1"/>
  <c r="AC12" i="12"/>
  <c r="AC14" i="12"/>
  <c r="T117" i="12"/>
  <c r="O72" i="37"/>
  <c r="O90" i="37" s="1"/>
  <c r="Q39" i="17"/>
  <c r="T60" i="41"/>
  <c r="U60" i="41" s="1"/>
  <c r="U59" i="41"/>
  <c r="R58" i="38"/>
  <c r="G57" i="38"/>
  <c r="O57" i="38" s="1"/>
  <c r="G56" i="38"/>
  <c r="P56" i="38" s="1"/>
  <c r="G55" i="38"/>
  <c r="I71" i="38"/>
  <c r="I79" i="38" s="1"/>
  <c r="J71" i="38"/>
  <c r="J79" i="38" s="1"/>
  <c r="K71" i="38"/>
  <c r="K79" i="38" s="1"/>
  <c r="L71" i="38"/>
  <c r="L79" i="38" s="1"/>
  <c r="M71" i="38"/>
  <c r="M79" i="38" s="1"/>
  <c r="N71" i="38"/>
  <c r="N79" i="38" s="1"/>
  <c r="O71" i="38"/>
  <c r="O79" i="38" s="1"/>
  <c r="P71" i="38"/>
  <c r="P79" i="38" s="1"/>
  <c r="Q71" i="38"/>
  <c r="Q79" i="38" s="1"/>
  <c r="R71" i="38"/>
  <c r="R79" i="38" s="1"/>
  <c r="I72" i="38"/>
  <c r="I80" i="38" s="1"/>
  <c r="J72" i="38"/>
  <c r="J80" i="38" s="1"/>
  <c r="K72" i="38"/>
  <c r="K80" i="38" s="1"/>
  <c r="L72" i="38"/>
  <c r="L80" i="38" s="1"/>
  <c r="M72" i="38"/>
  <c r="M80" i="38" s="1"/>
  <c r="N72" i="38"/>
  <c r="N80" i="38" s="1"/>
  <c r="O72" i="38"/>
  <c r="O80" i="38" s="1"/>
  <c r="P72" i="38"/>
  <c r="P80" i="38" s="1"/>
  <c r="Q72" i="38"/>
  <c r="Q80" i="38" s="1"/>
  <c r="R72" i="38"/>
  <c r="R80" i="38" s="1"/>
  <c r="I73" i="38"/>
  <c r="I81" i="38" s="1"/>
  <c r="J73" i="38"/>
  <c r="J81" i="38" s="1"/>
  <c r="K73" i="38"/>
  <c r="K81" i="38" s="1"/>
  <c r="H72" i="38"/>
  <c r="H80" i="38" s="1"/>
  <c r="H71" i="38"/>
  <c r="H79" i="38" s="1"/>
  <c r="F105" i="7"/>
  <c r="G73" i="38"/>
  <c r="G81" i="38" s="1"/>
  <c r="F104" i="7"/>
  <c r="G42" i="38"/>
  <c r="R42" i="38" s="1"/>
  <c r="G36" i="38"/>
  <c r="L36" i="38" s="1"/>
  <c r="G35" i="38"/>
  <c r="P35" i="38" s="1"/>
  <c r="G29" i="38"/>
  <c r="M29" i="38" s="1"/>
  <c r="G28" i="38"/>
  <c r="K28" i="38" s="1"/>
  <c r="G27" i="38"/>
  <c r="P27" i="38" s="1"/>
  <c r="G26" i="38"/>
  <c r="Q26" i="38" s="1"/>
  <c r="G25" i="38"/>
  <c r="L25" i="38" s="1"/>
  <c r="G16" i="38"/>
  <c r="G15" i="38"/>
  <c r="H15" i="38" s="1"/>
  <c r="G14" i="38"/>
  <c r="O14" i="38" s="1"/>
  <c r="G13" i="38"/>
  <c r="H13" i="38" s="1"/>
  <c r="G12" i="38"/>
  <c r="O12" i="38" s="1"/>
  <c r="R55" i="38"/>
  <c r="Q55" i="38"/>
  <c r="P55" i="38"/>
  <c r="O55" i="38"/>
  <c r="N55" i="38"/>
  <c r="M55" i="38"/>
  <c r="L55" i="38"/>
  <c r="K55" i="38"/>
  <c r="J55" i="38"/>
  <c r="I55" i="38"/>
  <c r="H55" i="38"/>
  <c r="I55" i="37"/>
  <c r="J55" i="37"/>
  <c r="K55" i="37"/>
  <c r="L55" i="37"/>
  <c r="M55" i="37"/>
  <c r="N55" i="37"/>
  <c r="O55" i="37"/>
  <c r="P55" i="37"/>
  <c r="Q55" i="37"/>
  <c r="R55" i="37"/>
  <c r="H55" i="37"/>
  <c r="M58" i="37"/>
  <c r="G56" i="37"/>
  <c r="Q56" i="37" s="1"/>
  <c r="G55" i="37"/>
  <c r="G29" i="37"/>
  <c r="I29" i="37" s="1"/>
  <c r="G28" i="37"/>
  <c r="O28" i="37" s="1"/>
  <c r="G42" i="37"/>
  <c r="N42" i="37" s="1"/>
  <c r="G36" i="37"/>
  <c r="K36" i="37" s="1"/>
  <c r="G35" i="37"/>
  <c r="J35" i="37" s="1"/>
  <c r="G26" i="37"/>
  <c r="K26" i="37" s="1"/>
  <c r="G27" i="37"/>
  <c r="I27" i="37" s="1"/>
  <c r="G25" i="37"/>
  <c r="M25" i="37" s="1"/>
  <c r="I15" i="37"/>
  <c r="J15" i="37"/>
  <c r="K15" i="37"/>
  <c r="L15" i="37"/>
  <c r="M15" i="37"/>
  <c r="N15" i="37"/>
  <c r="O15" i="37"/>
  <c r="P15" i="37"/>
  <c r="Q15" i="37"/>
  <c r="R15" i="37"/>
  <c r="H15" i="37"/>
  <c r="G13" i="37"/>
  <c r="L13" i="37" s="1"/>
  <c r="G14" i="37"/>
  <c r="R14" i="37" s="1"/>
  <c r="G16" i="37"/>
  <c r="Q16" i="37" s="1"/>
  <c r="G12" i="37"/>
  <c r="M12" i="37" s="1"/>
  <c r="G19" i="36"/>
  <c r="H19" i="36" s="1"/>
  <c r="J46" i="36"/>
  <c r="G45" i="36"/>
  <c r="N45" i="36" s="1"/>
  <c r="G44" i="36"/>
  <c r="R44" i="36" s="1"/>
  <c r="G43" i="36"/>
  <c r="O43" i="36" s="1"/>
  <c r="G28" i="36"/>
  <c r="L28" i="36" s="1"/>
  <c r="I59" i="35"/>
  <c r="G20" i="36"/>
  <c r="N20" i="36" s="1"/>
  <c r="I76" i="35"/>
  <c r="I124" i="35" s="1"/>
  <c r="I68" i="35"/>
  <c r="I122" i="35" s="1"/>
  <c r="G13" i="36"/>
  <c r="G12" i="36"/>
  <c r="G12" i="30"/>
  <c r="F56" i="36"/>
  <c r="C25" i="19"/>
  <c r="F88" i="35"/>
  <c r="M88" i="35"/>
  <c r="N88" i="35"/>
  <c r="O88" i="35"/>
  <c r="R91" i="35"/>
  <c r="G36" i="30"/>
  <c r="G34" i="30"/>
  <c r="G21" i="30"/>
  <c r="H34" i="30"/>
  <c r="I34" i="30"/>
  <c r="J34" i="30"/>
  <c r="K34" i="30"/>
  <c r="L34" i="30"/>
  <c r="M34" i="30"/>
  <c r="N34" i="30"/>
  <c r="O34" i="30"/>
  <c r="P34" i="30"/>
  <c r="Q34" i="30"/>
  <c r="R34" i="30"/>
  <c r="H35" i="30"/>
  <c r="I35" i="30"/>
  <c r="J35" i="30"/>
  <c r="K35" i="30"/>
  <c r="L35" i="30"/>
  <c r="M35" i="30"/>
  <c r="N35" i="30"/>
  <c r="O35" i="30"/>
  <c r="P35" i="30"/>
  <c r="Q35" i="30"/>
  <c r="R35" i="30"/>
  <c r="G35" i="30"/>
  <c r="H18" i="30"/>
  <c r="I18" i="30"/>
  <c r="J18" i="30"/>
  <c r="K18" i="30"/>
  <c r="L18" i="30"/>
  <c r="M18" i="30"/>
  <c r="N18" i="30"/>
  <c r="O18" i="30"/>
  <c r="P18" i="30"/>
  <c r="Q18" i="30"/>
  <c r="R18" i="30"/>
  <c r="G18" i="30"/>
  <c r="M73" i="38" l="1"/>
  <c r="M81" i="38" s="1"/>
  <c r="L73" i="38"/>
  <c r="L81" i="38" s="1"/>
  <c r="F70" i="37"/>
  <c r="F88" i="37" s="1"/>
  <c r="Q65" i="46"/>
  <c r="F84" i="46"/>
  <c r="F72" i="37"/>
  <c r="F90" i="37" s="1"/>
  <c r="G25" i="36"/>
  <c r="I25" i="36" s="1"/>
  <c r="I121" i="35"/>
  <c r="I126" i="35" s="1"/>
  <c r="Q66" i="46"/>
  <c r="F85" i="46"/>
  <c r="Q67" i="46"/>
  <c r="F86" i="46"/>
  <c r="Q68" i="46"/>
  <c r="F87" i="46"/>
  <c r="Q64" i="46"/>
  <c r="F83" i="46"/>
  <c r="T98" i="11"/>
  <c r="T102" i="11" s="1"/>
  <c r="R102" i="11"/>
  <c r="G27" i="36"/>
  <c r="N27" i="36" s="1"/>
  <c r="I31" i="35"/>
  <c r="G29" i="36"/>
  <c r="O29" i="36" s="1"/>
  <c r="I13" i="36"/>
  <c r="H12" i="36"/>
  <c r="R26" i="38"/>
  <c r="N26" i="38"/>
  <c r="P26" i="38"/>
  <c r="Q27" i="38"/>
  <c r="H29" i="38"/>
  <c r="I46" i="36"/>
  <c r="Z12" i="17"/>
  <c r="Z17" i="17"/>
  <c r="Z18" i="17"/>
  <c r="Z19" i="17"/>
  <c r="Z20" i="17"/>
  <c r="R240" i="43"/>
  <c r="T240" i="43" s="1"/>
  <c r="Q259" i="43"/>
  <c r="R239" i="43"/>
  <c r="T239" i="43" s="1"/>
  <c r="Q258" i="43"/>
  <c r="R236" i="43"/>
  <c r="T236" i="43" s="1"/>
  <c r="Q255" i="43"/>
  <c r="R238" i="43"/>
  <c r="T238" i="43" s="1"/>
  <c r="Q257" i="43"/>
  <c r="R237" i="43"/>
  <c r="T237" i="43" s="1"/>
  <c r="Q256" i="43"/>
  <c r="Q263" i="43"/>
  <c r="Q264" i="43"/>
  <c r="Q265" i="43"/>
  <c r="Q43" i="43"/>
  <c r="T31" i="43"/>
  <c r="Q15" i="38"/>
  <c r="N25" i="38"/>
  <c r="L43" i="36"/>
  <c r="O25" i="38"/>
  <c r="T34" i="30"/>
  <c r="L26" i="38"/>
  <c r="R43" i="36"/>
  <c r="T37" i="30"/>
  <c r="Q43" i="36"/>
  <c r="P43" i="36"/>
  <c r="M35" i="38"/>
  <c r="H58" i="38"/>
  <c r="K43" i="36"/>
  <c r="J35" i="38"/>
  <c r="I58" i="38"/>
  <c r="L35" i="38"/>
  <c r="J58" i="38"/>
  <c r="O35" i="38"/>
  <c r="K58" i="38"/>
  <c r="Q36" i="38"/>
  <c r="L58" i="38"/>
  <c r="Q46" i="36"/>
  <c r="R15" i="38"/>
  <c r="M58" i="38"/>
  <c r="O46" i="36"/>
  <c r="N58" i="38"/>
  <c r="N46" i="36"/>
  <c r="O58" i="38"/>
  <c r="M46" i="36"/>
  <c r="P25" i="38"/>
  <c r="P58" i="38"/>
  <c r="L46" i="36"/>
  <c r="Q58" i="38"/>
  <c r="F110" i="7"/>
  <c r="Q44" i="36"/>
  <c r="I56" i="38"/>
  <c r="H73" i="38"/>
  <c r="H81" i="38" s="1"/>
  <c r="H45" i="36"/>
  <c r="J19" i="36"/>
  <c r="R45" i="36"/>
  <c r="I19" i="36"/>
  <c r="J29" i="38"/>
  <c r="J56" i="38"/>
  <c r="R73" i="38"/>
  <c r="R81" i="38" s="1"/>
  <c r="F73" i="37"/>
  <c r="F91" i="37" s="1"/>
  <c r="F71" i="37"/>
  <c r="F89" i="37" s="1"/>
  <c r="J44" i="36"/>
  <c r="F111" i="7"/>
  <c r="Q19" i="36"/>
  <c r="K27" i="38"/>
  <c r="H56" i="38"/>
  <c r="Q45" i="36"/>
  <c r="R20" i="36"/>
  <c r="M25" i="38"/>
  <c r="L29" i="38"/>
  <c r="H35" i="38"/>
  <c r="K56" i="38"/>
  <c r="Q73" i="38"/>
  <c r="Q81" i="38" s="1"/>
  <c r="H36" i="30"/>
  <c r="T35" i="30"/>
  <c r="I44" i="36"/>
  <c r="R19" i="36"/>
  <c r="Q20" i="36"/>
  <c r="N29" i="38"/>
  <c r="F71" i="38"/>
  <c r="F79" i="38" s="1"/>
  <c r="I45" i="36"/>
  <c r="P20" i="36"/>
  <c r="J25" i="38"/>
  <c r="O29" i="38"/>
  <c r="O56" i="38"/>
  <c r="O73" i="38"/>
  <c r="O81" i="38" s="1"/>
  <c r="F72" i="38"/>
  <c r="F80" i="38" s="1"/>
  <c r="F55" i="38"/>
  <c r="J45" i="36"/>
  <c r="H25" i="38"/>
  <c r="L56" i="38"/>
  <c r="P73" i="38"/>
  <c r="P81" i="38" s="1"/>
  <c r="P29" i="38"/>
  <c r="N35" i="38"/>
  <c r="N73" i="38"/>
  <c r="N81" i="38" s="1"/>
  <c r="F74" i="37"/>
  <c r="F92" i="37" s="1"/>
  <c r="T61" i="41"/>
  <c r="Q36" i="37"/>
  <c r="J58" i="37"/>
  <c r="N56" i="37"/>
  <c r="N16" i="37"/>
  <c r="O12" i="37"/>
  <c r="L58" i="37"/>
  <c r="P56" i="37"/>
  <c r="H56" i="37"/>
  <c r="K58" i="37"/>
  <c r="O56" i="37"/>
  <c r="H58" i="37"/>
  <c r="I58" i="37"/>
  <c r="M56" i="37"/>
  <c r="L56" i="37"/>
  <c r="K56" i="37"/>
  <c r="J56" i="37"/>
  <c r="I56" i="37"/>
  <c r="Q14" i="37"/>
  <c r="R58" i="37"/>
  <c r="O16" i="37"/>
  <c r="P14" i="37"/>
  <c r="Q58" i="37"/>
  <c r="O14" i="37"/>
  <c r="P58" i="37"/>
  <c r="M16" i="37"/>
  <c r="K14" i="37"/>
  <c r="I36" i="37"/>
  <c r="O58" i="37"/>
  <c r="L16" i="37"/>
  <c r="R13" i="37"/>
  <c r="K35" i="37"/>
  <c r="N58" i="37"/>
  <c r="R56" i="37"/>
  <c r="K16" i="37"/>
  <c r="Q13" i="37"/>
  <c r="I35" i="37"/>
  <c r="H42" i="38"/>
  <c r="K42" i="38"/>
  <c r="P42" i="38"/>
  <c r="N36" i="38"/>
  <c r="P36" i="38"/>
  <c r="R36" i="38"/>
  <c r="L28" i="38"/>
  <c r="O28" i="38"/>
  <c r="I28" i="38"/>
  <c r="H28" i="38"/>
  <c r="J28" i="38"/>
  <c r="P28" i="38"/>
  <c r="R27" i="38"/>
  <c r="K15" i="38"/>
  <c r="L15" i="38"/>
  <c r="I15" i="38"/>
  <c r="J15" i="38"/>
  <c r="M15" i="38"/>
  <c r="N15" i="38"/>
  <c r="O15" i="38"/>
  <c r="P15" i="38"/>
  <c r="Q12" i="38"/>
  <c r="I14" i="38"/>
  <c r="R16" i="38"/>
  <c r="M57" i="38"/>
  <c r="J13" i="38"/>
  <c r="N14" i="38"/>
  <c r="K13" i="38"/>
  <c r="H16" i="38"/>
  <c r="H27" i="38"/>
  <c r="H12" i="38"/>
  <c r="L13" i="38"/>
  <c r="P14" i="38"/>
  <c r="I16" i="38"/>
  <c r="Q25" i="38"/>
  <c r="I27" i="38"/>
  <c r="M28" i="38"/>
  <c r="Q29" i="38"/>
  <c r="Q35" i="38"/>
  <c r="I42" i="38"/>
  <c r="M56" i="38"/>
  <c r="P57" i="38"/>
  <c r="I12" i="38"/>
  <c r="M13" i="38"/>
  <c r="Q14" i="38"/>
  <c r="J16" i="38"/>
  <c r="R25" i="38"/>
  <c r="J27" i="38"/>
  <c r="N28" i="38"/>
  <c r="R29" i="38"/>
  <c r="R35" i="38"/>
  <c r="J42" i="38"/>
  <c r="N56" i="38"/>
  <c r="Q57" i="38"/>
  <c r="R57" i="38"/>
  <c r="I13" i="38"/>
  <c r="J12" i="38"/>
  <c r="R14" i="38"/>
  <c r="K12" i="38"/>
  <c r="H26" i="38"/>
  <c r="H36" i="38"/>
  <c r="L42" i="38"/>
  <c r="N13" i="38"/>
  <c r="K16" i="38"/>
  <c r="M14" i="38"/>
  <c r="O13" i="38"/>
  <c r="L16" i="38"/>
  <c r="L27" i="38"/>
  <c r="L12" i="38"/>
  <c r="P13" i="38"/>
  <c r="M16" i="38"/>
  <c r="I26" i="38"/>
  <c r="M27" i="38"/>
  <c r="Q28" i="38"/>
  <c r="I36" i="38"/>
  <c r="M42" i="38"/>
  <c r="Q56" i="38"/>
  <c r="M12" i="38"/>
  <c r="Q13" i="38"/>
  <c r="N16" i="38"/>
  <c r="J26" i="38"/>
  <c r="N27" i="38"/>
  <c r="R28" i="38"/>
  <c r="J36" i="38"/>
  <c r="N42" i="38"/>
  <c r="R56" i="38"/>
  <c r="K14" i="38"/>
  <c r="N12" i="38"/>
  <c r="R13" i="38"/>
  <c r="O16" i="38"/>
  <c r="K26" i="38"/>
  <c r="O27" i="38"/>
  <c r="K36" i="38"/>
  <c r="O42" i="38"/>
  <c r="P16" i="38"/>
  <c r="P12" i="38"/>
  <c r="H14" i="38"/>
  <c r="Q16" i="38"/>
  <c r="I25" i="38"/>
  <c r="M26" i="38"/>
  <c r="I29" i="38"/>
  <c r="I35" i="38"/>
  <c r="M36" i="38"/>
  <c r="Q42" i="38"/>
  <c r="H57" i="38"/>
  <c r="I57" i="38"/>
  <c r="R12" i="38"/>
  <c r="J14" i="38"/>
  <c r="K25" i="38"/>
  <c r="O26" i="38"/>
  <c r="K29" i="38"/>
  <c r="K35" i="38"/>
  <c r="O36" i="38"/>
  <c r="J57" i="38"/>
  <c r="K57" i="38"/>
  <c r="L14" i="38"/>
  <c r="L57" i="38"/>
  <c r="N57" i="38"/>
  <c r="K13" i="37"/>
  <c r="O26" i="37"/>
  <c r="H42" i="37"/>
  <c r="J13" i="37"/>
  <c r="N26" i="37"/>
  <c r="J42" i="37"/>
  <c r="I13" i="37"/>
  <c r="M26" i="37"/>
  <c r="K42" i="37"/>
  <c r="J26" i="37"/>
  <c r="L42" i="37"/>
  <c r="H14" i="37"/>
  <c r="L12" i="37"/>
  <c r="I26" i="37"/>
  <c r="O42" i="37"/>
  <c r="H13" i="37"/>
  <c r="K12" i="37"/>
  <c r="Q25" i="37"/>
  <c r="H35" i="37"/>
  <c r="P42" i="37"/>
  <c r="R16" i="37"/>
  <c r="J12" i="37"/>
  <c r="L25" i="37"/>
  <c r="Q42" i="37"/>
  <c r="I12" i="37"/>
  <c r="K25" i="37"/>
  <c r="O36" i="37"/>
  <c r="R42" i="37"/>
  <c r="H26" i="37"/>
  <c r="O27" i="37"/>
  <c r="P13" i="37"/>
  <c r="R26" i="37"/>
  <c r="O13" i="37"/>
  <c r="Q26" i="37"/>
  <c r="H28" i="37"/>
  <c r="N28" i="37"/>
  <c r="M28" i="37"/>
  <c r="J36" i="37"/>
  <c r="M20" i="36"/>
  <c r="L20" i="36"/>
  <c r="H29" i="37"/>
  <c r="J43" i="36"/>
  <c r="P19" i="36"/>
  <c r="K20" i="36"/>
  <c r="J16" i="37"/>
  <c r="N14" i="37"/>
  <c r="R12" i="37"/>
  <c r="R29" i="37"/>
  <c r="L28" i="37"/>
  <c r="P26" i="37"/>
  <c r="J25" i="37"/>
  <c r="R35" i="37"/>
  <c r="I42" i="37"/>
  <c r="I43" i="36"/>
  <c r="R46" i="36"/>
  <c r="O19" i="36"/>
  <c r="J20" i="36"/>
  <c r="I16" i="37"/>
  <c r="M14" i="37"/>
  <c r="Q12" i="37"/>
  <c r="Q29" i="37"/>
  <c r="K28" i="37"/>
  <c r="I25" i="37"/>
  <c r="Q35" i="37"/>
  <c r="N19" i="36"/>
  <c r="I20" i="36"/>
  <c r="L14" i="37"/>
  <c r="P12" i="37"/>
  <c r="P29" i="37"/>
  <c r="J28" i="37"/>
  <c r="P35" i="37"/>
  <c r="M19" i="36"/>
  <c r="O29" i="37"/>
  <c r="I28" i="37"/>
  <c r="O35" i="37"/>
  <c r="N44" i="36"/>
  <c r="L19" i="36"/>
  <c r="H16" i="37"/>
  <c r="J14" i="37"/>
  <c r="N12" i="37"/>
  <c r="N29" i="37"/>
  <c r="R27" i="37"/>
  <c r="L26" i="37"/>
  <c r="N35" i="37"/>
  <c r="M42" i="37"/>
  <c r="M44" i="36"/>
  <c r="K19" i="36"/>
  <c r="I14" i="37"/>
  <c r="M29" i="37"/>
  <c r="Q27" i="37"/>
  <c r="M35" i="37"/>
  <c r="L29" i="37"/>
  <c r="P27" i="37"/>
  <c r="R36" i="37"/>
  <c r="L35" i="37"/>
  <c r="K29" i="37"/>
  <c r="H20" i="36"/>
  <c r="J29" i="37"/>
  <c r="N27" i="37"/>
  <c r="R25" i="37"/>
  <c r="P36" i="37"/>
  <c r="M27" i="37"/>
  <c r="P16" i="37"/>
  <c r="N13" i="37"/>
  <c r="R28" i="37"/>
  <c r="L27" i="37"/>
  <c r="P25" i="37"/>
  <c r="H36" i="37"/>
  <c r="N36" i="37"/>
  <c r="M13" i="37"/>
  <c r="H25" i="37"/>
  <c r="Q28" i="37"/>
  <c r="K27" i="37"/>
  <c r="O25" i="37"/>
  <c r="M36" i="37"/>
  <c r="N43" i="36"/>
  <c r="P45" i="36"/>
  <c r="O20" i="36"/>
  <c r="P28" i="37"/>
  <c r="J27" i="37"/>
  <c r="N25" i="37"/>
  <c r="L36" i="37"/>
  <c r="M43" i="36"/>
  <c r="M45" i="36"/>
  <c r="H27" i="37"/>
  <c r="H12" i="37"/>
  <c r="I29" i="36"/>
  <c r="J29" i="36"/>
  <c r="P44" i="36"/>
  <c r="L45" i="36"/>
  <c r="H43" i="36"/>
  <c r="O44" i="36"/>
  <c r="K45" i="36"/>
  <c r="J28" i="36"/>
  <c r="L44" i="36"/>
  <c r="K44" i="36"/>
  <c r="H46" i="36"/>
  <c r="P46" i="36"/>
  <c r="H44" i="36"/>
  <c r="O45" i="36"/>
  <c r="K46" i="36"/>
  <c r="P29" i="36"/>
  <c r="K28" i="36"/>
  <c r="I28" i="36"/>
  <c r="H28" i="36"/>
  <c r="R28" i="36"/>
  <c r="Q28" i="36"/>
  <c r="P28" i="36"/>
  <c r="O28" i="36"/>
  <c r="N28" i="36"/>
  <c r="M28" i="36"/>
  <c r="Q13" i="36"/>
  <c r="P13" i="36"/>
  <c r="N12" i="36"/>
  <c r="O12" i="36"/>
  <c r="H13" i="36"/>
  <c r="P12" i="36"/>
  <c r="R13" i="36"/>
  <c r="O13" i="36"/>
  <c r="I12" i="36"/>
  <c r="J12" i="36"/>
  <c r="K12" i="36"/>
  <c r="R12" i="36"/>
  <c r="L12" i="36"/>
  <c r="M12" i="36"/>
  <c r="Q12" i="36"/>
  <c r="N13" i="36"/>
  <c r="M13" i="36"/>
  <c r="L13" i="36"/>
  <c r="K13" i="36"/>
  <c r="J13" i="36"/>
  <c r="G103" i="7"/>
  <c r="G109" i="7" s="1"/>
  <c r="H103" i="7"/>
  <c r="H109" i="7" s="1"/>
  <c r="I103" i="7"/>
  <c r="I109" i="7" s="1"/>
  <c r="J103" i="7"/>
  <c r="J109" i="7" s="1"/>
  <c r="K103" i="7"/>
  <c r="K109" i="7" s="1"/>
  <c r="L103" i="7"/>
  <c r="L109" i="7" s="1"/>
  <c r="M103" i="7"/>
  <c r="M109" i="7" s="1"/>
  <c r="N103" i="7"/>
  <c r="N109" i="7" s="1"/>
  <c r="O103" i="7"/>
  <c r="O109" i="7" s="1"/>
  <c r="P103" i="7"/>
  <c r="P109" i="7" s="1"/>
  <c r="Q103" i="7"/>
  <c r="Q109" i="7" s="1"/>
  <c r="F103" i="7"/>
  <c r="F109" i="7" s="1"/>
  <c r="Q107" i="7"/>
  <c r="Q113" i="7" s="1"/>
  <c r="P107" i="7"/>
  <c r="P113" i="7" s="1"/>
  <c r="O107" i="7"/>
  <c r="O113" i="7" s="1"/>
  <c r="N107" i="7"/>
  <c r="N113" i="7" s="1"/>
  <c r="M107" i="7"/>
  <c r="M113" i="7" s="1"/>
  <c r="L107" i="7"/>
  <c r="L113" i="7" s="1"/>
  <c r="K107" i="7"/>
  <c r="K113" i="7" s="1"/>
  <c r="J107" i="7"/>
  <c r="J113" i="7" s="1"/>
  <c r="I107" i="7"/>
  <c r="I113" i="7" s="1"/>
  <c r="H107" i="7"/>
  <c r="H113" i="7" s="1"/>
  <c r="G107" i="7"/>
  <c r="G113" i="7" s="1"/>
  <c r="F107" i="7"/>
  <c r="Q106" i="7"/>
  <c r="Q112" i="7" s="1"/>
  <c r="P106" i="7"/>
  <c r="P112" i="7" s="1"/>
  <c r="O106" i="7"/>
  <c r="O112" i="7" s="1"/>
  <c r="N106" i="7"/>
  <c r="N112" i="7" s="1"/>
  <c r="M106" i="7"/>
  <c r="M112" i="7" s="1"/>
  <c r="L106" i="7"/>
  <c r="L112" i="7" s="1"/>
  <c r="K106" i="7"/>
  <c r="K112" i="7" s="1"/>
  <c r="J106" i="7"/>
  <c r="J112" i="7" s="1"/>
  <c r="I106" i="7"/>
  <c r="I112" i="7" s="1"/>
  <c r="H106" i="7"/>
  <c r="H112" i="7" s="1"/>
  <c r="G106" i="7"/>
  <c r="G112" i="7" s="1"/>
  <c r="F106" i="7"/>
  <c r="R29" i="36" l="1"/>
  <c r="J25" i="36"/>
  <c r="K25" i="36"/>
  <c r="O25" i="36"/>
  <c r="Q29" i="36"/>
  <c r="N29" i="36"/>
  <c r="L29" i="36"/>
  <c r="N25" i="36"/>
  <c r="K29" i="36"/>
  <c r="P25" i="36"/>
  <c r="M29" i="36"/>
  <c r="H29" i="36"/>
  <c r="Q25" i="36"/>
  <c r="R25" i="36"/>
  <c r="H25" i="36"/>
  <c r="L25" i="36"/>
  <c r="M25" i="36"/>
  <c r="O27" i="36"/>
  <c r="AB94" i="11"/>
  <c r="Q27" i="36"/>
  <c r="J27" i="36"/>
  <c r="I27" i="36"/>
  <c r="R27" i="36"/>
  <c r="P27" i="36"/>
  <c r="G32" i="36"/>
  <c r="F32" i="36" s="1"/>
  <c r="L27" i="36"/>
  <c r="H27" i="36"/>
  <c r="M27" i="36"/>
  <c r="K27" i="36"/>
  <c r="Z13" i="17"/>
  <c r="Z28" i="17" s="1"/>
  <c r="M13" i="29"/>
  <c r="F58" i="38"/>
  <c r="F46" i="36"/>
  <c r="F113" i="7"/>
  <c r="AB113" i="7" s="1"/>
  <c r="T107" i="7"/>
  <c r="T113" i="7" s="1"/>
  <c r="AB109" i="7"/>
  <c r="T103" i="7"/>
  <c r="T109" i="7" s="1"/>
  <c r="F112" i="7"/>
  <c r="AB112" i="7" s="1"/>
  <c r="T106" i="7"/>
  <c r="T112" i="7" s="1"/>
  <c r="F56" i="38"/>
  <c r="F73" i="38"/>
  <c r="F81" i="38" s="1"/>
  <c r="T62" i="41"/>
  <c r="T93" i="41" s="1"/>
  <c r="F57" i="38"/>
  <c r="F44" i="36"/>
  <c r="F43" i="36"/>
  <c r="F58" i="37"/>
  <c r="F55" i="37"/>
  <c r="F56" i="37"/>
  <c r="F45" i="36"/>
  <c r="Q104" i="7"/>
  <c r="Q110" i="7" s="1"/>
  <c r="P104" i="7"/>
  <c r="P110" i="7" s="1"/>
  <c r="O104" i="7"/>
  <c r="O110" i="7" s="1"/>
  <c r="N104" i="7"/>
  <c r="N110" i="7" s="1"/>
  <c r="M104" i="7"/>
  <c r="M110" i="7" s="1"/>
  <c r="L104" i="7"/>
  <c r="L110" i="7" s="1"/>
  <c r="K104" i="7"/>
  <c r="K110" i="7" s="1"/>
  <c r="J104" i="7"/>
  <c r="J110" i="7" s="1"/>
  <c r="I104" i="7"/>
  <c r="I110" i="7" s="1"/>
  <c r="H104" i="7"/>
  <c r="H110" i="7" s="1"/>
  <c r="G104" i="7"/>
  <c r="Q105" i="7"/>
  <c r="Q111" i="7" s="1"/>
  <c r="P105" i="7"/>
  <c r="P111" i="7" s="1"/>
  <c r="O105" i="7"/>
  <c r="O111" i="7" s="1"/>
  <c r="N105" i="7"/>
  <c r="N111" i="7" s="1"/>
  <c r="M105" i="7"/>
  <c r="M111" i="7" s="1"/>
  <c r="L105" i="7"/>
  <c r="L111" i="7" s="1"/>
  <c r="K105" i="7"/>
  <c r="K111" i="7" s="1"/>
  <c r="J105" i="7"/>
  <c r="J111" i="7" s="1"/>
  <c r="I105" i="7"/>
  <c r="I111" i="7" s="1"/>
  <c r="H105" i="7"/>
  <c r="H111" i="7" s="1"/>
  <c r="G105" i="7"/>
  <c r="F12" i="31"/>
  <c r="Q36" i="16"/>
  <c r="Q43" i="16" s="1"/>
  <c r="Q46" i="15"/>
  <c r="O84" i="35"/>
  <c r="O85" i="35"/>
  <c r="O86" i="35"/>
  <c r="O83" i="35"/>
  <c r="R46" i="15" l="1"/>
  <c r="K50" i="46" s="1"/>
  <c r="Q48" i="15"/>
  <c r="H15" i="39"/>
  <c r="H47" i="39" s="1"/>
  <c r="M10" i="29"/>
  <c r="M14" i="29" s="1"/>
  <c r="Q44" i="16"/>
  <c r="R44" i="16" s="1"/>
  <c r="L55" i="46" s="1"/>
  <c r="Q45" i="16"/>
  <c r="R45" i="16" s="1"/>
  <c r="T46" i="15"/>
  <c r="W46" i="15" s="1"/>
  <c r="U46" i="15"/>
  <c r="Q171" i="43"/>
  <c r="R171" i="43" s="1"/>
  <c r="T171" i="43" s="1"/>
  <c r="R36" i="16"/>
  <c r="Q170" i="43"/>
  <c r="H12" i="39"/>
  <c r="P12" i="39" s="1"/>
  <c r="H14" i="39"/>
  <c r="M14" i="39" s="1"/>
  <c r="H13" i="39"/>
  <c r="Q13" i="39" s="1"/>
  <c r="G110" i="7"/>
  <c r="AB110" i="7" s="1"/>
  <c r="T104" i="7"/>
  <c r="T110" i="7" s="1"/>
  <c r="G111" i="7"/>
  <c r="T105" i="7"/>
  <c r="AB98" i="7"/>
  <c r="AB21" i="7" s="1"/>
  <c r="AB99" i="7"/>
  <c r="AB22" i="7" s="1"/>
  <c r="L15" i="39" l="1"/>
  <c r="L47" i="39" s="1"/>
  <c r="N15" i="39"/>
  <c r="M15" i="39"/>
  <c r="Q15" i="39"/>
  <c r="J15" i="39"/>
  <c r="J47" i="39" s="1"/>
  <c r="P15" i="39"/>
  <c r="R15" i="39"/>
  <c r="K15" i="39"/>
  <c r="K47" i="39" s="1"/>
  <c r="O15" i="39"/>
  <c r="I15" i="39"/>
  <c r="I47" i="39" s="1"/>
  <c r="J13" i="39"/>
  <c r="J45" i="39" s="1"/>
  <c r="M13" i="39"/>
  <c r="H45" i="39"/>
  <c r="L14" i="39"/>
  <c r="L46" i="39" s="1"/>
  <c r="O13" i="39"/>
  <c r="I13" i="39"/>
  <c r="I45" i="39" s="1"/>
  <c r="K13" i="39"/>
  <c r="K45" i="39" s="1"/>
  <c r="L13" i="39"/>
  <c r="L45" i="39" s="1"/>
  <c r="T36" i="16"/>
  <c r="W36" i="16" s="1"/>
  <c r="L50" i="46"/>
  <c r="U36" i="16"/>
  <c r="T45" i="16"/>
  <c r="W45" i="16" s="1"/>
  <c r="U45" i="16"/>
  <c r="U44" i="16"/>
  <c r="T44" i="16"/>
  <c r="W44" i="16" s="1"/>
  <c r="Q14" i="39"/>
  <c r="K14" i="39"/>
  <c r="K46" i="39" s="1"/>
  <c r="N14" i="39"/>
  <c r="P14" i="39"/>
  <c r="R12" i="39"/>
  <c r="L12" i="39"/>
  <c r="L44" i="39" s="1"/>
  <c r="N12" i="39"/>
  <c r="J14" i="39"/>
  <c r="J46" i="39" s="1"/>
  <c r="R13" i="39"/>
  <c r="M12" i="39"/>
  <c r="K12" i="39"/>
  <c r="K44" i="39" s="1"/>
  <c r="H44" i="39"/>
  <c r="I12" i="39"/>
  <c r="I44" i="39" s="1"/>
  <c r="J12" i="39"/>
  <c r="J44" i="39" s="1"/>
  <c r="O12" i="39"/>
  <c r="Q12" i="39"/>
  <c r="I14" i="39"/>
  <c r="I46" i="39" s="1"/>
  <c r="O14" i="39"/>
  <c r="Q164" i="43"/>
  <c r="R170" i="43"/>
  <c r="R14" i="39"/>
  <c r="R14" i="42"/>
  <c r="N14" i="42"/>
  <c r="H44" i="42"/>
  <c r="I14" i="42"/>
  <c r="I44" i="42" s="1"/>
  <c r="O14" i="42"/>
  <c r="Q14" i="42"/>
  <c r="L14" i="42"/>
  <c r="L44" i="42" s="1"/>
  <c r="J14" i="42"/>
  <c r="J44" i="42" s="1"/>
  <c r="M14" i="42"/>
  <c r="K14" i="42"/>
  <c r="K44" i="42" s="1"/>
  <c r="P14" i="42"/>
  <c r="H46" i="39"/>
  <c r="P13" i="39"/>
  <c r="H42" i="42"/>
  <c r="O12" i="42"/>
  <c r="N12" i="42"/>
  <c r="M12" i="42"/>
  <c r="Q12" i="42"/>
  <c r="P12" i="42"/>
  <c r="R12" i="42"/>
  <c r="L12" i="42"/>
  <c r="L42" i="42" s="1"/>
  <c r="K12" i="42"/>
  <c r="K42" i="42" s="1"/>
  <c r="J12" i="42"/>
  <c r="J42" i="42" s="1"/>
  <c r="I12" i="42"/>
  <c r="I42" i="42" s="1"/>
  <c r="M13" i="42"/>
  <c r="N13" i="42"/>
  <c r="R13" i="42"/>
  <c r="O13" i="42"/>
  <c r="Q13" i="42"/>
  <c r="P13" i="42"/>
  <c r="I13" i="42"/>
  <c r="I43" i="42" s="1"/>
  <c r="K13" i="42"/>
  <c r="K43" i="42" s="1"/>
  <c r="J13" i="42"/>
  <c r="J43" i="42" s="1"/>
  <c r="L13" i="42"/>
  <c r="L43" i="42" s="1"/>
  <c r="H43" i="42"/>
  <c r="N13" i="39"/>
  <c r="AB18" i="7"/>
  <c r="AB97" i="7"/>
  <c r="AB20" i="7" s="1"/>
  <c r="T111" i="7"/>
  <c r="AB96" i="7"/>
  <c r="AB19" i="7" s="1"/>
  <c r="L48" i="39" l="1"/>
  <c r="H48" i="39"/>
  <c r="J48" i="39"/>
  <c r="I48" i="39"/>
  <c r="K48" i="39"/>
  <c r="AB100" i="7"/>
  <c r="T170" i="43"/>
  <c r="I49" i="35"/>
  <c r="N71" i="35"/>
  <c r="O78" i="35"/>
  <c r="O144" i="35" s="1"/>
  <c r="H67" i="35"/>
  <c r="G21" i="36"/>
  <c r="J67" i="35"/>
  <c r="J108" i="35" s="1"/>
  <c r="J112" i="35" s="1"/>
  <c r="K67" i="35"/>
  <c r="L67" i="35"/>
  <c r="L108" i="35" s="1"/>
  <c r="N67" i="35"/>
  <c r="N108" i="35" s="1"/>
  <c r="O67" i="35"/>
  <c r="O108" i="35" s="1"/>
  <c r="H68" i="35"/>
  <c r="G32" i="51" s="1"/>
  <c r="K68" i="35"/>
  <c r="L68" i="35"/>
  <c r="L122" i="35" s="1"/>
  <c r="M68" i="35"/>
  <c r="O68" i="35"/>
  <c r="O122" i="35" s="1"/>
  <c r="K69" i="35"/>
  <c r="L69" i="35"/>
  <c r="L135" i="35" s="1"/>
  <c r="O69" i="35"/>
  <c r="O135" i="35" s="1"/>
  <c r="H71" i="35"/>
  <c r="I71" i="35"/>
  <c r="I109" i="35" s="1"/>
  <c r="O71" i="35"/>
  <c r="O109" i="35" s="1"/>
  <c r="H72" i="35"/>
  <c r="O72" i="35"/>
  <c r="O123" i="35" s="1"/>
  <c r="K73" i="35"/>
  <c r="G37" i="50" s="1"/>
  <c r="L73" i="35"/>
  <c r="O73" i="35"/>
  <c r="O136" i="35" s="1"/>
  <c r="H75" i="35"/>
  <c r="I75" i="35"/>
  <c r="J75" i="35"/>
  <c r="J110" i="35" s="1"/>
  <c r="K75" i="35"/>
  <c r="L75" i="35"/>
  <c r="N75" i="35"/>
  <c r="O75" i="35"/>
  <c r="O110" i="35" s="1"/>
  <c r="H76" i="35"/>
  <c r="K76" i="35"/>
  <c r="L76" i="35"/>
  <c r="L124" i="35" s="1"/>
  <c r="M76" i="35"/>
  <c r="O76" i="35"/>
  <c r="O124" i="35" s="1"/>
  <c r="K77" i="35"/>
  <c r="L77" i="35"/>
  <c r="L137" i="35" s="1"/>
  <c r="O77" i="35"/>
  <c r="O137" i="35" s="1"/>
  <c r="G75" i="35"/>
  <c r="G69" i="35"/>
  <c r="G33" i="52" s="1"/>
  <c r="G67" i="35"/>
  <c r="F59" i="35"/>
  <c r="F60" i="35"/>
  <c r="F61" i="35"/>
  <c r="F62" i="35"/>
  <c r="F58" i="35"/>
  <c r="F107" i="35" s="1"/>
  <c r="F112" i="35" s="1"/>
  <c r="G64" i="37"/>
  <c r="G64" i="38"/>
  <c r="M89" i="35"/>
  <c r="N89" i="35"/>
  <c r="O89" i="35"/>
  <c r="I53" i="35"/>
  <c r="I48" i="35"/>
  <c r="G53" i="35"/>
  <c r="G47" i="35" s="1"/>
  <c r="F53" i="35"/>
  <c r="K42" i="35"/>
  <c r="L126" i="35" l="1"/>
  <c r="H108" i="35"/>
  <c r="G31" i="51"/>
  <c r="K135" i="35"/>
  <c r="G33" i="50"/>
  <c r="K110" i="35"/>
  <c r="G39" i="50"/>
  <c r="M122" i="35"/>
  <c r="F44" i="54"/>
  <c r="F18" i="54" s="1"/>
  <c r="J21" i="53"/>
  <c r="J130" i="53" s="1"/>
  <c r="K59" i="39"/>
  <c r="K60" i="39"/>
  <c r="P37" i="50"/>
  <c r="P53" i="50" s="1"/>
  <c r="O37" i="50"/>
  <c r="O53" i="50" s="1"/>
  <c r="H37" i="50"/>
  <c r="H53" i="50" s="1"/>
  <c r="R37" i="50"/>
  <c r="R53" i="50" s="1"/>
  <c r="K37" i="50"/>
  <c r="K53" i="50" s="1"/>
  <c r="Q37" i="50"/>
  <c r="Q53" i="50" s="1"/>
  <c r="N37" i="50"/>
  <c r="N53" i="50" s="1"/>
  <c r="G53" i="50"/>
  <c r="L37" i="50"/>
  <c r="L53" i="50" s="1"/>
  <c r="M37" i="50"/>
  <c r="M53" i="50" s="1"/>
  <c r="J37" i="50"/>
  <c r="J53" i="50" s="1"/>
  <c r="I37" i="50"/>
  <c r="I53" i="50" s="1"/>
  <c r="H123" i="35"/>
  <c r="G36" i="51"/>
  <c r="M124" i="35"/>
  <c r="F46" i="54"/>
  <c r="F20" i="54" s="1"/>
  <c r="K124" i="35"/>
  <c r="G40" i="50"/>
  <c r="H21" i="53"/>
  <c r="H130" i="53" s="1"/>
  <c r="I60" i="39"/>
  <c r="I59" i="39"/>
  <c r="H109" i="35"/>
  <c r="G35" i="51"/>
  <c r="H124" i="35"/>
  <c r="G40" i="51"/>
  <c r="G108" i="35"/>
  <c r="G31" i="52"/>
  <c r="K122" i="35"/>
  <c r="G32" i="50"/>
  <c r="I21" i="53"/>
  <c r="I130" i="53" s="1"/>
  <c r="J59" i="39"/>
  <c r="J60" i="39"/>
  <c r="K137" i="35"/>
  <c r="G41" i="50"/>
  <c r="K108" i="35"/>
  <c r="G31" i="50"/>
  <c r="H110" i="35"/>
  <c r="G39" i="51"/>
  <c r="K32" i="51"/>
  <c r="H32" i="51"/>
  <c r="L32" i="51"/>
  <c r="N32" i="51"/>
  <c r="J32" i="51"/>
  <c r="I32" i="51"/>
  <c r="M32" i="51"/>
  <c r="R32" i="51"/>
  <c r="P32" i="51"/>
  <c r="O32" i="51"/>
  <c r="Q32" i="51"/>
  <c r="P33" i="52"/>
  <c r="O33" i="52"/>
  <c r="H33" i="52"/>
  <c r="R33" i="52"/>
  <c r="L33" i="52"/>
  <c r="N33" i="52"/>
  <c r="Q33" i="52"/>
  <c r="J33" i="52"/>
  <c r="K33" i="52"/>
  <c r="I33" i="52"/>
  <c r="M33" i="52"/>
  <c r="G110" i="35"/>
  <c r="G39" i="52"/>
  <c r="K21" i="53"/>
  <c r="K130" i="53" s="1"/>
  <c r="L60" i="39"/>
  <c r="L59" i="39"/>
  <c r="H59" i="39"/>
  <c r="H60" i="39"/>
  <c r="H31" i="35"/>
  <c r="H122" i="35"/>
  <c r="F31" i="35"/>
  <c r="F121" i="35"/>
  <c r="F126" i="35" s="1"/>
  <c r="F32" i="35"/>
  <c r="F134" i="35"/>
  <c r="F139" i="35" s="1"/>
  <c r="I29" i="35"/>
  <c r="I110" i="35"/>
  <c r="I112" i="35" s="1"/>
  <c r="G37" i="37"/>
  <c r="R37" i="37" s="1"/>
  <c r="K136" i="35"/>
  <c r="G19" i="18"/>
  <c r="N109" i="35"/>
  <c r="N112" i="35" s="1"/>
  <c r="G37" i="38"/>
  <c r="N37" i="38" s="1"/>
  <c r="L136" i="35"/>
  <c r="L139" i="35" s="1"/>
  <c r="G32" i="35"/>
  <c r="G135" i="35"/>
  <c r="G139" i="35" s="1"/>
  <c r="F34" i="35"/>
  <c r="F148" i="35"/>
  <c r="F153" i="35" s="1"/>
  <c r="G20" i="18"/>
  <c r="N110" i="35"/>
  <c r="F33" i="35"/>
  <c r="F141" i="35"/>
  <c r="F146" i="35" s="1"/>
  <c r="G39" i="38"/>
  <c r="J39" i="38" s="1"/>
  <c r="L110" i="35"/>
  <c r="L112" i="35" s="1"/>
  <c r="I30" i="35"/>
  <c r="F30" i="35"/>
  <c r="F29" i="35"/>
  <c r="G33" i="38"/>
  <c r="N33" i="38" s="1"/>
  <c r="L32" i="35"/>
  <c r="G33" i="37"/>
  <c r="K33" i="37" s="1"/>
  <c r="K32" i="35"/>
  <c r="G32" i="38"/>
  <c r="L32" i="38" s="1"/>
  <c r="L31" i="35"/>
  <c r="M29" i="35"/>
  <c r="M100" i="35" s="1"/>
  <c r="M19" i="35" s="1"/>
  <c r="M31" i="35"/>
  <c r="G32" i="37"/>
  <c r="L32" i="37" s="1"/>
  <c r="K31" i="35"/>
  <c r="J30" i="35"/>
  <c r="J29" i="35"/>
  <c r="G29" i="35"/>
  <c r="G30" i="35"/>
  <c r="N30" i="35"/>
  <c r="N29" i="35"/>
  <c r="N101" i="35" s="1"/>
  <c r="N20" i="35" s="1"/>
  <c r="L29" i="35"/>
  <c r="L30" i="35"/>
  <c r="K30" i="35"/>
  <c r="K29" i="35"/>
  <c r="H29" i="35"/>
  <c r="H30" i="35"/>
  <c r="G18" i="18"/>
  <c r="G40" i="37"/>
  <c r="L40" i="37" s="1"/>
  <c r="G41" i="38"/>
  <c r="I41" i="38" s="1"/>
  <c r="G31" i="37"/>
  <c r="K31" i="37" s="1"/>
  <c r="G31" i="38"/>
  <c r="H31" i="38" s="1"/>
  <c r="G41" i="37"/>
  <c r="P41" i="37" s="1"/>
  <c r="G20" i="30"/>
  <c r="G40" i="38"/>
  <c r="I40" i="38" s="1"/>
  <c r="G23" i="36"/>
  <c r="K23" i="36" s="1"/>
  <c r="O60" i="35"/>
  <c r="O59" i="35"/>
  <c r="G25" i="42"/>
  <c r="O61" i="35"/>
  <c r="I47" i="35"/>
  <c r="G52" i="36" s="1"/>
  <c r="H31" i="39"/>
  <c r="N31" i="39" s="1"/>
  <c r="H40" i="39"/>
  <c r="N40" i="39" s="1"/>
  <c r="H36" i="39"/>
  <c r="K36" i="39" s="1"/>
  <c r="H37" i="39"/>
  <c r="R37" i="39" s="1"/>
  <c r="H35" i="39"/>
  <c r="Q35" i="39" s="1"/>
  <c r="H42" i="39"/>
  <c r="O42" i="39" s="1"/>
  <c r="H33" i="39"/>
  <c r="J33" i="39" s="1"/>
  <c r="H32" i="39"/>
  <c r="P32" i="39" s="1"/>
  <c r="H39" i="39"/>
  <c r="M39" i="39" s="1"/>
  <c r="H41" i="39"/>
  <c r="R41" i="39" s="1"/>
  <c r="Q64" i="37"/>
  <c r="K64" i="37"/>
  <c r="R64" i="37"/>
  <c r="I64" i="37"/>
  <c r="N64" i="37"/>
  <c r="L64" i="37"/>
  <c r="P64" i="37"/>
  <c r="H64" i="37"/>
  <c r="J64" i="37"/>
  <c r="M64" i="37"/>
  <c r="O64" i="37"/>
  <c r="J43" i="30"/>
  <c r="M43" i="30"/>
  <c r="O43" i="30"/>
  <c r="P43" i="30"/>
  <c r="K43" i="30"/>
  <c r="L43" i="30"/>
  <c r="N43" i="30"/>
  <c r="Q43" i="30"/>
  <c r="R43" i="30"/>
  <c r="H43" i="30"/>
  <c r="I43" i="30"/>
  <c r="G43" i="30"/>
  <c r="Z43" i="17"/>
  <c r="Q21" i="36"/>
  <c r="O21" i="36"/>
  <c r="H21" i="36"/>
  <c r="L21" i="36"/>
  <c r="M21" i="36"/>
  <c r="K21" i="36"/>
  <c r="R21" i="36"/>
  <c r="P21" i="36"/>
  <c r="N21" i="36"/>
  <c r="J21" i="36"/>
  <c r="I21" i="36"/>
  <c r="R23" i="36"/>
  <c r="P39" i="38"/>
  <c r="H39" i="38"/>
  <c r="G39" i="37"/>
  <c r="G22" i="30"/>
  <c r="G22" i="36"/>
  <c r="L64" i="38"/>
  <c r="M64" i="38"/>
  <c r="N64" i="38"/>
  <c r="O64" i="38"/>
  <c r="P64" i="38"/>
  <c r="R64" i="38"/>
  <c r="Q64" i="38"/>
  <c r="K64" i="38"/>
  <c r="H64" i="38"/>
  <c r="I64" i="38"/>
  <c r="J64" i="38"/>
  <c r="P40" i="38"/>
  <c r="G57" i="37"/>
  <c r="O58" i="35"/>
  <c r="L41" i="38" l="1"/>
  <c r="N41" i="38"/>
  <c r="K139" i="35"/>
  <c r="H126" i="35"/>
  <c r="M126" i="35"/>
  <c r="K126" i="35"/>
  <c r="H112" i="35"/>
  <c r="G112" i="35"/>
  <c r="I39" i="38"/>
  <c r="K112" i="35"/>
  <c r="P33" i="37"/>
  <c r="I31" i="50"/>
  <c r="Q31" i="50"/>
  <c r="K31" i="50"/>
  <c r="J31" i="50"/>
  <c r="G52" i="50"/>
  <c r="M31" i="50"/>
  <c r="P31" i="50"/>
  <c r="R31" i="50"/>
  <c r="O31" i="50"/>
  <c r="N31" i="50"/>
  <c r="L31" i="50"/>
  <c r="H31" i="50"/>
  <c r="L40" i="50"/>
  <c r="R40" i="50"/>
  <c r="Q40" i="50"/>
  <c r="N40" i="50"/>
  <c r="P40" i="50"/>
  <c r="O40" i="50"/>
  <c r="M40" i="50"/>
  <c r="J40" i="50"/>
  <c r="H40" i="50"/>
  <c r="I40" i="50"/>
  <c r="K40" i="50"/>
  <c r="K20" i="54"/>
  <c r="H20" i="54"/>
  <c r="I20" i="54"/>
  <c r="G20" i="54"/>
  <c r="M20" i="54"/>
  <c r="O20" i="54"/>
  <c r="P20" i="54"/>
  <c r="J20" i="54"/>
  <c r="L20" i="54"/>
  <c r="N20" i="54"/>
  <c r="Q20" i="54"/>
  <c r="M37" i="37"/>
  <c r="Q31" i="52"/>
  <c r="P31" i="52"/>
  <c r="H31" i="52"/>
  <c r="N31" i="52"/>
  <c r="M31" i="52"/>
  <c r="K31" i="52"/>
  <c r="J31" i="52"/>
  <c r="O31" i="52"/>
  <c r="I31" i="52"/>
  <c r="R31" i="52"/>
  <c r="L31" i="52"/>
  <c r="P39" i="50"/>
  <c r="Q39" i="50"/>
  <c r="N39" i="50"/>
  <c r="M39" i="50"/>
  <c r="I39" i="50"/>
  <c r="L39" i="50"/>
  <c r="K39" i="50"/>
  <c r="J39" i="50"/>
  <c r="R39" i="50"/>
  <c r="G54" i="50"/>
  <c r="O39" i="50"/>
  <c r="H39" i="50"/>
  <c r="R41" i="50"/>
  <c r="I41" i="50"/>
  <c r="P41" i="50"/>
  <c r="O41" i="50"/>
  <c r="Q41" i="50"/>
  <c r="N41" i="50"/>
  <c r="K41" i="50"/>
  <c r="M41" i="50"/>
  <c r="L41" i="50"/>
  <c r="H41" i="50"/>
  <c r="J41" i="50"/>
  <c r="L39" i="52"/>
  <c r="O39" i="52"/>
  <c r="Q39" i="52"/>
  <c r="P39" i="52"/>
  <c r="R39" i="52"/>
  <c r="J39" i="52"/>
  <c r="I39" i="52"/>
  <c r="K39" i="52"/>
  <c r="H39" i="52"/>
  <c r="N39" i="52"/>
  <c r="M39" i="52"/>
  <c r="M36" i="51"/>
  <c r="K36" i="51"/>
  <c r="J36" i="51"/>
  <c r="L36" i="51"/>
  <c r="H36" i="51"/>
  <c r="I36" i="51"/>
  <c r="Q36" i="51"/>
  <c r="O36" i="51"/>
  <c r="P36" i="51"/>
  <c r="N36" i="51"/>
  <c r="R36" i="51"/>
  <c r="O32" i="50"/>
  <c r="N32" i="50"/>
  <c r="K32" i="50"/>
  <c r="L32" i="50"/>
  <c r="M32" i="50"/>
  <c r="J32" i="50"/>
  <c r="I32" i="50"/>
  <c r="R32" i="50"/>
  <c r="Q32" i="50"/>
  <c r="P32" i="50"/>
  <c r="H32" i="50"/>
  <c r="K18" i="54"/>
  <c r="O18" i="54"/>
  <c r="G18" i="54"/>
  <c r="I18" i="54"/>
  <c r="L18" i="54"/>
  <c r="Q18" i="54"/>
  <c r="M18" i="54"/>
  <c r="N18" i="54"/>
  <c r="P18" i="54"/>
  <c r="H18" i="54"/>
  <c r="J18" i="54"/>
  <c r="J37" i="37"/>
  <c r="F53" i="50"/>
  <c r="N37" i="37"/>
  <c r="P37" i="37"/>
  <c r="J40" i="51"/>
  <c r="I40" i="51"/>
  <c r="O40" i="51"/>
  <c r="Q40" i="51"/>
  <c r="H40" i="51"/>
  <c r="N40" i="51"/>
  <c r="M40" i="51"/>
  <c r="R40" i="51"/>
  <c r="K40" i="51"/>
  <c r="P40" i="51"/>
  <c r="L40" i="51"/>
  <c r="O33" i="50"/>
  <c r="K33" i="50"/>
  <c r="J33" i="50"/>
  <c r="R33" i="50"/>
  <c r="P33" i="50"/>
  <c r="I33" i="50"/>
  <c r="L33" i="50"/>
  <c r="H33" i="50"/>
  <c r="Q33" i="50"/>
  <c r="M33" i="50"/>
  <c r="N33" i="50"/>
  <c r="H37" i="38"/>
  <c r="R37" i="38"/>
  <c r="N35" i="51"/>
  <c r="J35" i="51"/>
  <c r="I35" i="51"/>
  <c r="O35" i="51"/>
  <c r="P35" i="51"/>
  <c r="H35" i="51"/>
  <c r="R35" i="51"/>
  <c r="Q35" i="51"/>
  <c r="M35" i="51"/>
  <c r="K35" i="51"/>
  <c r="L35" i="51"/>
  <c r="Q31" i="51"/>
  <c r="I31" i="51"/>
  <c r="L31" i="51"/>
  <c r="H31" i="51"/>
  <c r="R31" i="51"/>
  <c r="O31" i="51"/>
  <c r="N31" i="51"/>
  <c r="M31" i="51"/>
  <c r="K31" i="51"/>
  <c r="J31" i="51"/>
  <c r="P31" i="51"/>
  <c r="J39" i="51"/>
  <c r="P39" i="51"/>
  <c r="N39" i="51"/>
  <c r="K39" i="51"/>
  <c r="Q39" i="51"/>
  <c r="L39" i="51"/>
  <c r="I39" i="51"/>
  <c r="R39" i="51"/>
  <c r="H39" i="51"/>
  <c r="O39" i="51"/>
  <c r="M39" i="51"/>
  <c r="N40" i="38"/>
  <c r="I37" i="38"/>
  <c r="L37" i="38"/>
  <c r="Q40" i="38"/>
  <c r="N39" i="38"/>
  <c r="H40" i="38"/>
  <c r="R40" i="38"/>
  <c r="Q37" i="38"/>
  <c r="O37" i="38"/>
  <c r="M40" i="38"/>
  <c r="K39" i="38"/>
  <c r="J37" i="38"/>
  <c r="O39" i="38"/>
  <c r="M37" i="38"/>
  <c r="R39" i="38"/>
  <c r="K37" i="38"/>
  <c r="Q39" i="38"/>
  <c r="P37" i="38"/>
  <c r="M39" i="38"/>
  <c r="O30" i="35"/>
  <c r="O107" i="35"/>
  <c r="O112" i="35" s="1"/>
  <c r="Q23" i="36"/>
  <c r="O33" i="35"/>
  <c r="O141" i="35"/>
  <c r="O146" i="35" s="1"/>
  <c r="K37" i="37"/>
  <c r="K40" i="38"/>
  <c r="G31" i="36"/>
  <c r="F31" i="36" s="1"/>
  <c r="I23" i="36"/>
  <c r="H24" i="39"/>
  <c r="Q24" i="39" s="1"/>
  <c r="O121" i="35"/>
  <c r="O126" i="35" s="1"/>
  <c r="H37" i="37"/>
  <c r="L37" i="37"/>
  <c r="H33" i="37"/>
  <c r="I37" i="37"/>
  <c r="O33" i="38"/>
  <c r="O37" i="37"/>
  <c r="P33" i="38"/>
  <c r="L39" i="38"/>
  <c r="O32" i="35"/>
  <c r="O134" i="35"/>
  <c r="O139" i="35" s="1"/>
  <c r="Q37" i="37"/>
  <c r="L33" i="38"/>
  <c r="P41" i="38"/>
  <c r="N33" i="37"/>
  <c r="R33" i="38"/>
  <c r="Q41" i="38"/>
  <c r="R41" i="38"/>
  <c r="Q33" i="37"/>
  <c r="I33" i="38"/>
  <c r="H33" i="38"/>
  <c r="P40" i="37"/>
  <c r="R33" i="37"/>
  <c r="K40" i="37"/>
  <c r="O23" i="36"/>
  <c r="J32" i="38"/>
  <c r="O31" i="35"/>
  <c r="R40" i="37"/>
  <c r="H25" i="39"/>
  <c r="I25" i="39" s="1"/>
  <c r="N32" i="38"/>
  <c r="I40" i="37"/>
  <c r="M40" i="37"/>
  <c r="M33" i="38"/>
  <c r="N23" i="36"/>
  <c r="M23" i="36"/>
  <c r="K33" i="38"/>
  <c r="L23" i="36"/>
  <c r="Q33" i="38"/>
  <c r="J40" i="37"/>
  <c r="H32" i="38"/>
  <c r="J33" i="38"/>
  <c r="O40" i="37"/>
  <c r="J23" i="36"/>
  <c r="R32" i="38"/>
  <c r="O29" i="35"/>
  <c r="J33" i="37"/>
  <c r="H40" i="37"/>
  <c r="I33" i="37"/>
  <c r="Q40" i="37"/>
  <c r="L40" i="38"/>
  <c r="P32" i="38"/>
  <c r="N40" i="37"/>
  <c r="K32" i="38"/>
  <c r="M32" i="38"/>
  <c r="Q32" i="38"/>
  <c r="I32" i="38"/>
  <c r="O32" i="38"/>
  <c r="M32" i="37"/>
  <c r="R32" i="37"/>
  <c r="P32" i="37"/>
  <c r="Q32" i="37"/>
  <c r="I31" i="38"/>
  <c r="O32" i="37"/>
  <c r="H32" i="37"/>
  <c r="K32" i="37"/>
  <c r="N32" i="37"/>
  <c r="M31" i="38"/>
  <c r="O31" i="38"/>
  <c r="M33" i="37"/>
  <c r="O33" i="37"/>
  <c r="L33" i="37"/>
  <c r="J32" i="37"/>
  <c r="I32" i="37"/>
  <c r="L31" i="37"/>
  <c r="H31" i="37"/>
  <c r="H41" i="38"/>
  <c r="N31" i="37"/>
  <c r="K31" i="38"/>
  <c r="O41" i="38"/>
  <c r="J31" i="37"/>
  <c r="O31" i="37"/>
  <c r="Q31" i="37"/>
  <c r="J41" i="38"/>
  <c r="I31" i="37"/>
  <c r="J31" i="38"/>
  <c r="Q31" i="38"/>
  <c r="M41" i="37"/>
  <c r="R41" i="37"/>
  <c r="J40" i="38"/>
  <c r="H23" i="36"/>
  <c r="L31" i="38"/>
  <c r="K41" i="37"/>
  <c r="R31" i="38"/>
  <c r="P31" i="37"/>
  <c r="N31" i="38"/>
  <c r="N41" i="37"/>
  <c r="J41" i="37"/>
  <c r="K41" i="38"/>
  <c r="O40" i="38"/>
  <c r="P23" i="36"/>
  <c r="P31" i="38"/>
  <c r="I41" i="37"/>
  <c r="R31" i="37"/>
  <c r="L41" i="37"/>
  <c r="Q41" i="37"/>
  <c r="M31" i="37"/>
  <c r="O41" i="37"/>
  <c r="M41" i="38"/>
  <c r="H41" i="37"/>
  <c r="J41" i="39"/>
  <c r="P41" i="39"/>
  <c r="L41" i="39"/>
  <c r="O41" i="39"/>
  <c r="Q41" i="39"/>
  <c r="H26" i="39"/>
  <c r="O26" i="39" s="1"/>
  <c r="M94" i="35"/>
  <c r="M13" i="35" s="1"/>
  <c r="M95" i="35"/>
  <c r="M14" i="35" s="1"/>
  <c r="I39" i="39"/>
  <c r="M92" i="35"/>
  <c r="M98" i="35"/>
  <c r="M102" i="35"/>
  <c r="M21" i="35" s="1"/>
  <c r="M96" i="35"/>
  <c r="M15" i="35" s="1"/>
  <c r="M101" i="35"/>
  <c r="M20" i="35" s="1"/>
  <c r="M99" i="35"/>
  <c r="M18" i="35" s="1"/>
  <c r="M93" i="35"/>
  <c r="M12" i="35" s="1"/>
  <c r="J37" i="39"/>
  <c r="M37" i="39"/>
  <c r="Q33" i="39"/>
  <c r="R33" i="39"/>
  <c r="I37" i="39"/>
  <c r="Q31" i="39"/>
  <c r="P37" i="39"/>
  <c r="O31" i="39"/>
  <c r="R31" i="39"/>
  <c r="P31" i="39"/>
  <c r="K35" i="39"/>
  <c r="N35" i="39"/>
  <c r="I35" i="39"/>
  <c r="P33" i="39"/>
  <c r="O33" i="39"/>
  <c r="K33" i="39"/>
  <c r="M33" i="39"/>
  <c r="J35" i="39"/>
  <c r="K31" i="39"/>
  <c r="I33" i="39"/>
  <c r="M31" i="39"/>
  <c r="R40" i="39"/>
  <c r="O40" i="39"/>
  <c r="P40" i="39"/>
  <c r="I40" i="39"/>
  <c r="J40" i="39"/>
  <c r="Q40" i="39"/>
  <c r="K40" i="39"/>
  <c r="L40" i="39"/>
  <c r="M40" i="39"/>
  <c r="N33" i="39"/>
  <c r="M35" i="39"/>
  <c r="L31" i="39"/>
  <c r="Q37" i="39"/>
  <c r="L33" i="39"/>
  <c r="O35" i="39"/>
  <c r="I31" i="39"/>
  <c r="R32" i="39"/>
  <c r="J39" i="39"/>
  <c r="M32" i="39"/>
  <c r="N102" i="35"/>
  <c r="N21" i="35" s="1"/>
  <c r="L42" i="39"/>
  <c r="L32" i="39"/>
  <c r="M42" i="39"/>
  <c r="P42" i="39"/>
  <c r="R42" i="39"/>
  <c r="Q42" i="39"/>
  <c r="J42" i="39"/>
  <c r="I42" i="39"/>
  <c r="N93" i="35"/>
  <c r="N12" i="35" s="1"/>
  <c r="L35" i="39"/>
  <c r="J31" i="39"/>
  <c r="N41" i="39"/>
  <c r="O32" i="39"/>
  <c r="N32" i="39"/>
  <c r="P35" i="39"/>
  <c r="R35" i="39"/>
  <c r="H52" i="39"/>
  <c r="I32" i="39"/>
  <c r="K39" i="39"/>
  <c r="N95" i="35"/>
  <c r="N14" i="35" s="1"/>
  <c r="L39" i="39"/>
  <c r="N96" i="35"/>
  <c r="N15" i="35" s="1"/>
  <c r="P39" i="39"/>
  <c r="R39" i="39"/>
  <c r="N92" i="35"/>
  <c r="K14" i="18" s="1"/>
  <c r="N94" i="35"/>
  <c r="N13" i="35" s="1"/>
  <c r="N39" i="39"/>
  <c r="Q39" i="39"/>
  <c r="I36" i="39"/>
  <c r="H54" i="39"/>
  <c r="K32" i="39"/>
  <c r="M36" i="39"/>
  <c r="O39" i="39"/>
  <c r="J32" i="39"/>
  <c r="Q25" i="42"/>
  <c r="G47" i="42"/>
  <c r="G56" i="42" s="1"/>
  <c r="G57" i="42" s="1"/>
  <c r="R25" i="42"/>
  <c r="M25" i="42"/>
  <c r="J25" i="42"/>
  <c r="J47" i="42" s="1"/>
  <c r="I25" i="42"/>
  <c r="I47" i="42" s="1"/>
  <c r="H25" i="42"/>
  <c r="H47" i="42" s="1"/>
  <c r="K25" i="42"/>
  <c r="K47" i="42" s="1"/>
  <c r="L25" i="42"/>
  <c r="L47" i="42" s="1"/>
  <c r="O25" i="42"/>
  <c r="N25" i="42"/>
  <c r="P25" i="42"/>
  <c r="Q36" i="39"/>
  <c r="L36" i="39"/>
  <c r="N36" i="39"/>
  <c r="K42" i="39"/>
  <c r="K41" i="39"/>
  <c r="O37" i="39"/>
  <c r="I41" i="39"/>
  <c r="K37" i="39"/>
  <c r="L37" i="39"/>
  <c r="N37" i="39"/>
  <c r="H53" i="39"/>
  <c r="O36" i="39"/>
  <c r="P36" i="39"/>
  <c r="P33" i="42"/>
  <c r="I33" i="42"/>
  <c r="K33" i="42"/>
  <c r="N33" i="42"/>
  <c r="O33" i="42"/>
  <c r="R33" i="42"/>
  <c r="Q33" i="42"/>
  <c r="L33" i="42"/>
  <c r="J33" i="42"/>
  <c r="M33" i="42"/>
  <c r="F43" i="30"/>
  <c r="F64" i="37"/>
  <c r="F64" i="38"/>
  <c r="L34" i="42"/>
  <c r="Q34" i="42"/>
  <c r="O34" i="42"/>
  <c r="P34" i="42"/>
  <c r="N34" i="42"/>
  <c r="M34" i="42"/>
  <c r="J34" i="42"/>
  <c r="I34" i="42"/>
  <c r="R34" i="42"/>
  <c r="K34" i="42"/>
  <c r="M30" i="42"/>
  <c r="J30" i="42"/>
  <c r="P30" i="42"/>
  <c r="O30" i="42"/>
  <c r="I30" i="42"/>
  <c r="N30" i="42"/>
  <c r="Q30" i="42"/>
  <c r="R30" i="42"/>
  <c r="K30" i="42"/>
  <c r="L30" i="42"/>
  <c r="R36" i="39"/>
  <c r="N42" i="39"/>
  <c r="M41" i="39"/>
  <c r="Q32" i="39"/>
  <c r="J36" i="39"/>
  <c r="R29" i="42"/>
  <c r="Q29" i="42"/>
  <c r="P29" i="42"/>
  <c r="O29" i="42"/>
  <c r="N29" i="42"/>
  <c r="I29" i="42"/>
  <c r="I48" i="42" s="1"/>
  <c r="M29" i="42"/>
  <c r="L29" i="42"/>
  <c r="K29" i="42"/>
  <c r="K48" i="42" s="1"/>
  <c r="J29" i="42"/>
  <c r="J48" i="42" s="1"/>
  <c r="H23" i="39"/>
  <c r="Z45" i="17"/>
  <c r="P22" i="36"/>
  <c r="Q22" i="36"/>
  <c r="J22" i="36"/>
  <c r="N22" i="36"/>
  <c r="H22" i="36"/>
  <c r="O22" i="36"/>
  <c r="K22" i="36"/>
  <c r="M22" i="36"/>
  <c r="I22" i="36"/>
  <c r="R22" i="36"/>
  <c r="L22" i="36"/>
  <c r="I57" i="37"/>
  <c r="N57" i="37"/>
  <c r="K57" i="37"/>
  <c r="M57" i="37"/>
  <c r="Q57" i="37"/>
  <c r="O57" i="37"/>
  <c r="P57" i="37"/>
  <c r="H57" i="37"/>
  <c r="L57" i="37"/>
  <c r="R57" i="37"/>
  <c r="J57" i="37"/>
  <c r="N98" i="35"/>
  <c r="O39" i="37"/>
  <c r="P39" i="37"/>
  <c r="L39" i="37"/>
  <c r="Q39" i="37"/>
  <c r="J39" i="37"/>
  <c r="M39" i="37"/>
  <c r="H39" i="37"/>
  <c r="K39" i="37"/>
  <c r="N39" i="37"/>
  <c r="R39" i="37"/>
  <c r="I39" i="37"/>
  <c r="N100" i="35"/>
  <c r="N19" i="35" s="1"/>
  <c r="N99" i="35"/>
  <c r="N18" i="35" s="1"/>
  <c r="I52" i="36"/>
  <c r="H52" i="36"/>
  <c r="J52" i="36"/>
  <c r="Q52" i="36"/>
  <c r="O52" i="36"/>
  <c r="R52" i="36"/>
  <c r="P52" i="36"/>
  <c r="L52" i="36"/>
  <c r="K52" i="36"/>
  <c r="M52" i="36"/>
  <c r="N52" i="36"/>
  <c r="F95" i="35"/>
  <c r="F14" i="35" s="1"/>
  <c r="F96" i="35"/>
  <c r="F15" i="35" s="1"/>
  <c r="F94" i="35"/>
  <c r="F13" i="35" s="1"/>
  <c r="F92" i="35"/>
  <c r="F93" i="35"/>
  <c r="F12" i="35" s="1"/>
  <c r="Q14" i="18" l="1"/>
  <c r="R14" i="18" s="1"/>
  <c r="N118" i="35"/>
  <c r="N117" i="35"/>
  <c r="N116" i="35"/>
  <c r="N114" i="35"/>
  <c r="N113" i="35"/>
  <c r="N115" i="35"/>
  <c r="P52" i="50"/>
  <c r="J54" i="50"/>
  <c r="R52" i="50"/>
  <c r="H54" i="50"/>
  <c r="P54" i="50"/>
  <c r="P61" i="50" s="1"/>
  <c r="H52" i="50"/>
  <c r="J52" i="50"/>
  <c r="J61" i="50" s="1"/>
  <c r="I26" i="53" s="1"/>
  <c r="I41" i="53" s="1"/>
  <c r="I56" i="53" s="1"/>
  <c r="I52" i="50"/>
  <c r="I61" i="50" s="1"/>
  <c r="O52" i="50"/>
  <c r="R54" i="50"/>
  <c r="K54" i="50"/>
  <c r="M52" i="50"/>
  <c r="L54" i="50"/>
  <c r="G61" i="50"/>
  <c r="G62" i="50" s="1"/>
  <c r="M14" i="18"/>
  <c r="L14" i="18"/>
  <c r="P14" i="18"/>
  <c r="O14" i="18"/>
  <c r="N14" i="18"/>
  <c r="O54" i="50"/>
  <c r="N52" i="50"/>
  <c r="I54" i="50"/>
  <c r="M54" i="50"/>
  <c r="K52" i="50"/>
  <c r="L52" i="50"/>
  <c r="N54" i="50"/>
  <c r="Q52" i="50"/>
  <c r="Q54" i="50"/>
  <c r="P24" i="39"/>
  <c r="K24" i="39"/>
  <c r="J49" i="42"/>
  <c r="L49" i="42"/>
  <c r="M24" i="39"/>
  <c r="K49" i="42"/>
  <c r="I24" i="39"/>
  <c r="L24" i="39"/>
  <c r="I49" i="42"/>
  <c r="N24" i="39"/>
  <c r="O24" i="39"/>
  <c r="R24" i="39"/>
  <c r="J24" i="39"/>
  <c r="L48" i="42"/>
  <c r="M11" i="35"/>
  <c r="M39" i="35"/>
  <c r="F11" i="35"/>
  <c r="F39" i="35"/>
  <c r="N11" i="35"/>
  <c r="N39" i="35"/>
  <c r="N17" i="35"/>
  <c r="M17" i="35"/>
  <c r="N25" i="39"/>
  <c r="K25" i="39"/>
  <c r="L25" i="39"/>
  <c r="M25" i="39"/>
  <c r="O25" i="39"/>
  <c r="J25" i="39"/>
  <c r="R25" i="39"/>
  <c r="P25" i="39"/>
  <c r="Q25" i="39"/>
  <c r="M18" i="42"/>
  <c r="O18" i="42" s="1"/>
  <c r="N26" i="39"/>
  <c r="Q26" i="39"/>
  <c r="M26" i="39"/>
  <c r="I26" i="39"/>
  <c r="P26" i="39"/>
  <c r="R26" i="39"/>
  <c r="J26" i="39"/>
  <c r="L26" i="39"/>
  <c r="K26" i="39"/>
  <c r="M36" i="35"/>
  <c r="M37" i="35" s="1"/>
  <c r="K53" i="39"/>
  <c r="I53" i="39"/>
  <c r="K52" i="39"/>
  <c r="I52" i="39"/>
  <c r="L52" i="39"/>
  <c r="J53" i="39"/>
  <c r="I54" i="39"/>
  <c r="J54" i="39"/>
  <c r="L54" i="39"/>
  <c r="K54" i="39"/>
  <c r="J52" i="39"/>
  <c r="N36" i="35"/>
  <c r="N37" i="35" s="1"/>
  <c r="L53" i="39"/>
  <c r="H56" i="42"/>
  <c r="F57" i="37"/>
  <c r="I23" i="39"/>
  <c r="J23" i="39"/>
  <c r="L23" i="39"/>
  <c r="M23" i="39"/>
  <c r="H50" i="39"/>
  <c r="H61" i="39" s="1"/>
  <c r="K23" i="39"/>
  <c r="N23" i="39"/>
  <c r="O23" i="39"/>
  <c r="R23" i="39"/>
  <c r="P23" i="39"/>
  <c r="Q23" i="39"/>
  <c r="O100" i="35"/>
  <c r="O19" i="35" s="1"/>
  <c r="O101" i="35"/>
  <c r="O20" i="35" s="1"/>
  <c r="O93" i="35"/>
  <c r="O12" i="35" s="1"/>
  <c r="O96" i="35"/>
  <c r="O15" i="35" s="1"/>
  <c r="O95" i="35"/>
  <c r="O14" i="35" s="1"/>
  <c r="O102" i="35"/>
  <c r="O21" i="35" s="1"/>
  <c r="O98" i="35"/>
  <c r="O94" i="35"/>
  <c r="O13" i="35" s="1"/>
  <c r="O99" i="35"/>
  <c r="O18" i="35" s="1"/>
  <c r="O92" i="35"/>
  <c r="F52" i="36"/>
  <c r="F44" i="32"/>
  <c r="F42" i="32"/>
  <c r="F41" i="32"/>
  <c r="F40" i="32"/>
  <c r="F43" i="32" s="1"/>
  <c r="F32" i="32"/>
  <c r="F36" i="32"/>
  <c r="F33" i="32" s="1"/>
  <c r="J62" i="50" l="1"/>
  <c r="O118" i="35"/>
  <c r="O114" i="35"/>
  <c r="O115" i="35"/>
  <c r="O116" i="35"/>
  <c r="O113" i="35"/>
  <c r="O117" i="35"/>
  <c r="R61" i="50"/>
  <c r="Q26" i="53" s="1"/>
  <c r="Q41" i="53" s="1"/>
  <c r="Q56" i="53" s="1"/>
  <c r="H61" i="50"/>
  <c r="F54" i="50"/>
  <c r="O61" i="50"/>
  <c r="O62" i="50" s="1"/>
  <c r="N61" i="50"/>
  <c r="M26" i="53" s="1"/>
  <c r="M41" i="53" s="1"/>
  <c r="M56" i="53" s="1"/>
  <c r="H26" i="53"/>
  <c r="H41" i="53" s="1"/>
  <c r="H56" i="53" s="1"/>
  <c r="I62" i="50"/>
  <c r="N62" i="50"/>
  <c r="Q61" i="50"/>
  <c r="L61" i="50"/>
  <c r="O26" i="53"/>
  <c r="O41" i="53" s="1"/>
  <c r="O56" i="53" s="1"/>
  <c r="P62" i="50"/>
  <c r="K61" i="50"/>
  <c r="M61" i="50"/>
  <c r="F52" i="50"/>
  <c r="O11" i="35"/>
  <c r="O39" i="35"/>
  <c r="O17" i="35"/>
  <c r="P18" i="42"/>
  <c r="P49" i="42" s="1"/>
  <c r="Q18" i="42"/>
  <c r="Q50" i="42" s="1"/>
  <c r="J50" i="39"/>
  <c r="J61" i="39" s="1"/>
  <c r="I36" i="53" s="1"/>
  <c r="R18" i="42"/>
  <c r="R50" i="42" s="1"/>
  <c r="N18" i="42"/>
  <c r="N43" i="42" s="1"/>
  <c r="M17" i="42"/>
  <c r="M48" i="42" s="1"/>
  <c r="I50" i="39"/>
  <c r="Q37" i="35"/>
  <c r="L50" i="39"/>
  <c r="L61" i="39" s="1"/>
  <c r="K36" i="53" s="1"/>
  <c r="K50" i="39"/>
  <c r="K61" i="39" s="1"/>
  <c r="J36" i="53" s="1"/>
  <c r="M38" i="35"/>
  <c r="N38" i="35"/>
  <c r="J56" i="42"/>
  <c r="J57" i="42" s="1"/>
  <c r="P44" i="42"/>
  <c r="R44" i="42"/>
  <c r="Q44" i="42"/>
  <c r="N44" i="42"/>
  <c r="M44" i="42"/>
  <c r="I56" i="42"/>
  <c r="I57" i="42" s="1"/>
  <c r="K56" i="42"/>
  <c r="K57" i="42" s="1"/>
  <c r="O43" i="42"/>
  <c r="M43" i="42"/>
  <c r="H57" i="42"/>
  <c r="L56" i="42"/>
  <c r="L57" i="42" s="1"/>
  <c r="O17" i="39"/>
  <c r="P17" i="39"/>
  <c r="Q17" i="39"/>
  <c r="R17" i="39"/>
  <c r="M19" i="39"/>
  <c r="O36" i="35"/>
  <c r="O37" i="35" s="1"/>
  <c r="M20" i="39"/>
  <c r="M18" i="39"/>
  <c r="Q57" i="33"/>
  <c r="P57" i="33"/>
  <c r="R56" i="33"/>
  <c r="S45" i="33"/>
  <c r="R33" i="33"/>
  <c r="Q33" i="33"/>
  <c r="P33" i="33"/>
  <c r="O33" i="33"/>
  <c r="M33" i="33"/>
  <c r="L33" i="33"/>
  <c r="K33" i="33"/>
  <c r="J33" i="33"/>
  <c r="I33" i="33"/>
  <c r="H33" i="33"/>
  <c r="G33" i="33"/>
  <c r="F33" i="33"/>
  <c r="S32" i="33"/>
  <c r="S31" i="33"/>
  <c r="S30" i="33"/>
  <c r="S29" i="33"/>
  <c r="N28" i="33"/>
  <c r="S28" i="33" s="1"/>
  <c r="S27" i="33"/>
  <c r="S26" i="33"/>
  <c r="R21" i="33"/>
  <c r="Q17" i="33"/>
  <c r="Q23" i="33" s="1"/>
  <c r="P17" i="33"/>
  <c r="Q12" i="33"/>
  <c r="P12" i="33"/>
  <c r="I38" i="18"/>
  <c r="J38" i="18"/>
  <c r="K38" i="18"/>
  <c r="L38" i="18"/>
  <c r="M38" i="18"/>
  <c r="N38" i="18"/>
  <c r="O38" i="18"/>
  <c r="P38" i="18"/>
  <c r="Q38" i="18"/>
  <c r="R38" i="18"/>
  <c r="H38" i="18"/>
  <c r="R62" i="50" l="1"/>
  <c r="F61" i="50"/>
  <c r="F62" i="50" s="1"/>
  <c r="N26" i="53"/>
  <c r="N41" i="53" s="1"/>
  <c r="N56" i="53" s="1"/>
  <c r="G26" i="53"/>
  <c r="G41" i="53" s="1"/>
  <c r="H62" i="50"/>
  <c r="P48" i="42"/>
  <c r="P47" i="42"/>
  <c r="I61" i="39"/>
  <c r="H36" i="53" s="1"/>
  <c r="H51" i="53" s="1"/>
  <c r="H60" i="53" s="1"/>
  <c r="J26" i="53"/>
  <c r="J41" i="53" s="1"/>
  <c r="J56" i="53" s="1"/>
  <c r="K62" i="50"/>
  <c r="P26" i="53"/>
  <c r="P41" i="53" s="1"/>
  <c r="P56" i="53" s="1"/>
  <c r="Q62" i="50"/>
  <c r="L26" i="53"/>
  <c r="L41" i="53" s="1"/>
  <c r="L56" i="53" s="1"/>
  <c r="M62" i="50"/>
  <c r="K26" i="53"/>
  <c r="K41" i="53" s="1"/>
  <c r="K56" i="53" s="1"/>
  <c r="L62" i="50"/>
  <c r="P50" i="42"/>
  <c r="K62" i="39"/>
  <c r="J51" i="53"/>
  <c r="J60" i="53" s="1"/>
  <c r="L62" i="39"/>
  <c r="K51" i="53"/>
  <c r="K60" i="53" s="1"/>
  <c r="J62" i="39"/>
  <c r="I51" i="53"/>
  <c r="I60" i="53" s="1"/>
  <c r="Q47" i="42"/>
  <c r="Q49" i="42"/>
  <c r="Q43" i="42"/>
  <c r="Q48" i="42"/>
  <c r="R49" i="42"/>
  <c r="R47" i="42"/>
  <c r="M47" i="42"/>
  <c r="O17" i="42"/>
  <c r="O50" i="42" s="1"/>
  <c r="R48" i="42"/>
  <c r="M50" i="42"/>
  <c r="N17" i="42"/>
  <c r="N48" i="42" s="1"/>
  <c r="M49" i="42"/>
  <c r="P43" i="42"/>
  <c r="M42" i="42"/>
  <c r="P42" i="42"/>
  <c r="Q42" i="42"/>
  <c r="R42" i="42"/>
  <c r="O44" i="42"/>
  <c r="F44" i="42" s="1"/>
  <c r="R43" i="42"/>
  <c r="H62" i="39"/>
  <c r="M50" i="39"/>
  <c r="M51" i="39"/>
  <c r="M44" i="39"/>
  <c r="M54" i="39"/>
  <c r="M53" i="39"/>
  <c r="M52" i="39"/>
  <c r="Q51" i="39"/>
  <c r="Q44" i="39"/>
  <c r="R19" i="39"/>
  <c r="R46" i="39" s="1"/>
  <c r="Q19" i="39"/>
  <c r="Q46" i="39" s="1"/>
  <c r="P19" i="39"/>
  <c r="P46" i="39" s="1"/>
  <c r="O19" i="39"/>
  <c r="O46" i="39" s="1"/>
  <c r="N19" i="39"/>
  <c r="N46" i="39" s="1"/>
  <c r="M46" i="39"/>
  <c r="R51" i="39"/>
  <c r="R44" i="39"/>
  <c r="F38" i="18"/>
  <c r="N20" i="29" s="1"/>
  <c r="P51" i="39"/>
  <c r="P44" i="39"/>
  <c r="O20" i="39"/>
  <c r="O47" i="39" s="1"/>
  <c r="R20" i="39"/>
  <c r="R47" i="39" s="1"/>
  <c r="N20" i="39"/>
  <c r="N47" i="39" s="1"/>
  <c r="Q20" i="39"/>
  <c r="Q47" i="39" s="1"/>
  <c r="P20" i="39"/>
  <c r="P47" i="39" s="1"/>
  <c r="M47" i="39"/>
  <c r="O38" i="35"/>
  <c r="P18" i="39"/>
  <c r="P45" i="39" s="1"/>
  <c r="O18" i="39"/>
  <c r="O45" i="39" s="1"/>
  <c r="N18" i="39"/>
  <c r="N45" i="39" s="1"/>
  <c r="Q18" i="39"/>
  <c r="Q45" i="39" s="1"/>
  <c r="R18" i="39"/>
  <c r="R45" i="39" s="1"/>
  <c r="M45" i="39"/>
  <c r="N51" i="39"/>
  <c r="N44" i="39"/>
  <c r="O51" i="39"/>
  <c r="O44" i="39"/>
  <c r="N33" i="33"/>
  <c r="P23" i="33"/>
  <c r="P19" i="33"/>
  <c r="S33" i="33"/>
  <c r="N57" i="33"/>
  <c r="I62" i="39" l="1"/>
  <c r="R56" i="53"/>
  <c r="O48" i="42"/>
  <c r="F48" i="42" s="1"/>
  <c r="R48" i="39"/>
  <c r="O49" i="42"/>
  <c r="N48" i="39"/>
  <c r="O47" i="42"/>
  <c r="N18" i="33"/>
  <c r="Q48" i="39"/>
  <c r="O48" i="39"/>
  <c r="P48" i="39"/>
  <c r="M48" i="39"/>
  <c r="O42" i="42"/>
  <c r="N42" i="42"/>
  <c r="N47" i="42"/>
  <c r="N50" i="42"/>
  <c r="F50" i="42" s="1"/>
  <c r="N49" i="42"/>
  <c r="F43" i="42"/>
  <c r="Q56" i="42"/>
  <c r="Q57" i="42" s="1"/>
  <c r="M56" i="42"/>
  <c r="F47" i="39"/>
  <c r="R56" i="42"/>
  <c r="R57" i="42" s="1"/>
  <c r="P56" i="42"/>
  <c r="P57" i="42" s="1"/>
  <c r="O54" i="39"/>
  <c r="P54" i="39"/>
  <c r="P52" i="39"/>
  <c r="N50" i="39"/>
  <c r="F45" i="39"/>
  <c r="P50" i="39"/>
  <c r="O52" i="39"/>
  <c r="R54" i="39"/>
  <c r="O50" i="39"/>
  <c r="R50" i="39"/>
  <c r="F44" i="39"/>
  <c r="Q50" i="39"/>
  <c r="N54" i="39"/>
  <c r="F46" i="39"/>
  <c r="F51" i="39"/>
  <c r="Q52" i="39"/>
  <c r="Q53" i="39"/>
  <c r="R52" i="39"/>
  <c r="Q54" i="39"/>
  <c r="R53" i="39"/>
  <c r="O53" i="39"/>
  <c r="N52" i="39"/>
  <c r="N53" i="39"/>
  <c r="P53" i="39"/>
  <c r="O56" i="42" l="1"/>
  <c r="O57" i="42" s="1"/>
  <c r="F49" i="42"/>
  <c r="F42" i="42"/>
  <c r="M21" i="53"/>
  <c r="M130" i="53" s="1"/>
  <c r="N60" i="39"/>
  <c r="N59" i="39"/>
  <c r="L21" i="53"/>
  <c r="L130" i="53" s="1"/>
  <c r="M60" i="39"/>
  <c r="M59" i="39"/>
  <c r="O21" i="53"/>
  <c r="O130" i="53" s="1"/>
  <c r="P59" i="39"/>
  <c r="P60" i="39"/>
  <c r="N21" i="53"/>
  <c r="N130" i="53" s="1"/>
  <c r="O59" i="39"/>
  <c r="O60" i="39"/>
  <c r="P21" i="53"/>
  <c r="P130" i="53" s="1"/>
  <c r="Q59" i="39"/>
  <c r="Q60" i="39"/>
  <c r="Q21" i="53"/>
  <c r="Q130" i="53" s="1"/>
  <c r="R59" i="39"/>
  <c r="R60" i="39"/>
  <c r="N56" i="42"/>
  <c r="N57" i="42" s="1"/>
  <c r="F47" i="42"/>
  <c r="F53" i="39"/>
  <c r="M57" i="42"/>
  <c r="F52" i="39"/>
  <c r="F54" i="39"/>
  <c r="F50" i="39"/>
  <c r="P10" i="29"/>
  <c r="M47" i="13"/>
  <c r="R47" i="13" s="1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F4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S23" i="29"/>
  <c r="N61" i="39" l="1"/>
  <c r="M36" i="53" s="1"/>
  <c r="M51" i="53" s="1"/>
  <c r="M60" i="53" s="1"/>
  <c r="R61" i="39"/>
  <c r="Q36" i="53" s="1"/>
  <c r="Q51" i="53" s="1"/>
  <c r="Q60" i="53" s="1"/>
  <c r="Q61" i="39"/>
  <c r="P36" i="53" s="1"/>
  <c r="P51" i="53" s="1"/>
  <c r="P60" i="53" s="1"/>
  <c r="O61" i="39"/>
  <c r="N36" i="53" s="1"/>
  <c r="N51" i="53" s="1"/>
  <c r="N60" i="53" s="1"/>
  <c r="P61" i="39"/>
  <c r="O36" i="53" s="1"/>
  <c r="O51" i="53" s="1"/>
  <c r="O60" i="53" s="1"/>
  <c r="R21" i="53"/>
  <c r="R130" i="53" s="1"/>
  <c r="F59" i="39"/>
  <c r="M61" i="39"/>
  <c r="P62" i="39"/>
  <c r="F56" i="42"/>
  <c r="F57" i="42" s="1"/>
  <c r="T47" i="13"/>
  <c r="G29" i="32"/>
  <c r="G28" i="32"/>
  <c r="G27" i="32"/>
  <c r="G32" i="32" s="1"/>
  <c r="N62" i="39" l="1"/>
  <c r="R62" i="39"/>
  <c r="O62" i="39"/>
  <c r="Q62" i="39"/>
  <c r="F61" i="39"/>
  <c r="F62" i="39" s="1"/>
  <c r="L36" i="53"/>
  <c r="L51" i="53" s="1"/>
  <c r="L60" i="53" s="1"/>
  <c r="R60" i="53" s="1"/>
  <c r="M62" i="39"/>
  <c r="P13" i="29"/>
  <c r="P14" i="29" s="1"/>
  <c r="F19" i="32"/>
  <c r="F17" i="32"/>
  <c r="F15" i="32"/>
  <c r="F21" i="32" s="1"/>
  <c r="I4" i="32"/>
  <c r="F12" i="32"/>
  <c r="F22" i="32" l="1"/>
  <c r="F45" i="32" s="1"/>
  <c r="G13" i="7"/>
  <c r="H13" i="7"/>
  <c r="I13" i="7"/>
  <c r="J13" i="7"/>
  <c r="K13" i="7"/>
  <c r="L13" i="7"/>
  <c r="M13" i="7"/>
  <c r="N13" i="7"/>
  <c r="O13" i="7"/>
  <c r="P13" i="7"/>
  <c r="F13" i="7"/>
  <c r="S64" i="29" l="1"/>
  <c r="Q19" i="29"/>
  <c r="P19" i="29"/>
  <c r="Q25" i="29" l="1"/>
  <c r="Q21" i="29"/>
  <c r="P25" i="29"/>
  <c r="P21" i="29"/>
  <c r="N65" i="29"/>
  <c r="P65" i="29" l="1"/>
  <c r="Q65" i="29"/>
  <c r="F47" i="30"/>
  <c r="J24" i="29" l="1"/>
  <c r="J22" i="33"/>
  <c r="C29" i="20"/>
  <c r="F55" i="36" s="1"/>
  <c r="R36" i="30"/>
  <c r="T53" i="29"/>
  <c r="T48" i="29"/>
  <c r="G36" i="29"/>
  <c r="H36" i="29"/>
  <c r="I36" i="29"/>
  <c r="J36" i="29"/>
  <c r="K36" i="29"/>
  <c r="L36" i="29"/>
  <c r="M36" i="29"/>
  <c r="O36" i="29"/>
  <c r="P36" i="29"/>
  <c r="Q36" i="29"/>
  <c r="S36" i="29"/>
  <c r="F36" i="29"/>
  <c r="T29" i="29"/>
  <c r="T31" i="29"/>
  <c r="T32" i="29"/>
  <c r="T33" i="29"/>
  <c r="T34" i="29"/>
  <c r="T35" i="29"/>
  <c r="T28" i="29"/>
  <c r="N30" i="29"/>
  <c r="N36" i="29" s="1"/>
  <c r="H18" i="31"/>
  <c r="I18" i="31"/>
  <c r="J18" i="31"/>
  <c r="K18" i="31"/>
  <c r="L18" i="31"/>
  <c r="M18" i="31"/>
  <c r="N18" i="31"/>
  <c r="O18" i="31"/>
  <c r="P18" i="31"/>
  <c r="Q18" i="31"/>
  <c r="R18" i="31"/>
  <c r="F46" i="30" l="1"/>
  <c r="J21" i="33" s="1"/>
  <c r="J23" i="29"/>
  <c r="T30" i="29"/>
  <c r="T36" i="29" s="1"/>
  <c r="I36" i="30"/>
  <c r="J36" i="30"/>
  <c r="K36" i="30"/>
  <c r="L36" i="30"/>
  <c r="M36" i="30"/>
  <c r="N36" i="30"/>
  <c r="O36" i="30"/>
  <c r="P36" i="30"/>
  <c r="Q36" i="30"/>
  <c r="T36" i="30" l="1"/>
  <c r="F37" i="30"/>
  <c r="R22" i="30"/>
  <c r="Q22" i="30"/>
  <c r="P22" i="30"/>
  <c r="O22" i="30"/>
  <c r="N22" i="30"/>
  <c r="M22" i="30"/>
  <c r="L22" i="30"/>
  <c r="K22" i="30"/>
  <c r="J22" i="30"/>
  <c r="I22" i="30"/>
  <c r="H22" i="30"/>
  <c r="R21" i="30"/>
  <c r="Q21" i="30"/>
  <c r="P21" i="30"/>
  <c r="O21" i="30"/>
  <c r="N21" i="30"/>
  <c r="M21" i="30"/>
  <c r="L21" i="30"/>
  <c r="K21" i="30"/>
  <c r="J21" i="30"/>
  <c r="I21" i="30"/>
  <c r="H21" i="30"/>
  <c r="R20" i="30"/>
  <c r="Q20" i="30"/>
  <c r="P20" i="30"/>
  <c r="O20" i="30"/>
  <c r="N20" i="30"/>
  <c r="M20" i="30"/>
  <c r="L20" i="30"/>
  <c r="K20" i="30"/>
  <c r="J20" i="30"/>
  <c r="I20" i="30"/>
  <c r="H20" i="30"/>
  <c r="R19" i="30"/>
  <c r="Q19" i="30"/>
  <c r="P19" i="30"/>
  <c r="O19" i="30"/>
  <c r="N19" i="30"/>
  <c r="M19" i="30"/>
  <c r="L19" i="30"/>
  <c r="K19" i="30"/>
  <c r="J19" i="30"/>
  <c r="I19" i="30"/>
  <c r="H19" i="30"/>
  <c r="R12" i="30"/>
  <c r="Q12" i="30"/>
  <c r="P12" i="30"/>
  <c r="O12" i="30"/>
  <c r="I12" i="30"/>
  <c r="H12" i="30"/>
  <c r="N12" i="30"/>
  <c r="C28" i="21"/>
  <c r="I21" i="33" s="1"/>
  <c r="I23" i="29" l="1"/>
  <c r="F36" i="30"/>
  <c r="J12" i="30"/>
  <c r="K12" i="30"/>
  <c r="L12" i="30"/>
  <c r="M12" i="30"/>
  <c r="F26" i="30" l="1"/>
  <c r="F35" i="30"/>
  <c r="C24" i="19" l="1"/>
  <c r="H21" i="33" s="1"/>
  <c r="H23" i="29" l="1"/>
  <c r="F85" i="14"/>
  <c r="F80" i="14"/>
  <c r="I16" i="18" l="1"/>
  <c r="J16" i="18"/>
  <c r="K16" i="18"/>
  <c r="K24" i="18" s="1"/>
  <c r="L16" i="18"/>
  <c r="M16" i="18"/>
  <c r="N16" i="18"/>
  <c r="O16" i="18"/>
  <c r="P16" i="18"/>
  <c r="Q16" i="18"/>
  <c r="Q24" i="18" s="1"/>
  <c r="R16" i="18"/>
  <c r="R24" i="18" s="1"/>
  <c r="I17" i="18"/>
  <c r="J17" i="18"/>
  <c r="K17" i="18"/>
  <c r="K25" i="18" s="1"/>
  <c r="L17" i="18"/>
  <c r="M17" i="18"/>
  <c r="N17" i="18"/>
  <c r="O17" i="18"/>
  <c r="P17" i="18"/>
  <c r="Q17" i="18"/>
  <c r="Q25" i="18" s="1"/>
  <c r="R17" i="18"/>
  <c r="R25" i="18" s="1"/>
  <c r="I18" i="18"/>
  <c r="J18" i="18"/>
  <c r="K18" i="18"/>
  <c r="K26" i="18" s="1"/>
  <c r="L18" i="18"/>
  <c r="M18" i="18"/>
  <c r="N18" i="18"/>
  <c r="O18" i="18"/>
  <c r="P18" i="18"/>
  <c r="Q18" i="18"/>
  <c r="Q26" i="18" s="1"/>
  <c r="R18" i="18"/>
  <c r="R26" i="18" s="1"/>
  <c r="I19" i="18"/>
  <c r="I27" i="18" s="1"/>
  <c r="J19" i="18"/>
  <c r="J27" i="18" s="1"/>
  <c r="K19" i="18"/>
  <c r="K27" i="18" s="1"/>
  <c r="L19" i="18"/>
  <c r="M19" i="18"/>
  <c r="N19" i="18"/>
  <c r="O19" i="18"/>
  <c r="P19" i="18"/>
  <c r="Q19" i="18"/>
  <c r="Q27" i="18" s="1"/>
  <c r="R19" i="18"/>
  <c r="R27" i="18" s="1"/>
  <c r="I20" i="18"/>
  <c r="J20" i="18"/>
  <c r="K20" i="18"/>
  <c r="K28" i="18" s="1"/>
  <c r="L20" i="18"/>
  <c r="M20" i="18"/>
  <c r="N20" i="18"/>
  <c r="O20" i="18"/>
  <c r="P20" i="18"/>
  <c r="Q20" i="18"/>
  <c r="Q28" i="18" s="1"/>
  <c r="R20" i="18"/>
  <c r="R28" i="18" s="1"/>
  <c r="H17" i="18"/>
  <c r="H18" i="18"/>
  <c r="H19" i="18"/>
  <c r="H20" i="18"/>
  <c r="H16" i="18"/>
  <c r="G28" i="18"/>
  <c r="I12" i="18"/>
  <c r="L12" i="18"/>
  <c r="M12" i="18"/>
  <c r="N12" i="18"/>
  <c r="H12" i="18"/>
  <c r="J12" i="18"/>
  <c r="J26" i="18" l="1"/>
  <c r="M24" i="18"/>
  <c r="N25" i="18"/>
  <c r="M25" i="18"/>
  <c r="N28" i="18"/>
  <c r="L25" i="18"/>
  <c r="M28" i="18"/>
  <c r="L28" i="18"/>
  <c r="N24" i="18"/>
  <c r="L26" i="18"/>
  <c r="I28" i="18"/>
  <c r="M26" i="18"/>
  <c r="P24" i="18"/>
  <c r="H28" i="18"/>
  <c r="H27" i="18"/>
  <c r="H26" i="18"/>
  <c r="L22" i="18"/>
  <c r="L27" i="18"/>
  <c r="J24" i="18"/>
  <c r="H24" i="18"/>
  <c r="J22" i="18"/>
  <c r="P27" i="18"/>
  <c r="H22" i="18"/>
  <c r="N22" i="18"/>
  <c r="N27" i="18"/>
  <c r="L24" i="18"/>
  <c r="M22" i="18"/>
  <c r="M27" i="18"/>
  <c r="I22" i="18"/>
  <c r="I24" i="18"/>
  <c r="O27" i="18"/>
  <c r="O24" i="18"/>
  <c r="O25" i="18"/>
  <c r="P25" i="18"/>
  <c r="P28" i="18"/>
  <c r="O28" i="18"/>
  <c r="P26" i="18"/>
  <c r="G22" i="18"/>
  <c r="J25" i="18"/>
  <c r="O26" i="18"/>
  <c r="I25" i="18"/>
  <c r="G24" i="18"/>
  <c r="I26" i="18"/>
  <c r="G27" i="18"/>
  <c r="G26" i="18"/>
  <c r="G25" i="18"/>
  <c r="J28" i="18"/>
  <c r="N26" i="18"/>
  <c r="H25" i="18"/>
  <c r="R12" i="18"/>
  <c r="R22" i="18" s="1"/>
  <c r="Q12" i="18"/>
  <c r="Q22" i="18" s="1"/>
  <c r="P12" i="18"/>
  <c r="P22" i="18" s="1"/>
  <c r="O12" i="18"/>
  <c r="O22" i="18" s="1"/>
  <c r="K12" i="18"/>
  <c r="K22" i="18" s="1"/>
  <c r="N18" i="27"/>
  <c r="M18" i="27"/>
  <c r="L18" i="27"/>
  <c r="K18" i="27"/>
  <c r="J18" i="27"/>
  <c r="I18" i="27"/>
  <c r="H18" i="27"/>
  <c r="G18" i="27"/>
  <c r="F18" i="27"/>
  <c r="N17" i="27"/>
  <c r="M17" i="27"/>
  <c r="L17" i="27"/>
  <c r="K17" i="27"/>
  <c r="J17" i="27"/>
  <c r="I17" i="27"/>
  <c r="H17" i="27"/>
  <c r="G17" i="27"/>
  <c r="F17" i="27"/>
  <c r="N16" i="27"/>
  <c r="M16" i="27"/>
  <c r="L16" i="27"/>
  <c r="K16" i="27"/>
  <c r="J16" i="27"/>
  <c r="I16" i="27"/>
  <c r="H16" i="27"/>
  <c r="G16" i="27"/>
  <c r="F16" i="27"/>
  <c r="N15" i="27"/>
  <c r="M15" i="27"/>
  <c r="L15" i="27"/>
  <c r="K15" i="27"/>
  <c r="J15" i="27"/>
  <c r="I15" i="27"/>
  <c r="H15" i="27"/>
  <c r="G15" i="27"/>
  <c r="F15" i="27"/>
  <c r="R15" i="27" s="1"/>
  <c r="S15" i="27" s="1"/>
  <c r="F27" i="14" s="1"/>
  <c r="I27" i="14" s="1"/>
  <c r="N14" i="27"/>
  <c r="M14" i="27"/>
  <c r="L14" i="27"/>
  <c r="K14" i="27"/>
  <c r="J14" i="27"/>
  <c r="I14" i="27"/>
  <c r="H14" i="27"/>
  <c r="G14" i="27"/>
  <c r="F14" i="27"/>
  <c r="N13" i="27"/>
  <c r="M13" i="27"/>
  <c r="L13" i="27"/>
  <c r="K13" i="27"/>
  <c r="J13" i="27"/>
  <c r="I13" i="27"/>
  <c r="H13" i="27"/>
  <c r="G13" i="27"/>
  <c r="F13" i="27"/>
  <c r="P20" i="27"/>
  <c r="P153" i="43" s="1"/>
  <c r="N12" i="27"/>
  <c r="M12" i="27"/>
  <c r="L12" i="27"/>
  <c r="K12" i="27"/>
  <c r="J12" i="27"/>
  <c r="I12" i="27"/>
  <c r="H12" i="27"/>
  <c r="G12" i="27"/>
  <c r="F12" i="27"/>
  <c r="H19" i="53" l="1"/>
  <c r="H128" i="53" s="1"/>
  <c r="I34" i="18"/>
  <c r="J19" i="53"/>
  <c r="K34" i="18"/>
  <c r="G33" i="18"/>
  <c r="G34" i="18"/>
  <c r="I19" i="53"/>
  <c r="I128" i="53" s="1"/>
  <c r="J34" i="18"/>
  <c r="M19" i="53"/>
  <c r="M128" i="53" s="1"/>
  <c r="N34" i="18"/>
  <c r="N19" i="53"/>
  <c r="N128" i="53" s="1"/>
  <c r="O34" i="18"/>
  <c r="O19" i="53"/>
  <c r="O128" i="53" s="1"/>
  <c r="P34" i="18"/>
  <c r="K19" i="53"/>
  <c r="K128" i="53" s="1"/>
  <c r="L34" i="18"/>
  <c r="L19" i="53"/>
  <c r="L128" i="53" s="1"/>
  <c r="M34" i="18"/>
  <c r="P19" i="53"/>
  <c r="P128" i="53" s="1"/>
  <c r="Q34" i="18"/>
  <c r="Q19" i="53"/>
  <c r="R34" i="18"/>
  <c r="H34" i="18"/>
  <c r="T28" i="18"/>
  <c r="J20" i="27"/>
  <c r="J153" i="43" s="1"/>
  <c r="F27" i="18"/>
  <c r="T27" i="18"/>
  <c r="T24" i="18"/>
  <c r="F24" i="18"/>
  <c r="R18" i="27"/>
  <c r="S18" i="27" s="1"/>
  <c r="F30" i="14" s="1"/>
  <c r="G30" i="14" s="1"/>
  <c r="R13" i="27"/>
  <c r="S13" i="27" s="1"/>
  <c r="F25" i="14" s="1"/>
  <c r="O25" i="14" s="1"/>
  <c r="R17" i="27"/>
  <c r="S17" i="27" s="1"/>
  <c r="F29" i="14" s="1"/>
  <c r="H29" i="14" s="1"/>
  <c r="O20" i="27"/>
  <c r="O153" i="43" s="1"/>
  <c r="K20" i="27"/>
  <c r="K153" i="43" s="1"/>
  <c r="T25" i="18"/>
  <c r="F25" i="18"/>
  <c r="R14" i="27"/>
  <c r="S14" i="27" s="1"/>
  <c r="F26" i="14" s="1"/>
  <c r="L26" i="14" s="1"/>
  <c r="F28" i="18"/>
  <c r="T26" i="18"/>
  <c r="F26" i="18"/>
  <c r="T22" i="18"/>
  <c r="R12" i="27"/>
  <c r="S12" i="27" s="1"/>
  <c r="R16" i="27"/>
  <c r="S16" i="27" s="1"/>
  <c r="F28" i="14" s="1"/>
  <c r="L28" i="14" s="1"/>
  <c r="F22" i="18"/>
  <c r="R27" i="14"/>
  <c r="Q27" i="14"/>
  <c r="P27" i="14"/>
  <c r="G27" i="14"/>
  <c r="O27" i="14"/>
  <c r="N27" i="14"/>
  <c r="M27" i="14"/>
  <c r="H27" i="14"/>
  <c r="K27" i="14"/>
  <c r="L27" i="14"/>
  <c r="J27" i="14"/>
  <c r="M20" i="27"/>
  <c r="M153" i="43" s="1"/>
  <c r="Q20" i="27"/>
  <c r="Q153" i="43" s="1"/>
  <c r="N20" i="27"/>
  <c r="N153" i="43" s="1"/>
  <c r="F20" i="27"/>
  <c r="F153" i="43" s="1"/>
  <c r="G20" i="27"/>
  <c r="G153" i="43" s="1"/>
  <c r="H20" i="27"/>
  <c r="H153" i="43" s="1"/>
  <c r="L20" i="27"/>
  <c r="L153" i="43" s="1"/>
  <c r="I20" i="27"/>
  <c r="I153" i="43" s="1"/>
  <c r="L33" i="18" l="1"/>
  <c r="L35" i="18" s="1"/>
  <c r="K34" i="53" s="1"/>
  <c r="K49" i="53" s="1"/>
  <c r="O33" i="18"/>
  <c r="O35" i="18" s="1"/>
  <c r="N34" i="53" s="1"/>
  <c r="Q33" i="18"/>
  <c r="Q35" i="18" s="1"/>
  <c r="P34" i="53" s="1"/>
  <c r="P49" i="53" s="1"/>
  <c r="I33" i="18"/>
  <c r="I35" i="18" s="1"/>
  <c r="H34" i="53" s="1"/>
  <c r="H49" i="53" s="1"/>
  <c r="J33" i="18"/>
  <c r="J35" i="18" s="1"/>
  <c r="I34" i="53" s="1"/>
  <c r="I49" i="53" s="1"/>
  <c r="P33" i="18"/>
  <c r="P35" i="18" s="1"/>
  <c r="O34" i="53" s="1"/>
  <c r="O49" i="53" s="1"/>
  <c r="M33" i="18"/>
  <c r="M35" i="18" s="1"/>
  <c r="L34" i="53" s="1"/>
  <c r="L49" i="53" s="1"/>
  <c r="R33" i="18"/>
  <c r="R35" i="18" s="1"/>
  <c r="Q34" i="53" s="1"/>
  <c r="Q49" i="53" s="1"/>
  <c r="K33" i="18"/>
  <c r="K35" i="18" s="1"/>
  <c r="J34" i="53" s="1"/>
  <c r="J49" i="53" s="1"/>
  <c r="H33" i="18"/>
  <c r="H35" i="18" s="1"/>
  <c r="G34" i="53" s="1"/>
  <c r="G49" i="53" s="1"/>
  <c r="N33" i="18"/>
  <c r="N35" i="18" s="1"/>
  <c r="M34" i="53" s="1"/>
  <c r="M49" i="53" s="1"/>
  <c r="N49" i="53"/>
  <c r="J128" i="53"/>
  <c r="R19" i="53"/>
  <c r="R128" i="53" s="1"/>
  <c r="G35" i="18"/>
  <c r="Q128" i="53"/>
  <c r="P28" i="14"/>
  <c r="K28" i="14"/>
  <c r="H28" i="14"/>
  <c r="G28" i="14"/>
  <c r="I29" i="14"/>
  <c r="M28" i="14"/>
  <c r="N30" i="14"/>
  <c r="M29" i="14"/>
  <c r="J30" i="14"/>
  <c r="P29" i="14"/>
  <c r="L29" i="14"/>
  <c r="O29" i="14"/>
  <c r="Q29" i="14"/>
  <c r="Q25" i="14"/>
  <c r="R26" i="14"/>
  <c r="I25" i="14"/>
  <c r="M25" i="14"/>
  <c r="K25" i="14"/>
  <c r="G29" i="14"/>
  <c r="L25" i="14"/>
  <c r="N25" i="14"/>
  <c r="R30" i="14"/>
  <c r="J25" i="14"/>
  <c r="P25" i="14"/>
  <c r="M26" i="14"/>
  <c r="O28" i="14"/>
  <c r="I30" i="14"/>
  <c r="R25" i="14"/>
  <c r="K26" i="14"/>
  <c r="N29" i="14"/>
  <c r="O26" i="14"/>
  <c r="R20" i="27"/>
  <c r="P39" i="46" s="1"/>
  <c r="R29" i="14"/>
  <c r="I26" i="14"/>
  <c r="H26" i="14"/>
  <c r="G26" i="14"/>
  <c r="H30" i="14"/>
  <c r="Q30" i="14"/>
  <c r="O30" i="14"/>
  <c r="P30" i="14"/>
  <c r="M30" i="14"/>
  <c r="N26" i="14"/>
  <c r="N28" i="14"/>
  <c r="J28" i="14"/>
  <c r="I28" i="14"/>
  <c r="Q28" i="14"/>
  <c r="H25" i="14"/>
  <c r="J26" i="14"/>
  <c r="F24" i="14"/>
  <c r="S20" i="27"/>
  <c r="U28" i="18"/>
  <c r="V28" i="18" s="1"/>
  <c r="L30" i="14"/>
  <c r="K30" i="14"/>
  <c r="J29" i="14"/>
  <c r="P26" i="14"/>
  <c r="R28" i="14"/>
  <c r="K29" i="14"/>
  <c r="G25" i="14"/>
  <c r="Q26" i="14"/>
  <c r="N10" i="29"/>
  <c r="N10" i="33"/>
  <c r="G2" i="28"/>
  <c r="J1" i="28"/>
  <c r="E5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K10" i="28" s="1"/>
  <c r="L10" i="28" s="1"/>
  <c r="C9" i="28"/>
  <c r="K9" i="28" s="1"/>
  <c r="L9" i="28" s="1"/>
  <c r="C8" i="28"/>
  <c r="K8" i="28" s="1"/>
  <c r="L8" i="28" s="1"/>
  <c r="C7" i="28"/>
  <c r="K7" i="28" s="1"/>
  <c r="L7" i="28" s="1"/>
  <c r="F90" i="11" s="1"/>
  <c r="C6" i="28"/>
  <c r="C5" i="28"/>
  <c r="D5" i="28" s="1"/>
  <c r="E6" i="28" s="1"/>
  <c r="B6" i="28"/>
  <c r="B7" i="28" s="1"/>
  <c r="B8" i="28" s="1"/>
  <c r="B9" i="28" s="1"/>
  <c r="B10" i="28" s="1"/>
  <c r="B11" i="28" s="1"/>
  <c r="B12" i="28" s="1"/>
  <c r="B13" i="28" s="1"/>
  <c r="B14" i="28" s="1"/>
  <c r="B15" i="28" s="1"/>
  <c r="B16" i="28" s="1"/>
  <c r="B17" i="28" s="1"/>
  <c r="B18" i="28" s="1"/>
  <c r="B19" i="28" s="1"/>
  <c r="B20" i="28" s="1"/>
  <c r="B21" i="28" s="1"/>
  <c r="F35" i="18" l="1"/>
  <c r="F36" i="18" s="1"/>
  <c r="T33" i="18"/>
  <c r="F33" i="18"/>
  <c r="I90" i="11"/>
  <c r="L90" i="11"/>
  <c r="O90" i="11"/>
  <c r="Q39" i="46"/>
  <c r="P48" i="46"/>
  <c r="P54" i="46" s="1"/>
  <c r="P56" i="46" s="1"/>
  <c r="P58" i="46" s="1"/>
  <c r="N71" i="29"/>
  <c r="I11" i="28"/>
  <c r="O55" i="33"/>
  <c r="O63" i="29"/>
  <c r="O65" i="29" s="1"/>
  <c r="O10" i="33"/>
  <c r="O12" i="33" s="1"/>
  <c r="O14" i="33" s="1"/>
  <c r="O17" i="33" s="1"/>
  <c r="O10" i="29"/>
  <c r="O14" i="29" s="1"/>
  <c r="J24" i="14"/>
  <c r="J31" i="14" s="1"/>
  <c r="K24" i="14"/>
  <c r="K31" i="14" s="1"/>
  <c r="I24" i="14"/>
  <c r="I31" i="14" s="1"/>
  <c r="M24" i="14"/>
  <c r="M31" i="14" s="1"/>
  <c r="Q24" i="14"/>
  <c r="Q31" i="14" s="1"/>
  <c r="G24" i="14"/>
  <c r="G31" i="14" s="1"/>
  <c r="R24" i="14"/>
  <c r="R31" i="14" s="1"/>
  <c r="F31" i="14"/>
  <c r="O24" i="14"/>
  <c r="O31" i="14" s="1"/>
  <c r="N24" i="14"/>
  <c r="N31" i="14" s="1"/>
  <c r="H24" i="14"/>
  <c r="H31" i="14" s="1"/>
  <c r="L24" i="14"/>
  <c r="L31" i="14" s="1"/>
  <c r="P24" i="14"/>
  <c r="P31" i="14" s="1"/>
  <c r="N63" i="33"/>
  <c r="I12" i="28"/>
  <c r="I13" i="28"/>
  <c r="I14" i="28"/>
  <c r="H2" i="28"/>
  <c r="D6" i="28"/>
  <c r="O12" i="29" l="1"/>
  <c r="T12" i="29" s="1"/>
  <c r="O11" i="29"/>
  <c r="T11" i="29" s="1"/>
  <c r="O71" i="29"/>
  <c r="O19" i="33"/>
  <c r="O23" i="33"/>
  <c r="O63" i="33"/>
  <c r="O57" i="33"/>
  <c r="O65" i="33" s="1"/>
  <c r="I25" i="28"/>
  <c r="G21" i="33" s="1"/>
  <c r="D7" i="28"/>
  <c r="E8" i="28" s="1"/>
  <c r="E7" i="28"/>
  <c r="O16" i="29" l="1"/>
  <c r="O19" i="29" s="1"/>
  <c r="O25" i="29" s="1"/>
  <c r="O73" i="29"/>
  <c r="G23" i="29"/>
  <c r="D8" i="28"/>
  <c r="O21" i="29" l="1"/>
  <c r="D9" i="28"/>
  <c r="E9" i="28"/>
  <c r="E10" i="28" l="1"/>
  <c r="D10" i="28"/>
  <c r="E11" i="28" l="1"/>
  <c r="F11" i="28" s="1"/>
  <c r="K11" i="28" s="1"/>
  <c r="L11" i="28" s="1"/>
  <c r="D11" i="28"/>
  <c r="J11" i="28" l="1"/>
  <c r="G11" i="28"/>
  <c r="G44" i="14" s="1"/>
  <c r="H11" i="28"/>
  <c r="E12" i="28"/>
  <c r="F12" i="28" s="1"/>
  <c r="K12" i="28" s="1"/>
  <c r="L12" i="28" s="1"/>
  <c r="D12" i="28"/>
  <c r="G12" i="28" l="1"/>
  <c r="J44" i="14" s="1"/>
  <c r="J12" i="28"/>
  <c r="H12" i="28"/>
  <c r="E13" i="28"/>
  <c r="F13" i="28" s="1"/>
  <c r="K13" i="28" s="1"/>
  <c r="L13" i="28" s="1"/>
  <c r="D13" i="28"/>
  <c r="G13" i="28" l="1"/>
  <c r="M44" i="14" s="1"/>
  <c r="J13" i="28"/>
  <c r="H13" i="28"/>
  <c r="E14" i="28"/>
  <c r="F14" i="28" s="1"/>
  <c r="K14" i="28" s="1"/>
  <c r="L14" i="28" s="1"/>
  <c r="D14" i="28"/>
  <c r="G14" i="28" l="1"/>
  <c r="P44" i="14" s="1"/>
  <c r="J14" i="28"/>
  <c r="J25" i="28" s="1"/>
  <c r="H14" i="28"/>
  <c r="J26" i="28"/>
  <c r="G46" i="35" s="1"/>
  <c r="E15" i="28"/>
  <c r="F15" i="28" s="1"/>
  <c r="D15" i="28"/>
  <c r="G16" i="33" l="1"/>
  <c r="G18" i="29"/>
  <c r="G88" i="35"/>
  <c r="G89" i="35"/>
  <c r="G15" i="28"/>
  <c r="H15" i="28"/>
  <c r="E16" i="28"/>
  <c r="F16" i="28" s="1"/>
  <c r="D16" i="28"/>
  <c r="G99" i="35" l="1"/>
  <c r="G102" i="35"/>
  <c r="G101" i="35"/>
  <c r="G98" i="35"/>
  <c r="G100" i="35"/>
  <c r="G16" i="28"/>
  <c r="H16" i="28"/>
  <c r="G94" i="35"/>
  <c r="G13" i="35" s="1"/>
  <c r="G95" i="35"/>
  <c r="G14" i="35" s="1"/>
  <c r="G96" i="35"/>
  <c r="G15" i="35" s="1"/>
  <c r="G92" i="35"/>
  <c r="G93" i="35"/>
  <c r="G12" i="35" s="1"/>
  <c r="E17" i="28"/>
  <c r="F17" i="28" s="1"/>
  <c r="D17" i="28"/>
  <c r="G18" i="52" l="1"/>
  <c r="G113" i="35"/>
  <c r="G116" i="35"/>
  <c r="G114" i="35"/>
  <c r="G117" i="35"/>
  <c r="G115" i="35"/>
  <c r="G118" i="35"/>
  <c r="G19" i="35"/>
  <c r="G20" i="52"/>
  <c r="G20" i="35"/>
  <c r="G21" i="52"/>
  <c r="G21" i="35"/>
  <c r="G22" i="52"/>
  <c r="G18" i="35"/>
  <c r="G19" i="52"/>
  <c r="G11" i="35"/>
  <c r="G39" i="35"/>
  <c r="G17" i="35"/>
  <c r="G36" i="35"/>
  <c r="G37" i="35" s="1"/>
  <c r="G17" i="28"/>
  <c r="H17" i="28"/>
  <c r="E18" i="28"/>
  <c r="F18" i="28" s="1"/>
  <c r="D18" i="28"/>
  <c r="G38" i="35" l="1"/>
  <c r="G18" i="28"/>
  <c r="H18" i="28"/>
  <c r="E19" i="28"/>
  <c r="F19" i="28" s="1"/>
  <c r="D19" i="28"/>
  <c r="F52" i="14"/>
  <c r="AA56" i="12"/>
  <c r="Z87" i="7"/>
  <c r="Z91" i="7" s="1"/>
  <c r="AA89" i="12"/>
  <c r="Z91" i="11"/>
  <c r="Z90" i="11"/>
  <c r="Z90" i="7"/>
  <c r="AB91" i="11" l="1"/>
  <c r="G19" i="28"/>
  <c r="H19" i="28"/>
  <c r="J18" i="33"/>
  <c r="J20" i="29"/>
  <c r="AA90" i="12"/>
  <c r="AC90" i="12" s="1"/>
  <c r="F50" i="14" s="1"/>
  <c r="H22" i="33" s="1"/>
  <c r="AB91" i="7"/>
  <c r="I22" i="33"/>
  <c r="E20" i="28"/>
  <c r="F20" i="28" s="1"/>
  <c r="D20" i="28"/>
  <c r="P52" i="14"/>
  <c r="O52" i="14"/>
  <c r="N52" i="14"/>
  <c r="M52" i="14"/>
  <c r="L52" i="14"/>
  <c r="K52" i="14"/>
  <c r="J52" i="14"/>
  <c r="I52" i="14"/>
  <c r="H52" i="14"/>
  <c r="R52" i="14"/>
  <c r="Q52" i="14"/>
  <c r="G52" i="14"/>
  <c r="G20" i="28" l="1"/>
  <c r="H20" i="28"/>
  <c r="F24" i="29"/>
  <c r="F22" i="33"/>
  <c r="S22" i="33" s="1"/>
  <c r="H24" i="29"/>
  <c r="P50" i="14"/>
  <c r="O50" i="14"/>
  <c r="N50" i="14"/>
  <c r="K50" i="14"/>
  <c r="J50" i="14"/>
  <c r="I50" i="14"/>
  <c r="G50" i="14"/>
  <c r="M50" i="14"/>
  <c r="L50" i="14"/>
  <c r="H50" i="14"/>
  <c r="R50" i="14"/>
  <c r="Q50" i="14"/>
  <c r="F51" i="14"/>
  <c r="I24" i="29"/>
  <c r="F48" i="14"/>
  <c r="I48" i="14" s="1"/>
  <c r="E21" i="28"/>
  <c r="F21" i="28" s="1"/>
  <c r="D21" i="28"/>
  <c r="G21" i="28" l="1"/>
  <c r="H21" i="28"/>
  <c r="T24" i="29"/>
  <c r="O51" i="14"/>
  <c r="J51" i="14"/>
  <c r="R51" i="14"/>
  <c r="G51" i="14"/>
  <c r="I51" i="14"/>
  <c r="I59" i="14" s="1"/>
  <c r="Q51" i="14"/>
  <c r="P51" i="14"/>
  <c r="H51" i="14"/>
  <c r="N51" i="14"/>
  <c r="M51" i="14"/>
  <c r="K51" i="14"/>
  <c r="L51" i="14"/>
  <c r="L48" i="14"/>
  <c r="K48" i="14"/>
  <c r="Q48" i="14"/>
  <c r="N48" i="14"/>
  <c r="G48" i="14"/>
  <c r="O48" i="14"/>
  <c r="P48" i="14"/>
  <c r="M48" i="14"/>
  <c r="J48" i="14"/>
  <c r="H48" i="14"/>
  <c r="R48" i="14"/>
  <c r="E22" i="28"/>
  <c r="F22" i="28" s="1"/>
  <c r="D22" i="28"/>
  <c r="L59" i="14" l="1"/>
  <c r="R59" i="14"/>
  <c r="G22" i="28"/>
  <c r="H22" i="28"/>
  <c r="O59" i="14"/>
  <c r="J59" i="14"/>
  <c r="K59" i="14"/>
  <c r="H59" i="14"/>
  <c r="P59" i="14"/>
  <c r="M59" i="14"/>
  <c r="N59" i="14"/>
  <c r="G59" i="14"/>
  <c r="Q59" i="14"/>
  <c r="AA42" i="12"/>
  <c r="Z43" i="11"/>
  <c r="Z73" i="7"/>
  <c r="F69" i="14"/>
  <c r="G67" i="14" l="1"/>
  <c r="S16" i="24"/>
  <c r="V16" i="24" s="1"/>
  <c r="Q16" i="24"/>
  <c r="R16" i="24" s="1"/>
  <c r="S15" i="24"/>
  <c r="V15" i="24" s="1"/>
  <c r="R15" i="24"/>
  <c r="S14" i="24"/>
  <c r="V14" i="24" s="1"/>
  <c r="Q14" i="24"/>
  <c r="R14" i="24" s="1"/>
  <c r="S13" i="24"/>
  <c r="V13" i="24" s="1"/>
  <c r="Q13" i="24"/>
  <c r="S12" i="24"/>
  <c r="V12" i="24" s="1"/>
  <c r="R12" i="24"/>
  <c r="S7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M68" i="14"/>
  <c r="L68" i="14"/>
  <c r="K68" i="14"/>
  <c r="J68" i="14"/>
  <c r="I68" i="14"/>
  <c r="H68" i="14"/>
  <c r="G68" i="14"/>
  <c r="M67" i="14"/>
  <c r="L67" i="14"/>
  <c r="K67" i="14"/>
  <c r="J67" i="14"/>
  <c r="I67" i="14"/>
  <c r="H67" i="14"/>
  <c r="M66" i="14"/>
  <c r="L66" i="14"/>
  <c r="K66" i="14"/>
  <c r="J66" i="14"/>
  <c r="I66" i="14"/>
  <c r="H66" i="14"/>
  <c r="G66" i="14"/>
  <c r="M65" i="14"/>
  <c r="L65" i="14"/>
  <c r="K65" i="14"/>
  <c r="J65" i="14"/>
  <c r="I65" i="14"/>
  <c r="H65" i="14"/>
  <c r="G65" i="14"/>
  <c r="M64" i="14"/>
  <c r="L64" i="14"/>
  <c r="K64" i="14"/>
  <c r="J64" i="14"/>
  <c r="I64" i="14"/>
  <c r="H64" i="14"/>
  <c r="G64" i="14"/>
  <c r="M63" i="14"/>
  <c r="L63" i="14"/>
  <c r="K63" i="14"/>
  <c r="J63" i="14"/>
  <c r="I63" i="14"/>
  <c r="H63" i="14"/>
  <c r="G63" i="14"/>
  <c r="M62" i="14"/>
  <c r="L62" i="14"/>
  <c r="K62" i="14"/>
  <c r="J62" i="14"/>
  <c r="I62" i="14"/>
  <c r="H62" i="14"/>
  <c r="G62" i="14"/>
  <c r="F34" i="14"/>
  <c r="G34" i="14" s="1"/>
  <c r="F38" i="14"/>
  <c r="C24" i="23"/>
  <c r="C13" i="23"/>
  <c r="C12" i="23"/>
  <c r="B7" i="23"/>
  <c r="B8" i="23" s="1"/>
  <c r="B9" i="23" s="1"/>
  <c r="B10" i="23" s="1"/>
  <c r="B11" i="23" s="1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4" i="23"/>
  <c r="A3" i="23"/>
  <c r="C19" i="23" s="1"/>
  <c r="C24" i="22"/>
  <c r="C23" i="22"/>
  <c r="C18" i="22"/>
  <c r="C17" i="22"/>
  <c r="C14" i="22"/>
  <c r="C13" i="22"/>
  <c r="C10" i="22"/>
  <c r="C9" i="22"/>
  <c r="B7" i="22"/>
  <c r="B8" i="22" s="1"/>
  <c r="B9" i="22" s="1"/>
  <c r="B10" i="22" s="1"/>
  <c r="B11" i="22" s="1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4" i="22"/>
  <c r="A3" i="22"/>
  <c r="C20" i="22" s="1"/>
  <c r="G26" i="21"/>
  <c r="F26" i="21"/>
  <c r="G25" i="21"/>
  <c r="F25" i="21"/>
  <c r="G24" i="21"/>
  <c r="F24" i="21"/>
  <c r="G23" i="21"/>
  <c r="F23" i="21"/>
  <c r="G22" i="21"/>
  <c r="F22" i="21"/>
  <c r="G21" i="21"/>
  <c r="H21" i="21" s="1"/>
  <c r="F21" i="21"/>
  <c r="G20" i="21"/>
  <c r="F20" i="21"/>
  <c r="G19" i="21"/>
  <c r="F19" i="21"/>
  <c r="G18" i="21"/>
  <c r="F18" i="21"/>
  <c r="G17" i="21"/>
  <c r="F17" i="21"/>
  <c r="H17" i="21" s="1"/>
  <c r="G16" i="21"/>
  <c r="F16" i="21"/>
  <c r="G15" i="21"/>
  <c r="F15" i="21"/>
  <c r="G14" i="21"/>
  <c r="H14" i="21" s="1"/>
  <c r="F14" i="21"/>
  <c r="G13" i="21"/>
  <c r="F13" i="21"/>
  <c r="G12" i="21"/>
  <c r="F12" i="21"/>
  <c r="G11" i="21"/>
  <c r="F11" i="21"/>
  <c r="G10" i="21"/>
  <c r="F10" i="21"/>
  <c r="G9" i="21"/>
  <c r="F9" i="21"/>
  <c r="G8" i="21"/>
  <c r="F8" i="21"/>
  <c r="H8" i="21" s="1"/>
  <c r="G7" i="21"/>
  <c r="F7" i="21"/>
  <c r="B6" i="21"/>
  <c r="B5" i="21"/>
  <c r="D5" i="21" s="1"/>
  <c r="G25" i="20"/>
  <c r="F25" i="20"/>
  <c r="G24" i="20"/>
  <c r="F24" i="20"/>
  <c r="G23" i="20"/>
  <c r="F23" i="20"/>
  <c r="G22" i="20"/>
  <c r="F22" i="20"/>
  <c r="G21" i="20"/>
  <c r="F21" i="20"/>
  <c r="G20" i="20"/>
  <c r="F20" i="20"/>
  <c r="G19" i="20"/>
  <c r="F19" i="20"/>
  <c r="G18" i="20"/>
  <c r="H18" i="20" s="1"/>
  <c r="F18" i="20"/>
  <c r="G17" i="20"/>
  <c r="F17" i="20"/>
  <c r="H17" i="20" s="1"/>
  <c r="G16" i="20"/>
  <c r="F16" i="20"/>
  <c r="G15" i="20"/>
  <c r="F15" i="20"/>
  <c r="G14" i="20"/>
  <c r="F14" i="20"/>
  <c r="G13" i="20"/>
  <c r="F13" i="20"/>
  <c r="G12" i="20"/>
  <c r="F12" i="20"/>
  <c r="G11" i="20"/>
  <c r="F11" i="20"/>
  <c r="G10" i="20"/>
  <c r="H10" i="20" s="1"/>
  <c r="F10" i="20"/>
  <c r="G9" i="20"/>
  <c r="F9" i="20"/>
  <c r="G8" i="20"/>
  <c r="F8" i="20"/>
  <c r="G7" i="20"/>
  <c r="F7" i="20"/>
  <c r="G6" i="20"/>
  <c r="F6" i="20"/>
  <c r="B5" i="20"/>
  <c r="D6" i="20" s="1"/>
  <c r="G22" i="19"/>
  <c r="G21" i="19"/>
  <c r="G20" i="19"/>
  <c r="F21" i="19" s="1"/>
  <c r="G19" i="19"/>
  <c r="G18" i="19"/>
  <c r="F19" i="19" s="1"/>
  <c r="G17" i="19"/>
  <c r="F18" i="19" s="1"/>
  <c r="G16" i="19"/>
  <c r="F17" i="19" s="1"/>
  <c r="G15" i="19"/>
  <c r="G14" i="19"/>
  <c r="F15" i="19" s="1"/>
  <c r="G13" i="19"/>
  <c r="F14" i="19" s="1"/>
  <c r="G12" i="19"/>
  <c r="F13" i="19" s="1"/>
  <c r="G11" i="19"/>
  <c r="G10" i="19"/>
  <c r="F11" i="19" s="1"/>
  <c r="G9" i="19"/>
  <c r="F10" i="19" s="1"/>
  <c r="G8" i="19"/>
  <c r="F9" i="19" s="1"/>
  <c r="G7" i="19"/>
  <c r="F8" i="19" s="1"/>
  <c r="G6" i="19"/>
  <c r="F7" i="19" s="1"/>
  <c r="G5" i="19"/>
  <c r="B5" i="19"/>
  <c r="D5" i="19" s="1"/>
  <c r="H22" i="21" l="1"/>
  <c r="C16" i="23"/>
  <c r="H19" i="20"/>
  <c r="C17" i="23"/>
  <c r="C18" i="23"/>
  <c r="H24" i="21"/>
  <c r="C19" i="22"/>
  <c r="C21" i="23"/>
  <c r="H15" i="21"/>
  <c r="H10" i="19"/>
  <c r="H21" i="20"/>
  <c r="C22" i="22"/>
  <c r="C22" i="23"/>
  <c r="H18" i="21"/>
  <c r="C6" i="23"/>
  <c r="D6" i="23" s="1"/>
  <c r="H22" i="20"/>
  <c r="C8" i="23"/>
  <c r="H13" i="21"/>
  <c r="H20" i="21"/>
  <c r="C8" i="22"/>
  <c r="C9" i="23"/>
  <c r="H6" i="20"/>
  <c r="H18" i="19"/>
  <c r="C11" i="23"/>
  <c r="R53" i="24"/>
  <c r="J14" i="46"/>
  <c r="J90" i="46" s="1"/>
  <c r="R54" i="24"/>
  <c r="J17" i="46"/>
  <c r="J93" i="46" s="1"/>
  <c r="J16" i="46"/>
  <c r="J13" i="46"/>
  <c r="J89" i="46" s="1"/>
  <c r="H7" i="21"/>
  <c r="I7" i="21" s="1"/>
  <c r="K7" i="21"/>
  <c r="H20" i="20"/>
  <c r="H14" i="19"/>
  <c r="H13" i="20"/>
  <c r="H9" i="21"/>
  <c r="H16" i="21"/>
  <c r="H23" i="21"/>
  <c r="H10" i="21"/>
  <c r="H8" i="20"/>
  <c r="H16" i="20"/>
  <c r="H23" i="20"/>
  <c r="H11" i="21"/>
  <c r="H25" i="21"/>
  <c r="H9" i="20"/>
  <c r="H19" i="19"/>
  <c r="H24" i="20"/>
  <c r="H12" i="21"/>
  <c r="H26" i="21"/>
  <c r="C25" i="23"/>
  <c r="F20" i="19"/>
  <c r="H20" i="19" s="1"/>
  <c r="H19" i="21"/>
  <c r="D3" i="23"/>
  <c r="D4" i="23" s="1"/>
  <c r="D5" i="23" s="1"/>
  <c r="H25" i="20"/>
  <c r="D3" i="22"/>
  <c r="D4" i="22" s="1"/>
  <c r="D5" i="22" s="1"/>
  <c r="H7" i="20"/>
  <c r="H15" i="20"/>
  <c r="H13" i="19"/>
  <c r="H21" i="19"/>
  <c r="H11" i="20"/>
  <c r="H15" i="19"/>
  <c r="H14" i="20"/>
  <c r="H12" i="20"/>
  <c r="T16" i="24"/>
  <c r="Q17" i="24"/>
  <c r="Q33" i="24" s="1"/>
  <c r="Q39" i="24" s="1"/>
  <c r="T14" i="24"/>
  <c r="T15" i="24"/>
  <c r="R13" i="24"/>
  <c r="T12" i="24"/>
  <c r="P34" i="14"/>
  <c r="Q34" i="14"/>
  <c r="R34" i="14"/>
  <c r="F64" i="14"/>
  <c r="N34" i="14"/>
  <c r="H34" i="14"/>
  <c r="F68" i="14"/>
  <c r="O34" i="14"/>
  <c r="F66" i="14"/>
  <c r="I34" i="14"/>
  <c r="J34" i="14"/>
  <c r="K34" i="14"/>
  <c r="L34" i="14"/>
  <c r="F62" i="14"/>
  <c r="M34" i="14"/>
  <c r="F67" i="14"/>
  <c r="F63" i="14"/>
  <c r="F65" i="14"/>
  <c r="F44" i="14"/>
  <c r="E6" i="23"/>
  <c r="E6" i="22"/>
  <c r="H11" i="19"/>
  <c r="I5" i="21"/>
  <c r="D6" i="21"/>
  <c r="D7" i="21" s="1"/>
  <c r="D7" i="20"/>
  <c r="I6" i="20"/>
  <c r="D6" i="19"/>
  <c r="I5" i="19"/>
  <c r="H7" i="19"/>
  <c r="H17" i="19"/>
  <c r="F22" i="19"/>
  <c r="H22" i="19" s="1"/>
  <c r="C11" i="22"/>
  <c r="C10" i="23"/>
  <c r="F12" i="19"/>
  <c r="H12" i="19" s="1"/>
  <c r="C23" i="23"/>
  <c r="F16" i="19"/>
  <c r="H16" i="19" s="1"/>
  <c r="C21" i="22"/>
  <c r="C7" i="23"/>
  <c r="C20" i="23"/>
  <c r="C15" i="22"/>
  <c r="C14" i="23"/>
  <c r="D5" i="20"/>
  <c r="I5" i="20" s="1"/>
  <c r="C12" i="22"/>
  <c r="C25" i="22"/>
  <c r="C6" i="22"/>
  <c r="C16" i="22"/>
  <c r="C15" i="23"/>
  <c r="C7" i="22"/>
  <c r="C27" i="22" l="1"/>
  <c r="F67" i="37" s="1"/>
  <c r="T54" i="24"/>
  <c r="T53" i="24"/>
  <c r="R33" i="24"/>
  <c r="J37" i="46" s="1"/>
  <c r="R17" i="24"/>
  <c r="T13" i="24"/>
  <c r="J15" i="46"/>
  <c r="J18" i="46"/>
  <c r="J20" i="46" s="1"/>
  <c r="D6" i="22"/>
  <c r="D7" i="22" s="1"/>
  <c r="C28" i="23"/>
  <c r="D8" i="21"/>
  <c r="D9" i="21" s="1"/>
  <c r="L7" i="21"/>
  <c r="F70" i="14"/>
  <c r="I7" i="19"/>
  <c r="D7" i="19"/>
  <c r="I6" i="19"/>
  <c r="D8" i="20"/>
  <c r="I7" i="20"/>
  <c r="E7" i="23"/>
  <c r="D7" i="23"/>
  <c r="L8" i="21" l="1"/>
  <c r="I29" i="21" s="1"/>
  <c r="K23" i="29"/>
  <c r="K21" i="33"/>
  <c r="I8" i="21"/>
  <c r="U38" i="24"/>
  <c r="U30" i="24"/>
  <c r="J91" i="46"/>
  <c r="J92" i="46"/>
  <c r="T17" i="24"/>
  <c r="J63" i="29" s="1"/>
  <c r="U20" i="24"/>
  <c r="U19" i="24"/>
  <c r="U34" i="24"/>
  <c r="U17" i="24"/>
  <c r="U23" i="24"/>
  <c r="U27" i="24"/>
  <c r="U40" i="24"/>
  <c r="U42" i="24"/>
  <c r="U43" i="24"/>
  <c r="U26" i="24"/>
  <c r="U18" i="24"/>
  <c r="U22" i="24"/>
  <c r="U31" i="24"/>
  <c r="U25" i="24"/>
  <c r="U28" i="24"/>
  <c r="U36" i="24"/>
  <c r="U35" i="24"/>
  <c r="U32" i="24"/>
  <c r="U24" i="24"/>
  <c r="U29" i="24"/>
  <c r="U37" i="24"/>
  <c r="U21" i="24"/>
  <c r="U12" i="24"/>
  <c r="U14" i="24"/>
  <c r="U15" i="24"/>
  <c r="U16" i="24"/>
  <c r="T33" i="24"/>
  <c r="W33" i="24" s="1"/>
  <c r="U33" i="24"/>
  <c r="U13" i="24"/>
  <c r="F67" i="38"/>
  <c r="L21" i="33"/>
  <c r="S21" i="33" s="1"/>
  <c r="L23" i="29"/>
  <c r="T23" i="29" s="1"/>
  <c r="H40" i="14"/>
  <c r="E7" i="22"/>
  <c r="J55" i="33"/>
  <c r="I8" i="19"/>
  <c r="D8" i="19"/>
  <c r="E8" i="23"/>
  <c r="F8" i="23" s="1"/>
  <c r="D8" i="23"/>
  <c r="D10" i="21"/>
  <c r="I9" i="21"/>
  <c r="D9" i="20"/>
  <c r="I8" i="20"/>
  <c r="K40" i="14" s="1"/>
  <c r="E8" i="22"/>
  <c r="F8" i="22" s="1"/>
  <c r="D8" i="22"/>
  <c r="W38" i="24" l="1"/>
  <c r="W30" i="24"/>
  <c r="W13" i="24"/>
  <c r="J56" i="33"/>
  <c r="R39" i="24"/>
  <c r="Q41" i="24"/>
  <c r="J64" i="29"/>
  <c r="J65" i="29" s="1"/>
  <c r="W27" i="24"/>
  <c r="W19" i="24"/>
  <c r="W20" i="24"/>
  <c r="W34" i="24"/>
  <c r="W17" i="24"/>
  <c r="W23" i="24"/>
  <c r="W42" i="24"/>
  <c r="W43" i="24"/>
  <c r="W40" i="24"/>
  <c r="W26" i="24"/>
  <c r="W18" i="24"/>
  <c r="W24" i="24"/>
  <c r="W25" i="24"/>
  <c r="W37" i="24"/>
  <c r="W29" i="24"/>
  <c r="W31" i="24"/>
  <c r="W32" i="24"/>
  <c r="W21" i="24"/>
  <c r="W22" i="24"/>
  <c r="W35" i="24"/>
  <c r="W28" i="24"/>
  <c r="W36" i="24"/>
  <c r="W15" i="24"/>
  <c r="W14" i="24"/>
  <c r="W16" i="24"/>
  <c r="W12" i="24"/>
  <c r="Q224" i="43"/>
  <c r="R224" i="43" s="1"/>
  <c r="T224" i="43" s="1"/>
  <c r="G41" i="14"/>
  <c r="J57" i="33"/>
  <c r="E9" i="22"/>
  <c r="F9" i="22" s="1"/>
  <c r="D9" i="22"/>
  <c r="D10" i="20"/>
  <c r="I9" i="20"/>
  <c r="D11" i="21"/>
  <c r="I10" i="21"/>
  <c r="J41" i="14" s="1"/>
  <c r="E9" i="23"/>
  <c r="F9" i="23" s="1"/>
  <c r="D9" i="23"/>
  <c r="I9" i="19"/>
  <c r="I25" i="19" s="1"/>
  <c r="D9" i="19"/>
  <c r="Q212" i="43" l="1"/>
  <c r="R212" i="43" s="1"/>
  <c r="T212" i="43" s="1"/>
  <c r="R41" i="24"/>
  <c r="T39" i="24"/>
  <c r="W39" i="24" s="1"/>
  <c r="U39" i="24"/>
  <c r="G43" i="14"/>
  <c r="N40" i="14"/>
  <c r="G42" i="14"/>
  <c r="G9" i="22"/>
  <c r="I10" i="19"/>
  <c r="D10" i="19"/>
  <c r="E10" i="23"/>
  <c r="F10" i="23" s="1"/>
  <c r="J43" i="14" s="1"/>
  <c r="D10" i="23"/>
  <c r="D12" i="21"/>
  <c r="I11" i="21"/>
  <c r="M41" i="14" s="1"/>
  <c r="I10" i="20"/>
  <c r="Q40" i="14" s="1"/>
  <c r="D11" i="20"/>
  <c r="E10" i="22"/>
  <c r="F10" i="22" s="1"/>
  <c r="D10" i="22"/>
  <c r="I29" i="20" l="1"/>
  <c r="F42" i="30" s="1"/>
  <c r="F40" i="14"/>
  <c r="U41" i="24"/>
  <c r="T41" i="24"/>
  <c r="W41" i="24" s="1"/>
  <c r="J42" i="14"/>
  <c r="G10" i="22"/>
  <c r="G39" i="14"/>
  <c r="D11" i="22"/>
  <c r="E11" i="22"/>
  <c r="F11" i="22" s="1"/>
  <c r="D12" i="20"/>
  <c r="I11" i="20"/>
  <c r="I12" i="21"/>
  <c r="P41" i="14" s="1"/>
  <c r="F41" i="14" s="1"/>
  <c r="D13" i="21"/>
  <c r="E11" i="23"/>
  <c r="F11" i="23" s="1"/>
  <c r="D11" i="23"/>
  <c r="D11" i="19"/>
  <c r="D29" i="28" s="1"/>
  <c r="I11" i="19"/>
  <c r="J39" i="14" s="1"/>
  <c r="J46" i="35" l="1"/>
  <c r="G11" i="22"/>
  <c r="M42" i="14"/>
  <c r="I28" i="21"/>
  <c r="M43" i="14"/>
  <c r="G42" i="30"/>
  <c r="J16" i="33"/>
  <c r="J18" i="29"/>
  <c r="D12" i="19"/>
  <c r="I12" i="19"/>
  <c r="E12" i="23"/>
  <c r="F12" i="23" s="1"/>
  <c r="P43" i="14" s="1"/>
  <c r="D12" i="23"/>
  <c r="D14" i="21"/>
  <c r="I13" i="21"/>
  <c r="D13" i="20"/>
  <c r="I12" i="20"/>
  <c r="E12" i="22"/>
  <c r="F12" i="22" s="1"/>
  <c r="D12" i="22"/>
  <c r="J89" i="35" l="1"/>
  <c r="J102" i="35" s="1"/>
  <c r="J21" i="35" s="1"/>
  <c r="J88" i="35"/>
  <c r="J92" i="35" s="1"/>
  <c r="M39" i="14"/>
  <c r="L42" i="30"/>
  <c r="N42" i="30"/>
  <c r="Q42" i="30"/>
  <c r="R42" i="30"/>
  <c r="I42" i="30"/>
  <c r="K42" i="30"/>
  <c r="M42" i="30"/>
  <c r="O42" i="30"/>
  <c r="J42" i="30"/>
  <c r="P42" i="30"/>
  <c r="H42" i="30"/>
  <c r="F28" i="23"/>
  <c r="F43" i="14"/>
  <c r="G12" i="22"/>
  <c r="P42" i="14"/>
  <c r="F42" i="14" s="1"/>
  <c r="I46" i="35"/>
  <c r="I16" i="33"/>
  <c r="I18" i="29"/>
  <c r="F27" i="22"/>
  <c r="E13" i="22"/>
  <c r="F13" i="22" s="1"/>
  <c r="D13" i="22"/>
  <c r="I13" i="20"/>
  <c r="D14" i="20"/>
  <c r="D15" i="21"/>
  <c r="I14" i="21"/>
  <c r="E13" i="23"/>
  <c r="F13" i="23" s="1"/>
  <c r="D13" i="23"/>
  <c r="I13" i="19"/>
  <c r="P39" i="14" s="1"/>
  <c r="D13" i="19"/>
  <c r="J98" i="35" l="1"/>
  <c r="J118" i="35" s="1"/>
  <c r="J95" i="35"/>
  <c r="J14" i="35" s="1"/>
  <c r="J93" i="35"/>
  <c r="J12" i="35" s="1"/>
  <c r="J101" i="35"/>
  <c r="J20" i="35" s="1"/>
  <c r="J99" i="35"/>
  <c r="J18" i="35" s="1"/>
  <c r="J100" i="35"/>
  <c r="J19" i="35" s="1"/>
  <c r="J96" i="35"/>
  <c r="J15" i="35" s="1"/>
  <c r="J94" i="35"/>
  <c r="J13" i="35" s="1"/>
  <c r="J11" i="35"/>
  <c r="L46" i="35"/>
  <c r="L16" i="33"/>
  <c r="L18" i="29"/>
  <c r="I88" i="35"/>
  <c r="G51" i="36"/>
  <c r="I89" i="35"/>
  <c r="K15" i="30"/>
  <c r="I15" i="30"/>
  <c r="J15" i="30"/>
  <c r="G15" i="30"/>
  <c r="AC52" i="12"/>
  <c r="I24" i="19"/>
  <c r="J24" i="19" s="1"/>
  <c r="K46" i="35"/>
  <c r="K16" i="33"/>
  <c r="K18" i="29"/>
  <c r="F39" i="14"/>
  <c r="F45" i="14" s="1"/>
  <c r="I14" i="19"/>
  <c r="D14" i="19"/>
  <c r="E14" i="23"/>
  <c r="F14" i="23" s="1"/>
  <c r="D14" i="23"/>
  <c r="D16" i="21"/>
  <c r="I15" i="21"/>
  <c r="D15" i="20"/>
  <c r="I14" i="20"/>
  <c r="E14" i="22"/>
  <c r="F14" i="22" s="1"/>
  <c r="D14" i="22"/>
  <c r="J115" i="35" l="1"/>
  <c r="L15" i="30"/>
  <c r="L53" i="30" s="1"/>
  <c r="J117" i="35"/>
  <c r="J116" i="35"/>
  <c r="O15" i="30"/>
  <c r="O30" i="30" s="1"/>
  <c r="M15" i="30"/>
  <c r="M32" i="30" s="1"/>
  <c r="P15" i="30"/>
  <c r="P29" i="30" s="1"/>
  <c r="J114" i="35"/>
  <c r="R15" i="30"/>
  <c r="R53" i="30" s="1"/>
  <c r="Q15" i="30"/>
  <c r="Q33" i="30" s="1"/>
  <c r="J17" i="35"/>
  <c r="N15" i="30"/>
  <c r="N31" i="30" s="1"/>
  <c r="J113" i="35"/>
  <c r="J36" i="35"/>
  <c r="J37" i="35" s="1"/>
  <c r="G63" i="52"/>
  <c r="H63" i="52" s="1"/>
  <c r="J39" i="35"/>
  <c r="K53" i="30"/>
  <c r="K32" i="30"/>
  <c r="K29" i="30"/>
  <c r="K30" i="30"/>
  <c r="K33" i="30"/>
  <c r="K31" i="30"/>
  <c r="K25" i="30"/>
  <c r="K27" i="30" s="1"/>
  <c r="M53" i="30"/>
  <c r="M31" i="30"/>
  <c r="M30" i="30"/>
  <c r="M33" i="30"/>
  <c r="M29" i="30"/>
  <c r="L32" i="30"/>
  <c r="L33" i="30"/>
  <c r="L29" i="30"/>
  <c r="L30" i="30"/>
  <c r="H46" i="35"/>
  <c r="H16" i="33"/>
  <c r="S16" i="33" s="1"/>
  <c r="H18" i="29"/>
  <c r="T18" i="29" s="1"/>
  <c r="H53" i="30"/>
  <c r="H25" i="30"/>
  <c r="H27" i="30" s="1"/>
  <c r="H33" i="30"/>
  <c r="H32" i="30"/>
  <c r="H31" i="30"/>
  <c r="H30" i="30"/>
  <c r="H29" i="30"/>
  <c r="G32" i="30"/>
  <c r="G53" i="30"/>
  <c r="G31" i="30"/>
  <c r="G29" i="30"/>
  <c r="G30" i="30"/>
  <c r="G25" i="30"/>
  <c r="G33" i="30"/>
  <c r="Q51" i="36"/>
  <c r="N51" i="36"/>
  <c r="H51" i="36"/>
  <c r="O51" i="36"/>
  <c r="M51" i="36"/>
  <c r="I51" i="36"/>
  <c r="R51" i="36"/>
  <c r="P51" i="36"/>
  <c r="L51" i="36"/>
  <c r="K51" i="36"/>
  <c r="J51" i="36"/>
  <c r="I53" i="30"/>
  <c r="I33" i="30"/>
  <c r="I29" i="30"/>
  <c r="I32" i="30"/>
  <c r="I30" i="30"/>
  <c r="I25" i="30"/>
  <c r="I27" i="30" s="1"/>
  <c r="I31" i="30"/>
  <c r="O53" i="30"/>
  <c r="O29" i="30"/>
  <c r="O31" i="30"/>
  <c r="O33" i="30"/>
  <c r="O32" i="30"/>
  <c r="Q25" i="30"/>
  <c r="Q27" i="30" s="1"/>
  <c r="Q29" i="30"/>
  <c r="Q31" i="30"/>
  <c r="G63" i="37"/>
  <c r="K89" i="35"/>
  <c r="K88" i="35"/>
  <c r="I102" i="35"/>
  <c r="I21" i="35" s="1"/>
  <c r="I101" i="35"/>
  <c r="I20" i="35" s="1"/>
  <c r="I100" i="35"/>
  <c r="I19" i="35" s="1"/>
  <c r="I98" i="35"/>
  <c r="I99" i="35"/>
  <c r="I18" i="35" s="1"/>
  <c r="J53" i="30"/>
  <c r="J31" i="30"/>
  <c r="J30" i="30"/>
  <c r="J32" i="30"/>
  <c r="J29" i="30"/>
  <c r="J33" i="30"/>
  <c r="J25" i="30"/>
  <c r="J27" i="30" s="1"/>
  <c r="I94" i="35"/>
  <c r="I13" i="35" s="1"/>
  <c r="I96" i="35"/>
  <c r="I15" i="35" s="1"/>
  <c r="I95" i="35"/>
  <c r="I14" i="35" s="1"/>
  <c r="I92" i="35"/>
  <c r="I93" i="35"/>
  <c r="I12" i="35" s="1"/>
  <c r="L89" i="35"/>
  <c r="G63" i="38"/>
  <c r="L88" i="35"/>
  <c r="E15" i="22"/>
  <c r="F15" i="22" s="1"/>
  <c r="D15" i="22"/>
  <c r="D16" i="20"/>
  <c r="I15" i="20"/>
  <c r="I16" i="21"/>
  <c r="D17" i="21"/>
  <c r="E15" i="23"/>
  <c r="F15" i="23" s="1"/>
  <c r="D15" i="23"/>
  <c r="D15" i="19"/>
  <c r="I15" i="19"/>
  <c r="Q30" i="30" l="1"/>
  <c r="N30" i="30"/>
  <c r="N25" i="30"/>
  <c r="N27" i="30" s="1"/>
  <c r="M15" i="53" s="1"/>
  <c r="M124" i="53" s="1"/>
  <c r="N33" i="30"/>
  <c r="N53" i="30"/>
  <c r="P32" i="30"/>
  <c r="P33" i="30"/>
  <c r="P31" i="30"/>
  <c r="Q32" i="30"/>
  <c r="Q53" i="30"/>
  <c r="O25" i="30"/>
  <c r="O27" i="30" s="1"/>
  <c r="N15" i="53" s="1"/>
  <c r="N124" i="53" s="1"/>
  <c r="P53" i="30"/>
  <c r="R33" i="30"/>
  <c r="T33" i="30" s="1"/>
  <c r="P25" i="30"/>
  <c r="P27" i="30" s="1"/>
  <c r="O15" i="53" s="1"/>
  <c r="O124" i="53" s="1"/>
  <c r="P30" i="30"/>
  <c r="T30" i="30" s="1"/>
  <c r="L25" i="30"/>
  <c r="L27" i="30" s="1"/>
  <c r="K15" i="53" s="1"/>
  <c r="K124" i="53" s="1"/>
  <c r="R25" i="30"/>
  <c r="R27" i="30" s="1"/>
  <c r="Q15" i="53" s="1"/>
  <c r="Q124" i="53" s="1"/>
  <c r="L31" i="30"/>
  <c r="N63" i="52"/>
  <c r="R29" i="30"/>
  <c r="Q63" i="52"/>
  <c r="R30" i="30"/>
  <c r="R31" i="30"/>
  <c r="J38" i="35"/>
  <c r="R32" i="30"/>
  <c r="M25" i="30"/>
  <c r="M27" i="30" s="1"/>
  <c r="L15" i="53" s="1"/>
  <c r="L124" i="53" s="1"/>
  <c r="I63" i="52"/>
  <c r="N29" i="30"/>
  <c r="O63" i="52"/>
  <c r="N32" i="30"/>
  <c r="T32" i="30" s="1"/>
  <c r="R63" i="52"/>
  <c r="M63" i="52"/>
  <c r="P63" i="52"/>
  <c r="J63" i="52"/>
  <c r="L63" i="52"/>
  <c r="K63" i="52"/>
  <c r="G63" i="51"/>
  <c r="K63" i="51" s="1"/>
  <c r="I116" i="35"/>
  <c r="I114" i="35"/>
  <c r="I117" i="35"/>
  <c r="I115" i="35"/>
  <c r="I113" i="35"/>
  <c r="I118" i="35"/>
  <c r="I15" i="53"/>
  <c r="I124" i="53" s="1"/>
  <c r="J39" i="30"/>
  <c r="J15" i="53"/>
  <c r="J124" i="53" s="1"/>
  <c r="K39" i="30"/>
  <c r="H15" i="53"/>
  <c r="H124" i="53" s="1"/>
  <c r="I39" i="30"/>
  <c r="P15" i="53"/>
  <c r="P124" i="53" s="1"/>
  <c r="Q39" i="30"/>
  <c r="H39" i="30"/>
  <c r="I11" i="35"/>
  <c r="I39" i="35"/>
  <c r="I17" i="35"/>
  <c r="K95" i="35"/>
  <c r="K14" i="35" s="1"/>
  <c r="K94" i="35"/>
  <c r="K13" i="35" s="1"/>
  <c r="K96" i="35"/>
  <c r="K15" i="35" s="1"/>
  <c r="K92" i="35"/>
  <c r="K93" i="35"/>
  <c r="K12" i="35" s="1"/>
  <c r="K101" i="35"/>
  <c r="K102" i="35"/>
  <c r="K99" i="35"/>
  <c r="K98" i="35"/>
  <c r="K100" i="35"/>
  <c r="N63" i="37"/>
  <c r="K63" i="37"/>
  <c r="M63" i="37"/>
  <c r="L63" i="37"/>
  <c r="O63" i="37"/>
  <c r="P63" i="37"/>
  <c r="R63" i="37"/>
  <c r="H63" i="37"/>
  <c r="I63" i="37"/>
  <c r="J63" i="37"/>
  <c r="Q63" i="37"/>
  <c r="F51" i="36"/>
  <c r="H88" i="35"/>
  <c r="L96" i="35"/>
  <c r="L15" i="35" s="1"/>
  <c r="L95" i="35"/>
  <c r="L14" i="35" s="1"/>
  <c r="L93" i="35"/>
  <c r="L12" i="35" s="1"/>
  <c r="L94" i="35"/>
  <c r="L13" i="35" s="1"/>
  <c r="L92" i="35"/>
  <c r="G27" i="30"/>
  <c r="N63" i="38"/>
  <c r="J63" i="38"/>
  <c r="L63" i="38"/>
  <c r="Q63" i="38"/>
  <c r="H63" i="38"/>
  <c r="P63" i="38"/>
  <c r="R63" i="38"/>
  <c r="I63" i="38"/>
  <c r="O63" i="38"/>
  <c r="M63" i="38"/>
  <c r="K63" i="38"/>
  <c r="G16" i="36"/>
  <c r="I36" i="35"/>
  <c r="I37" i="35" s="1"/>
  <c r="G15" i="36"/>
  <c r="M15" i="36" s="1"/>
  <c r="L98" i="35"/>
  <c r="L99" i="35"/>
  <c r="L18" i="35" s="1"/>
  <c r="L102" i="35"/>
  <c r="L21" i="35" s="1"/>
  <c r="L101" i="35"/>
  <c r="L20" i="35" s="1"/>
  <c r="L100" i="35"/>
  <c r="L19" i="35" s="1"/>
  <c r="I16" i="19"/>
  <c r="D16" i="19"/>
  <c r="E16" i="23"/>
  <c r="F16" i="23" s="1"/>
  <c r="D16" i="23"/>
  <c r="D18" i="21"/>
  <c r="I17" i="21"/>
  <c r="I16" i="20"/>
  <c r="D17" i="20"/>
  <c r="D16" i="22"/>
  <c r="E16" i="22"/>
  <c r="F16" i="22" s="1"/>
  <c r="N39" i="30" l="1"/>
  <c r="F30" i="30"/>
  <c r="R39" i="30"/>
  <c r="F32" i="30"/>
  <c r="T29" i="30"/>
  <c r="M39" i="30"/>
  <c r="P39" i="30"/>
  <c r="T31" i="30"/>
  <c r="M63" i="51"/>
  <c r="F29" i="30"/>
  <c r="L39" i="30"/>
  <c r="I63" i="51"/>
  <c r="L63" i="51"/>
  <c r="N63" i="51"/>
  <c r="O39" i="30"/>
  <c r="Q63" i="51"/>
  <c r="F33" i="30"/>
  <c r="F25" i="30"/>
  <c r="F27" i="30" s="1"/>
  <c r="J10" i="33" s="1"/>
  <c r="J63" i="33" s="1"/>
  <c r="F31" i="30"/>
  <c r="O63" i="51"/>
  <c r="R63" i="51"/>
  <c r="H63" i="51"/>
  <c r="F63" i="52"/>
  <c r="K113" i="35"/>
  <c r="K114" i="35"/>
  <c r="K117" i="35"/>
  <c r="K115" i="35"/>
  <c r="K116" i="35"/>
  <c r="K118" i="35"/>
  <c r="L113" i="35"/>
  <c r="L116" i="35"/>
  <c r="L114" i="35"/>
  <c r="L117" i="35"/>
  <c r="L115" i="35"/>
  <c r="L118" i="35"/>
  <c r="P63" i="51"/>
  <c r="J63" i="51"/>
  <c r="G38" i="30"/>
  <c r="G39" i="30"/>
  <c r="R15" i="53"/>
  <c r="R124" i="53" s="1"/>
  <c r="T27" i="30"/>
  <c r="K18" i="35"/>
  <c r="K21" i="35"/>
  <c r="K19" i="35"/>
  <c r="K20" i="35"/>
  <c r="K11" i="35"/>
  <c r="K39" i="35"/>
  <c r="L11" i="35"/>
  <c r="L39" i="35"/>
  <c r="K17" i="35"/>
  <c r="L17" i="35"/>
  <c r="I38" i="35"/>
  <c r="M16" i="36"/>
  <c r="M35" i="36" s="1"/>
  <c r="G22" i="38"/>
  <c r="P22" i="38" s="1"/>
  <c r="P48" i="38" s="1"/>
  <c r="G21" i="38"/>
  <c r="P21" i="38" s="1"/>
  <c r="P47" i="38" s="1"/>
  <c r="G21" i="37"/>
  <c r="Q21" i="37" s="1"/>
  <c r="F63" i="37"/>
  <c r="G19" i="37"/>
  <c r="G18" i="38"/>
  <c r="G20" i="37"/>
  <c r="G35" i="36"/>
  <c r="O16" i="36"/>
  <c r="O35" i="36" s="1"/>
  <c r="N16" i="36"/>
  <c r="N35" i="36" s="1"/>
  <c r="K16" i="36"/>
  <c r="K35" i="36" s="1"/>
  <c r="P16" i="36"/>
  <c r="P35" i="36" s="1"/>
  <c r="Q16" i="36"/>
  <c r="Q35" i="36" s="1"/>
  <c r="R16" i="36"/>
  <c r="R35" i="36" s="1"/>
  <c r="I16" i="36"/>
  <c r="I35" i="36" s="1"/>
  <c r="J16" i="36"/>
  <c r="J35" i="36" s="1"/>
  <c r="L16" i="36"/>
  <c r="L35" i="36" s="1"/>
  <c r="H35" i="36"/>
  <c r="U33" i="30"/>
  <c r="G20" i="38"/>
  <c r="Q15" i="36"/>
  <c r="G39" i="36"/>
  <c r="R15" i="36"/>
  <c r="I15" i="36"/>
  <c r="K15" i="36"/>
  <c r="O15" i="36"/>
  <c r="G40" i="36"/>
  <c r="G38" i="36"/>
  <c r="N15" i="36"/>
  <c r="G34" i="36"/>
  <c r="G41" i="36"/>
  <c r="G42" i="36"/>
  <c r="J15" i="36"/>
  <c r="L15" i="36"/>
  <c r="P15" i="36"/>
  <c r="H94" i="35"/>
  <c r="H13" i="35" s="1"/>
  <c r="H96" i="35"/>
  <c r="H15" i="35" s="1"/>
  <c r="H93" i="35"/>
  <c r="H12" i="35" s="1"/>
  <c r="H95" i="35"/>
  <c r="H14" i="35" s="1"/>
  <c r="H92" i="35"/>
  <c r="G18" i="37"/>
  <c r="K36" i="35"/>
  <c r="K37" i="35" s="1"/>
  <c r="G22" i="37"/>
  <c r="L36" i="35"/>
  <c r="L37" i="35" s="1"/>
  <c r="G19" i="38"/>
  <c r="F63" i="38"/>
  <c r="E17" i="22"/>
  <c r="F17" i="22" s="1"/>
  <c r="D17" i="22"/>
  <c r="D18" i="20"/>
  <c r="I17" i="20"/>
  <c r="D19" i="21"/>
  <c r="I18" i="21"/>
  <c r="E17" i="23"/>
  <c r="F17" i="23" s="1"/>
  <c r="D17" i="23"/>
  <c r="D17" i="19"/>
  <c r="I17" i="19"/>
  <c r="F39" i="30" l="1"/>
  <c r="F63" i="51"/>
  <c r="J10" i="29"/>
  <c r="J71" i="29" s="1"/>
  <c r="G40" i="30"/>
  <c r="V33" i="30"/>
  <c r="Q38" i="30"/>
  <c r="O38" i="30"/>
  <c r="H38" i="30"/>
  <c r="R38" i="30"/>
  <c r="P38" i="30"/>
  <c r="K38" i="30"/>
  <c r="M38" i="30"/>
  <c r="L38" i="30"/>
  <c r="N38" i="30"/>
  <c r="J38" i="30"/>
  <c r="I38" i="30"/>
  <c r="K21" i="52"/>
  <c r="J21" i="52"/>
  <c r="I21" i="52"/>
  <c r="G47" i="52"/>
  <c r="G79" i="52"/>
  <c r="R21" i="52"/>
  <c r="Q21" i="52"/>
  <c r="P21" i="52"/>
  <c r="L21" i="52"/>
  <c r="O21" i="52"/>
  <c r="N21" i="52"/>
  <c r="M21" i="52"/>
  <c r="H21" i="52"/>
  <c r="R20" i="52"/>
  <c r="Q20" i="52"/>
  <c r="P20" i="52"/>
  <c r="O20" i="52"/>
  <c r="N20" i="52"/>
  <c r="M20" i="52"/>
  <c r="I20" i="52"/>
  <c r="G78" i="52"/>
  <c r="L20" i="52"/>
  <c r="G46" i="52"/>
  <c r="K20" i="52"/>
  <c r="J20" i="52"/>
  <c r="G48" i="52"/>
  <c r="O22" i="52"/>
  <c r="L22" i="52"/>
  <c r="K22" i="52"/>
  <c r="M22" i="52"/>
  <c r="I22" i="52"/>
  <c r="H22" i="52"/>
  <c r="J22" i="52"/>
  <c r="G80" i="52"/>
  <c r="R22" i="52"/>
  <c r="P22" i="52"/>
  <c r="Q22" i="52"/>
  <c r="N22" i="52"/>
  <c r="I19" i="52"/>
  <c r="O19" i="52"/>
  <c r="N19" i="52"/>
  <c r="M19" i="52"/>
  <c r="L19" i="52"/>
  <c r="K19" i="52"/>
  <c r="J19" i="52"/>
  <c r="G77" i="52"/>
  <c r="R19" i="52"/>
  <c r="Q19" i="52"/>
  <c r="P19" i="52"/>
  <c r="H19" i="52"/>
  <c r="G45" i="52"/>
  <c r="L18" i="52"/>
  <c r="R18" i="52"/>
  <c r="Q18" i="52"/>
  <c r="G76" i="52"/>
  <c r="G51" i="52"/>
  <c r="G44" i="52"/>
  <c r="K18" i="52"/>
  <c r="G54" i="52"/>
  <c r="N18" i="52"/>
  <c r="P18" i="52"/>
  <c r="J18" i="52"/>
  <c r="I18" i="52"/>
  <c r="G53" i="52"/>
  <c r="M18" i="52"/>
  <c r="O18" i="52"/>
  <c r="G52" i="52"/>
  <c r="H11" i="35"/>
  <c r="H39" i="35"/>
  <c r="F15" i="36"/>
  <c r="F16" i="36"/>
  <c r="O21" i="37"/>
  <c r="O47" i="37" s="1"/>
  <c r="M21" i="37"/>
  <c r="M47" i="37" s="1"/>
  <c r="L21" i="37"/>
  <c r="L47" i="37" s="1"/>
  <c r="P21" i="37"/>
  <c r="P47" i="37" s="1"/>
  <c r="J21" i="37"/>
  <c r="J47" i="37" s="1"/>
  <c r="G47" i="37"/>
  <c r="H79" i="37"/>
  <c r="G79" i="37"/>
  <c r="I22" i="38"/>
  <c r="I48" i="38" s="1"/>
  <c r="L22" i="38"/>
  <c r="L48" i="38" s="1"/>
  <c r="N22" i="38"/>
  <c r="N48" i="38" s="1"/>
  <c r="R22" i="38"/>
  <c r="R48" i="38" s="1"/>
  <c r="M22" i="38"/>
  <c r="M48" i="38" s="1"/>
  <c r="G48" i="38"/>
  <c r="Q22" i="38"/>
  <c r="Q48" i="38" s="1"/>
  <c r="O22" i="38"/>
  <c r="O48" i="38" s="1"/>
  <c r="H22" i="38"/>
  <c r="H48" i="38" s="1"/>
  <c r="K22" i="38"/>
  <c r="K48" i="38" s="1"/>
  <c r="J22" i="38"/>
  <c r="J48" i="38" s="1"/>
  <c r="O21" i="38"/>
  <c r="O47" i="38" s="1"/>
  <c r="Q21" i="38"/>
  <c r="Q47" i="38" s="1"/>
  <c r="M21" i="38"/>
  <c r="M47" i="38" s="1"/>
  <c r="K21" i="37"/>
  <c r="K79" i="37" s="1"/>
  <c r="I21" i="38"/>
  <c r="I47" i="38" s="1"/>
  <c r="G47" i="38"/>
  <c r="R21" i="38"/>
  <c r="R47" i="38" s="1"/>
  <c r="R21" i="37"/>
  <c r="R47" i="37" s="1"/>
  <c r="H21" i="38"/>
  <c r="H47" i="38" s="1"/>
  <c r="L21" i="38"/>
  <c r="L47" i="38" s="1"/>
  <c r="N21" i="38"/>
  <c r="N47" i="38" s="1"/>
  <c r="K21" i="38"/>
  <c r="K47" i="38" s="1"/>
  <c r="N21" i="37"/>
  <c r="N47" i="37" s="1"/>
  <c r="J21" i="38"/>
  <c r="J47" i="38" s="1"/>
  <c r="I21" i="37"/>
  <c r="I47" i="37" s="1"/>
  <c r="L19" i="38"/>
  <c r="J19" i="38"/>
  <c r="P19" i="38"/>
  <c r="M19" i="38"/>
  <c r="G76" i="38"/>
  <c r="O19" i="38"/>
  <c r="N19" i="38"/>
  <c r="R19" i="38"/>
  <c r="Q19" i="38"/>
  <c r="G45" i="38"/>
  <c r="K19" i="38"/>
  <c r="I19" i="38"/>
  <c r="Q47" i="37"/>
  <c r="Q79" i="37"/>
  <c r="K38" i="35"/>
  <c r="H39" i="36"/>
  <c r="H34" i="36"/>
  <c r="H36" i="36" s="1"/>
  <c r="H38" i="36"/>
  <c r="H41" i="36"/>
  <c r="H42" i="36"/>
  <c r="H40" i="36"/>
  <c r="O39" i="36"/>
  <c r="O41" i="36"/>
  <c r="O34" i="36"/>
  <c r="O36" i="36" s="1"/>
  <c r="O40" i="36"/>
  <c r="O38" i="36"/>
  <c r="O42" i="36"/>
  <c r="K39" i="36"/>
  <c r="K40" i="36"/>
  <c r="K34" i="36"/>
  <c r="K36" i="36" s="1"/>
  <c r="K38" i="36"/>
  <c r="K42" i="36"/>
  <c r="K41" i="36"/>
  <c r="G78" i="37"/>
  <c r="K20" i="37"/>
  <c r="P20" i="37"/>
  <c r="L20" i="37"/>
  <c r="G46" i="37"/>
  <c r="R20" i="37"/>
  <c r="J20" i="37"/>
  <c r="M20" i="37"/>
  <c r="I20" i="37"/>
  <c r="N20" i="37"/>
  <c r="O20" i="37"/>
  <c r="Q20" i="37"/>
  <c r="I39" i="36"/>
  <c r="I34" i="36"/>
  <c r="I36" i="36" s="1"/>
  <c r="I42" i="36"/>
  <c r="I41" i="36"/>
  <c r="I40" i="36"/>
  <c r="I38" i="36"/>
  <c r="R20" i="38"/>
  <c r="G77" i="38"/>
  <c r="P20" i="38"/>
  <c r="N20" i="38"/>
  <c r="O20" i="38"/>
  <c r="G46" i="38"/>
  <c r="J20" i="38"/>
  <c r="L20" i="38"/>
  <c r="M20" i="38"/>
  <c r="K20" i="38"/>
  <c r="Q20" i="38"/>
  <c r="I20" i="38"/>
  <c r="R39" i="36"/>
  <c r="R34" i="36"/>
  <c r="R36" i="36" s="1"/>
  <c r="R38" i="36"/>
  <c r="R41" i="36"/>
  <c r="R42" i="36"/>
  <c r="R40" i="36"/>
  <c r="L38" i="35"/>
  <c r="J39" i="36"/>
  <c r="J34" i="36"/>
  <c r="J36" i="36" s="1"/>
  <c r="J38" i="36"/>
  <c r="J40" i="36"/>
  <c r="J42" i="36"/>
  <c r="J41" i="36"/>
  <c r="G80" i="37"/>
  <c r="L22" i="37"/>
  <c r="N22" i="37"/>
  <c r="O22" i="37"/>
  <c r="P22" i="37"/>
  <c r="K22" i="37"/>
  <c r="M22" i="37"/>
  <c r="Q22" i="37"/>
  <c r="R22" i="37"/>
  <c r="G48" i="37"/>
  <c r="I22" i="37"/>
  <c r="J22" i="37"/>
  <c r="G36" i="36"/>
  <c r="N39" i="36"/>
  <c r="N34" i="36"/>
  <c r="N36" i="36" s="1"/>
  <c r="N41" i="36"/>
  <c r="N40" i="36"/>
  <c r="N38" i="36"/>
  <c r="N42" i="36"/>
  <c r="G76" i="37"/>
  <c r="R18" i="37"/>
  <c r="I18" i="37"/>
  <c r="J18" i="37"/>
  <c r="G52" i="37"/>
  <c r="N18" i="37"/>
  <c r="G51" i="37"/>
  <c r="P18" i="37"/>
  <c r="K18" i="37"/>
  <c r="M18" i="37"/>
  <c r="G44" i="37"/>
  <c r="L18" i="37"/>
  <c r="G54" i="37"/>
  <c r="G53" i="37"/>
  <c r="O18" i="37"/>
  <c r="Q18" i="37"/>
  <c r="K18" i="38"/>
  <c r="J18" i="38"/>
  <c r="L18" i="38"/>
  <c r="G75" i="38"/>
  <c r="O18" i="38"/>
  <c r="I18" i="38"/>
  <c r="G53" i="38"/>
  <c r="R18" i="38"/>
  <c r="N18" i="38"/>
  <c r="Q18" i="38"/>
  <c r="P18" i="38"/>
  <c r="G51" i="38"/>
  <c r="G44" i="38"/>
  <c r="M18" i="38"/>
  <c r="G52" i="38"/>
  <c r="G54" i="38"/>
  <c r="P39" i="36"/>
  <c r="P41" i="36"/>
  <c r="P42" i="36"/>
  <c r="P40" i="36"/>
  <c r="P34" i="36"/>
  <c r="P36" i="36" s="1"/>
  <c r="P38" i="36"/>
  <c r="L39" i="36"/>
  <c r="L41" i="36"/>
  <c r="L38" i="36"/>
  <c r="L40" i="36"/>
  <c r="L34" i="36"/>
  <c r="L36" i="36" s="1"/>
  <c r="L42" i="36"/>
  <c r="F35" i="36"/>
  <c r="G77" i="37"/>
  <c r="P19" i="37"/>
  <c r="Q19" i="37"/>
  <c r="G45" i="37"/>
  <c r="I19" i="37"/>
  <c r="J19" i="37"/>
  <c r="K19" i="37"/>
  <c r="L19" i="37"/>
  <c r="N19" i="37"/>
  <c r="O19" i="37"/>
  <c r="M19" i="37"/>
  <c r="R19" i="37"/>
  <c r="Q39" i="36"/>
  <c r="Q40" i="36"/>
  <c r="Q41" i="36"/>
  <c r="Q34" i="36"/>
  <c r="Q36" i="36" s="1"/>
  <c r="Q42" i="36"/>
  <c r="Q38" i="36"/>
  <c r="M39" i="36"/>
  <c r="M40" i="36"/>
  <c r="M41" i="36"/>
  <c r="M34" i="36"/>
  <c r="M36" i="36" s="1"/>
  <c r="M38" i="36"/>
  <c r="M42" i="36"/>
  <c r="D18" i="19"/>
  <c r="I18" i="19"/>
  <c r="E18" i="23"/>
  <c r="F18" i="23" s="1"/>
  <c r="D18" i="23"/>
  <c r="D20" i="21"/>
  <c r="I19" i="21"/>
  <c r="D19" i="20"/>
  <c r="I18" i="20"/>
  <c r="E18" i="22"/>
  <c r="F18" i="22" s="1"/>
  <c r="D18" i="22"/>
  <c r="T38" i="30" l="1"/>
  <c r="J40" i="30"/>
  <c r="I30" i="53" s="1"/>
  <c r="I45" i="53" s="1"/>
  <c r="I59" i="53" s="1"/>
  <c r="L40" i="30"/>
  <c r="K30" i="53" s="1"/>
  <c r="K45" i="53" s="1"/>
  <c r="K59" i="53" s="1"/>
  <c r="R40" i="30"/>
  <c r="Q30" i="53" s="1"/>
  <c r="Q45" i="53" s="1"/>
  <c r="Q59" i="53" s="1"/>
  <c r="N40" i="30"/>
  <c r="M30" i="53" s="1"/>
  <c r="M45" i="53" s="1"/>
  <c r="M59" i="53" s="1"/>
  <c r="K40" i="30"/>
  <c r="J30" i="53" s="1"/>
  <c r="J45" i="53" s="1"/>
  <c r="J59" i="53" s="1"/>
  <c r="H40" i="30"/>
  <c r="I40" i="30"/>
  <c r="H30" i="53" s="1"/>
  <c r="H45" i="53" s="1"/>
  <c r="H59" i="53" s="1"/>
  <c r="O40" i="30"/>
  <c r="N30" i="53" s="1"/>
  <c r="N45" i="53" s="1"/>
  <c r="N59" i="53" s="1"/>
  <c r="M40" i="30"/>
  <c r="L30" i="53" s="1"/>
  <c r="L45" i="53" s="1"/>
  <c r="L59" i="53" s="1"/>
  <c r="Q40" i="30"/>
  <c r="P30" i="53" s="1"/>
  <c r="P45" i="53" s="1"/>
  <c r="P59" i="53" s="1"/>
  <c r="P40" i="30"/>
  <c r="O30" i="53" s="1"/>
  <c r="O45" i="53" s="1"/>
  <c r="O59" i="53" s="1"/>
  <c r="K14" i="53"/>
  <c r="K123" i="53" s="1"/>
  <c r="L48" i="36"/>
  <c r="G47" i="36"/>
  <c r="G48" i="36"/>
  <c r="L14" i="53"/>
  <c r="L123" i="53" s="1"/>
  <c r="M48" i="36"/>
  <c r="J14" i="53"/>
  <c r="J123" i="53" s="1"/>
  <c r="K48" i="36"/>
  <c r="P14" i="53"/>
  <c r="P123" i="53" s="1"/>
  <c r="Q48" i="36"/>
  <c r="I14" i="53"/>
  <c r="I123" i="53" s="1"/>
  <c r="J48" i="36"/>
  <c r="O14" i="53"/>
  <c r="O123" i="53" s="1"/>
  <c r="P48" i="36"/>
  <c r="N14" i="53"/>
  <c r="N123" i="53" s="1"/>
  <c r="O48" i="36"/>
  <c r="Q14" i="53"/>
  <c r="Q123" i="53" s="1"/>
  <c r="R48" i="36"/>
  <c r="H14" i="53"/>
  <c r="H123" i="53" s="1"/>
  <c r="I48" i="36"/>
  <c r="M14" i="53"/>
  <c r="M123" i="53" s="1"/>
  <c r="N48" i="36"/>
  <c r="H48" i="36"/>
  <c r="F38" i="30"/>
  <c r="F20" i="52"/>
  <c r="F78" i="52" s="1"/>
  <c r="F21" i="52"/>
  <c r="F79" i="52" s="1"/>
  <c r="H77" i="52"/>
  <c r="H45" i="52"/>
  <c r="R80" i="52"/>
  <c r="R48" i="52"/>
  <c r="O46" i="52"/>
  <c r="O78" i="52"/>
  <c r="J47" i="52"/>
  <c r="J79" i="52"/>
  <c r="P46" i="52"/>
  <c r="P78" i="52"/>
  <c r="K79" i="52"/>
  <c r="K47" i="52"/>
  <c r="F18" i="52"/>
  <c r="F76" i="52" s="1"/>
  <c r="I53" i="52"/>
  <c r="I51" i="52"/>
  <c r="I76" i="52"/>
  <c r="I54" i="52"/>
  <c r="I52" i="52"/>
  <c r="I44" i="52"/>
  <c r="P45" i="52"/>
  <c r="P77" i="52"/>
  <c r="J52" i="52"/>
  <c r="J51" i="52"/>
  <c r="J76" i="52"/>
  <c r="J44" i="52"/>
  <c r="J53" i="52"/>
  <c r="J54" i="52"/>
  <c r="Q77" i="52"/>
  <c r="Q45" i="52"/>
  <c r="J80" i="52"/>
  <c r="J48" i="52"/>
  <c r="Q46" i="52"/>
  <c r="Q78" i="52"/>
  <c r="P53" i="52"/>
  <c r="P76" i="52"/>
  <c r="P51" i="52"/>
  <c r="P52" i="52"/>
  <c r="P44" i="52"/>
  <c r="P54" i="52"/>
  <c r="R77" i="52"/>
  <c r="R45" i="52"/>
  <c r="H80" i="52"/>
  <c r="H48" i="52"/>
  <c r="R46" i="52"/>
  <c r="R78" i="52"/>
  <c r="I80" i="52"/>
  <c r="I48" i="52"/>
  <c r="J77" i="52"/>
  <c r="J45" i="52"/>
  <c r="M80" i="52"/>
  <c r="M48" i="52"/>
  <c r="H47" i="52"/>
  <c r="H79" i="52"/>
  <c r="K51" i="52"/>
  <c r="K44" i="52"/>
  <c r="K76" i="52"/>
  <c r="K53" i="52"/>
  <c r="K54" i="52"/>
  <c r="K52" i="52"/>
  <c r="H44" i="51"/>
  <c r="H76" i="51"/>
  <c r="H45" i="51"/>
  <c r="H77" i="51"/>
  <c r="K45" i="52"/>
  <c r="K77" i="52"/>
  <c r="K80" i="52"/>
  <c r="K48" i="52"/>
  <c r="M47" i="52"/>
  <c r="M79" i="52"/>
  <c r="H44" i="52"/>
  <c r="H53" i="52"/>
  <c r="H52" i="52"/>
  <c r="H54" i="52"/>
  <c r="H51" i="52"/>
  <c r="H76" i="52"/>
  <c r="L77" i="52"/>
  <c r="L45" i="52"/>
  <c r="L80" i="52"/>
  <c r="L48" i="52"/>
  <c r="J78" i="52"/>
  <c r="J46" i="52"/>
  <c r="N79" i="52"/>
  <c r="N47" i="52"/>
  <c r="G49" i="52"/>
  <c r="G59" i="52" s="1"/>
  <c r="G61" i="52" s="1"/>
  <c r="M45" i="52"/>
  <c r="M77" i="52"/>
  <c r="O80" i="52"/>
  <c r="O48" i="52"/>
  <c r="K78" i="52"/>
  <c r="K46" i="52"/>
  <c r="O47" i="52"/>
  <c r="O79" i="52"/>
  <c r="N45" i="52"/>
  <c r="N77" i="52"/>
  <c r="L47" i="52"/>
  <c r="L79" i="52"/>
  <c r="O45" i="52"/>
  <c r="O77" i="52"/>
  <c r="L78" i="52"/>
  <c r="L46" i="52"/>
  <c r="P47" i="52"/>
  <c r="P79" i="52"/>
  <c r="Q47" i="52"/>
  <c r="Q79" i="52"/>
  <c r="F22" i="52"/>
  <c r="F80" i="52" s="1"/>
  <c r="H78" i="52"/>
  <c r="H46" i="52"/>
  <c r="R79" i="52"/>
  <c r="R47" i="52"/>
  <c r="L76" i="52"/>
  <c r="L51" i="52"/>
  <c r="L54" i="52"/>
  <c r="L44" i="52"/>
  <c r="L52" i="52"/>
  <c r="L53" i="52"/>
  <c r="N80" i="52"/>
  <c r="N48" i="52"/>
  <c r="I78" i="52"/>
  <c r="I46" i="52"/>
  <c r="N53" i="52"/>
  <c r="N76" i="52"/>
  <c r="N51" i="52"/>
  <c r="N44" i="52"/>
  <c r="N52" i="52"/>
  <c r="N54" i="52"/>
  <c r="R53" i="52"/>
  <c r="R76" i="52"/>
  <c r="R54" i="52"/>
  <c r="R52" i="52"/>
  <c r="R44" i="52"/>
  <c r="R51" i="52"/>
  <c r="O76" i="52"/>
  <c r="O44" i="52"/>
  <c r="O53" i="52"/>
  <c r="O54" i="52"/>
  <c r="O51" i="52"/>
  <c r="O52" i="52"/>
  <c r="F19" i="52"/>
  <c r="F77" i="52" s="1"/>
  <c r="Q80" i="52"/>
  <c r="Q48" i="52"/>
  <c r="M46" i="52"/>
  <c r="M78" i="52"/>
  <c r="Q76" i="52"/>
  <c r="Q44" i="52"/>
  <c r="Q53" i="52"/>
  <c r="Q52" i="52"/>
  <c r="Q51" i="52"/>
  <c r="Q54" i="52"/>
  <c r="I77" i="52"/>
  <c r="I45" i="52"/>
  <c r="M54" i="52"/>
  <c r="M44" i="52"/>
  <c r="M76" i="52"/>
  <c r="M53" i="52"/>
  <c r="M51" i="52"/>
  <c r="M52" i="52"/>
  <c r="P80" i="52"/>
  <c r="P48" i="52"/>
  <c r="N46" i="52"/>
  <c r="N78" i="52"/>
  <c r="I47" i="52"/>
  <c r="I79" i="52"/>
  <c r="O79" i="37"/>
  <c r="L79" i="37"/>
  <c r="M79" i="37"/>
  <c r="H47" i="37"/>
  <c r="P79" i="37"/>
  <c r="J79" i="37"/>
  <c r="F48" i="38"/>
  <c r="K47" i="37"/>
  <c r="F47" i="38"/>
  <c r="F21" i="37"/>
  <c r="F79" i="37" s="1"/>
  <c r="R79" i="37"/>
  <c r="I79" i="37"/>
  <c r="N79" i="37"/>
  <c r="F19" i="38"/>
  <c r="F76" i="38" s="1"/>
  <c r="F20" i="38"/>
  <c r="F77" i="38" s="1"/>
  <c r="F40" i="36"/>
  <c r="F42" i="36"/>
  <c r="F39" i="36"/>
  <c r="F41" i="36"/>
  <c r="R76" i="37"/>
  <c r="R54" i="37"/>
  <c r="R44" i="37"/>
  <c r="R53" i="37"/>
  <c r="R51" i="37"/>
  <c r="R52" i="37"/>
  <c r="H45" i="37"/>
  <c r="H77" i="37"/>
  <c r="O76" i="37"/>
  <c r="O54" i="37"/>
  <c r="O52" i="37"/>
  <c r="O51" i="37"/>
  <c r="O53" i="37"/>
  <c r="O44" i="37"/>
  <c r="I46" i="37"/>
  <c r="I78" i="37"/>
  <c r="N76" i="38"/>
  <c r="N45" i="38"/>
  <c r="Q45" i="37"/>
  <c r="Q77" i="37"/>
  <c r="N75" i="38"/>
  <c r="N44" i="38"/>
  <c r="N53" i="38"/>
  <c r="N54" i="38"/>
  <c r="N52" i="38"/>
  <c r="O76" i="38"/>
  <c r="O45" i="38"/>
  <c r="P45" i="37"/>
  <c r="P77" i="37"/>
  <c r="P77" i="38"/>
  <c r="P46" i="38"/>
  <c r="R46" i="37"/>
  <c r="R78" i="37"/>
  <c r="M76" i="38"/>
  <c r="M45" i="38"/>
  <c r="M76" i="37"/>
  <c r="M54" i="37"/>
  <c r="M53" i="37"/>
  <c r="M51" i="37"/>
  <c r="M52" i="37"/>
  <c r="M44" i="37"/>
  <c r="N48" i="37"/>
  <c r="N80" i="37"/>
  <c r="P76" i="38"/>
  <c r="P45" i="38"/>
  <c r="K76" i="37"/>
  <c r="K53" i="37"/>
  <c r="K52" i="37"/>
  <c r="K51" i="37"/>
  <c r="K44" i="37"/>
  <c r="K54" i="37"/>
  <c r="H76" i="38"/>
  <c r="H45" i="38"/>
  <c r="R45" i="37"/>
  <c r="R77" i="37"/>
  <c r="P76" i="37"/>
  <c r="P44" i="37"/>
  <c r="P52" i="37"/>
  <c r="P51" i="37"/>
  <c r="P54" i="37"/>
  <c r="P53" i="37"/>
  <c r="P46" i="37"/>
  <c r="P78" i="37"/>
  <c r="J76" i="38"/>
  <c r="J45" i="38"/>
  <c r="K75" i="38"/>
  <c r="K51" i="38"/>
  <c r="K53" i="38"/>
  <c r="K44" i="38"/>
  <c r="K54" i="38"/>
  <c r="K52" i="38"/>
  <c r="H77" i="38"/>
  <c r="H46" i="38"/>
  <c r="K76" i="38"/>
  <c r="K45" i="38"/>
  <c r="G49" i="38"/>
  <c r="I76" i="37"/>
  <c r="I52" i="37"/>
  <c r="I54" i="37"/>
  <c r="I51" i="37"/>
  <c r="I53" i="37"/>
  <c r="I44" i="37"/>
  <c r="Q46" i="37"/>
  <c r="Q78" i="37"/>
  <c r="O46" i="37"/>
  <c r="O78" i="37"/>
  <c r="Q76" i="38"/>
  <c r="Q45" i="38"/>
  <c r="Q76" i="37"/>
  <c r="Q53" i="37"/>
  <c r="Q44" i="37"/>
  <c r="Q52" i="37"/>
  <c r="Q54" i="37"/>
  <c r="Q51" i="37"/>
  <c r="M48" i="37"/>
  <c r="M80" i="37"/>
  <c r="O54" i="38"/>
  <c r="O77" i="38"/>
  <c r="O46" i="38"/>
  <c r="R75" i="38"/>
  <c r="R53" i="38"/>
  <c r="R51" i="38"/>
  <c r="R44" i="38"/>
  <c r="R52" i="38"/>
  <c r="R54" i="38"/>
  <c r="K48" i="37"/>
  <c r="K80" i="37"/>
  <c r="N51" i="38"/>
  <c r="N77" i="38"/>
  <c r="N46" i="38"/>
  <c r="M46" i="37"/>
  <c r="M78" i="37"/>
  <c r="F19" i="37"/>
  <c r="F77" i="37" s="1"/>
  <c r="L76" i="37"/>
  <c r="L54" i="37"/>
  <c r="L52" i="37"/>
  <c r="L51" i="37"/>
  <c r="L44" i="37"/>
  <c r="L53" i="37"/>
  <c r="L48" i="37"/>
  <c r="L80" i="37"/>
  <c r="R77" i="38"/>
  <c r="R46" i="38"/>
  <c r="L46" i="37"/>
  <c r="L78" i="37"/>
  <c r="L75" i="38"/>
  <c r="L44" i="38"/>
  <c r="L51" i="38"/>
  <c r="L54" i="38"/>
  <c r="L52" i="38"/>
  <c r="K46" i="37"/>
  <c r="K78" i="37"/>
  <c r="L76" i="38"/>
  <c r="L45" i="38"/>
  <c r="L45" i="37"/>
  <c r="L77" i="37"/>
  <c r="J48" i="37"/>
  <c r="J80" i="37"/>
  <c r="I76" i="38"/>
  <c r="I45" i="38"/>
  <c r="I45" i="37"/>
  <c r="I77" i="37"/>
  <c r="H48" i="37"/>
  <c r="H80" i="37"/>
  <c r="L53" i="38"/>
  <c r="L77" i="38"/>
  <c r="L46" i="38"/>
  <c r="P54" i="38"/>
  <c r="P75" i="38"/>
  <c r="P53" i="38"/>
  <c r="P51" i="38"/>
  <c r="P44" i="38"/>
  <c r="P52" i="38"/>
  <c r="R48" i="37"/>
  <c r="R80" i="37"/>
  <c r="F18" i="37"/>
  <c r="F76" i="37" s="1"/>
  <c r="H46" i="37"/>
  <c r="H78" i="37"/>
  <c r="P48" i="37"/>
  <c r="P80" i="37"/>
  <c r="J46" i="37"/>
  <c r="J78" i="37"/>
  <c r="G49" i="37"/>
  <c r="O48" i="37"/>
  <c r="O80" i="37"/>
  <c r="I75" i="38"/>
  <c r="I51" i="38"/>
  <c r="I44" i="38"/>
  <c r="I53" i="38"/>
  <c r="I54" i="38"/>
  <c r="I52" i="38"/>
  <c r="O75" i="38"/>
  <c r="O44" i="38"/>
  <c r="O53" i="38"/>
  <c r="O51" i="38"/>
  <c r="O52" i="38"/>
  <c r="F22" i="37"/>
  <c r="F80" i="37" s="1"/>
  <c r="O45" i="37"/>
  <c r="O77" i="37"/>
  <c r="J75" i="38"/>
  <c r="J51" i="38"/>
  <c r="J44" i="38"/>
  <c r="J53" i="38"/>
  <c r="J52" i="38"/>
  <c r="J54" i="38"/>
  <c r="N76" i="37"/>
  <c r="N54" i="37"/>
  <c r="N53" i="37"/>
  <c r="N51" i="37"/>
  <c r="N52" i="37"/>
  <c r="N44" i="37"/>
  <c r="F34" i="36"/>
  <c r="F36" i="36" s="1"/>
  <c r="I10" i="29" s="1"/>
  <c r="I77" i="38"/>
  <c r="I46" i="38"/>
  <c r="F20" i="37"/>
  <c r="F78" i="37" s="1"/>
  <c r="K77" i="38"/>
  <c r="K46" i="38"/>
  <c r="K45" i="37"/>
  <c r="K77" i="37"/>
  <c r="M75" i="38"/>
  <c r="M51" i="38"/>
  <c r="M44" i="38"/>
  <c r="M53" i="38"/>
  <c r="M52" i="38"/>
  <c r="M54" i="38"/>
  <c r="J76" i="37"/>
  <c r="J53" i="37"/>
  <c r="J51" i="37"/>
  <c r="J54" i="37"/>
  <c r="J44" i="37"/>
  <c r="J52" i="37"/>
  <c r="I48" i="37"/>
  <c r="I80" i="37"/>
  <c r="J45" i="37"/>
  <c r="J77" i="37"/>
  <c r="M77" i="38"/>
  <c r="M46" i="38"/>
  <c r="J77" i="38"/>
  <c r="J46" i="38"/>
  <c r="N46" i="37"/>
  <c r="N78" i="37"/>
  <c r="R76" i="38"/>
  <c r="R45" i="38"/>
  <c r="Q75" i="38"/>
  <c r="Q44" i="38"/>
  <c r="Q51" i="38"/>
  <c r="Q53" i="38"/>
  <c r="Q54" i="38"/>
  <c r="Q52" i="38"/>
  <c r="Q48" i="37"/>
  <c r="Q80" i="37"/>
  <c r="F18" i="38"/>
  <c r="F75" i="38" s="1"/>
  <c r="F38" i="36"/>
  <c r="M45" i="37"/>
  <c r="M77" i="37"/>
  <c r="N45" i="37"/>
  <c r="N77" i="37"/>
  <c r="H75" i="38"/>
  <c r="H51" i="38"/>
  <c r="H44" i="38"/>
  <c r="H53" i="38"/>
  <c r="H52" i="38"/>
  <c r="H54" i="38"/>
  <c r="H76" i="37"/>
  <c r="H44" i="37"/>
  <c r="H51" i="37"/>
  <c r="H53" i="37"/>
  <c r="H52" i="37"/>
  <c r="H54" i="37"/>
  <c r="Q77" i="38"/>
  <c r="Q46" i="38"/>
  <c r="E19" i="22"/>
  <c r="F19" i="22" s="1"/>
  <c r="D19" i="22"/>
  <c r="D20" i="20"/>
  <c r="I19" i="20"/>
  <c r="D21" i="21"/>
  <c r="I20" i="21"/>
  <c r="D19" i="23"/>
  <c r="E19" i="23"/>
  <c r="F19" i="23" s="1"/>
  <c r="I19" i="19"/>
  <c r="D19" i="19"/>
  <c r="R59" i="53" l="1"/>
  <c r="G30" i="53"/>
  <c r="G45" i="53" s="1"/>
  <c r="T40" i="30"/>
  <c r="R14" i="53"/>
  <c r="R123" i="53" s="1"/>
  <c r="I47" i="36"/>
  <c r="I49" i="36" s="1"/>
  <c r="O47" i="36"/>
  <c r="O49" i="36" s="1"/>
  <c r="N29" i="53" s="1"/>
  <c r="N44" i="53" s="1"/>
  <c r="N58" i="53" s="1"/>
  <c r="Q47" i="36"/>
  <c r="Q49" i="36" s="1"/>
  <c r="P29" i="53" s="1"/>
  <c r="P44" i="53" s="1"/>
  <c r="P58" i="53" s="1"/>
  <c r="H47" i="36"/>
  <c r="H49" i="36" s="1"/>
  <c r="P47" i="36"/>
  <c r="P49" i="36" s="1"/>
  <c r="O29" i="53" s="1"/>
  <c r="O44" i="53" s="1"/>
  <c r="O58" i="53" s="1"/>
  <c r="R47" i="36"/>
  <c r="R49" i="36" s="1"/>
  <c r="Q29" i="53" s="1"/>
  <c r="Q44" i="53" s="1"/>
  <c r="Q58" i="53" s="1"/>
  <c r="M47" i="36"/>
  <c r="M49" i="36" s="1"/>
  <c r="L29" i="53" s="1"/>
  <c r="L44" i="53" s="1"/>
  <c r="L58" i="53" s="1"/>
  <c r="K47" i="36"/>
  <c r="K49" i="36" s="1"/>
  <c r="J29" i="53" s="1"/>
  <c r="J44" i="53" s="1"/>
  <c r="J58" i="53" s="1"/>
  <c r="J47" i="36"/>
  <c r="J49" i="36" s="1"/>
  <c r="I29" i="53" s="1"/>
  <c r="I44" i="53" s="1"/>
  <c r="I58" i="53" s="1"/>
  <c r="L47" i="36"/>
  <c r="L49" i="36" s="1"/>
  <c r="K29" i="53" s="1"/>
  <c r="K44" i="53" s="1"/>
  <c r="K58" i="53" s="1"/>
  <c r="N47" i="36"/>
  <c r="N49" i="36" s="1"/>
  <c r="M29" i="53" s="1"/>
  <c r="M44" i="53" s="1"/>
  <c r="M58" i="53" s="1"/>
  <c r="G49" i="36"/>
  <c r="G50" i="36" s="1"/>
  <c r="G53" i="36" s="1"/>
  <c r="F48" i="36"/>
  <c r="G59" i="37"/>
  <c r="G60" i="37"/>
  <c r="G60" i="38"/>
  <c r="G59" i="38"/>
  <c r="P59" i="52"/>
  <c r="P61" i="52" s="1"/>
  <c r="O27" i="53" s="1"/>
  <c r="M59" i="52"/>
  <c r="M61" i="52" s="1"/>
  <c r="L27" i="53" s="1"/>
  <c r="O59" i="52"/>
  <c r="O61" i="52" s="1"/>
  <c r="N27" i="53" s="1"/>
  <c r="I59" i="52"/>
  <c r="I61" i="52" s="1"/>
  <c r="H27" i="53" s="1"/>
  <c r="N59" i="52"/>
  <c r="N61" i="52" s="1"/>
  <c r="M27" i="53" s="1"/>
  <c r="K59" i="52"/>
  <c r="K61" i="52" s="1"/>
  <c r="J27" i="53" s="1"/>
  <c r="H59" i="52"/>
  <c r="H61" i="52" s="1"/>
  <c r="G27" i="53" s="1"/>
  <c r="R59" i="52"/>
  <c r="R61" i="52" s="1"/>
  <c r="Q27" i="53" s="1"/>
  <c r="J59" i="52"/>
  <c r="J61" i="52" s="1"/>
  <c r="I27" i="53" s="1"/>
  <c r="L59" i="52"/>
  <c r="L61" i="52" s="1"/>
  <c r="K27" i="53" s="1"/>
  <c r="Q59" i="52"/>
  <c r="Q61" i="52" s="1"/>
  <c r="P27" i="53" s="1"/>
  <c r="Q49" i="52"/>
  <c r="P12" i="53" s="1"/>
  <c r="N49" i="52"/>
  <c r="M12" i="53" s="1"/>
  <c r="F46" i="52"/>
  <c r="F48" i="52"/>
  <c r="P49" i="52"/>
  <c r="O12" i="53" s="1"/>
  <c r="L49" i="52"/>
  <c r="K12" i="53" s="1"/>
  <c r="F51" i="52"/>
  <c r="I49" i="52"/>
  <c r="H12" i="53" s="1"/>
  <c r="F52" i="52"/>
  <c r="H49" i="52"/>
  <c r="R49" i="52"/>
  <c r="Q12" i="53" s="1"/>
  <c r="M49" i="52"/>
  <c r="L12" i="53" s="1"/>
  <c r="F53" i="52"/>
  <c r="F45" i="52"/>
  <c r="F47" i="52"/>
  <c r="F44" i="52"/>
  <c r="G62" i="52"/>
  <c r="G65" i="52" s="1"/>
  <c r="O49" i="52"/>
  <c r="N12" i="53" s="1"/>
  <c r="K49" i="52"/>
  <c r="J12" i="53" s="1"/>
  <c r="F54" i="52"/>
  <c r="J49" i="52"/>
  <c r="I12" i="53" s="1"/>
  <c r="F47" i="37"/>
  <c r="F54" i="38"/>
  <c r="F45" i="38"/>
  <c r="F53" i="38"/>
  <c r="I49" i="37"/>
  <c r="F51" i="37"/>
  <c r="H49" i="37"/>
  <c r="F52" i="37"/>
  <c r="F45" i="37"/>
  <c r="L49" i="38"/>
  <c r="F46" i="38"/>
  <c r="N49" i="37"/>
  <c r="F48" i="37"/>
  <c r="F54" i="37"/>
  <c r="F46" i="37"/>
  <c r="O49" i="37"/>
  <c r="F53" i="37"/>
  <c r="P49" i="37"/>
  <c r="P49" i="38"/>
  <c r="F52" i="38"/>
  <c r="F44" i="38"/>
  <c r="Q49" i="38"/>
  <c r="K49" i="38"/>
  <c r="J49" i="38"/>
  <c r="R49" i="38"/>
  <c r="L49" i="37"/>
  <c r="R49" i="37"/>
  <c r="M49" i="37"/>
  <c r="F51" i="38"/>
  <c r="M49" i="38"/>
  <c r="N49" i="38"/>
  <c r="K49" i="37"/>
  <c r="I49" i="38"/>
  <c r="J49" i="37"/>
  <c r="O49" i="38"/>
  <c r="Q49" i="37"/>
  <c r="F44" i="37"/>
  <c r="H49" i="38"/>
  <c r="I20" i="19"/>
  <c r="D20" i="19"/>
  <c r="E20" i="23"/>
  <c r="F20" i="23" s="1"/>
  <c r="D20" i="23"/>
  <c r="I21" i="21"/>
  <c r="D22" i="21"/>
  <c r="D21" i="20"/>
  <c r="I20" i="20"/>
  <c r="D20" i="22"/>
  <c r="E20" i="22"/>
  <c r="F20" i="22" s="1"/>
  <c r="R50" i="36" l="1"/>
  <c r="R53" i="36" s="1"/>
  <c r="N50" i="36"/>
  <c r="N53" i="36" s="1"/>
  <c r="K50" i="36"/>
  <c r="K53" i="36" s="1"/>
  <c r="M50" i="36"/>
  <c r="M53" i="36" s="1"/>
  <c r="L50" i="36"/>
  <c r="L53" i="36" s="1"/>
  <c r="J50" i="36"/>
  <c r="J53" i="36" s="1"/>
  <c r="G29" i="53"/>
  <c r="G44" i="53" s="1"/>
  <c r="H50" i="36"/>
  <c r="H53" i="36" s="1"/>
  <c r="J121" i="53"/>
  <c r="J42" i="53"/>
  <c r="N121" i="53"/>
  <c r="N42" i="53"/>
  <c r="K121" i="53"/>
  <c r="K42" i="53"/>
  <c r="Q62" i="52"/>
  <c r="Q65" i="52" s="1"/>
  <c r="I17" i="53"/>
  <c r="I126" i="53" s="1"/>
  <c r="J60" i="38"/>
  <c r="P121" i="53"/>
  <c r="P42" i="53"/>
  <c r="O50" i="36"/>
  <c r="O53" i="36" s="1"/>
  <c r="H29" i="53"/>
  <c r="H44" i="53" s="1"/>
  <c r="H58" i="53" s="1"/>
  <c r="I50" i="36"/>
  <c r="I53" i="36" s="1"/>
  <c r="O17" i="53"/>
  <c r="O126" i="53" s="1"/>
  <c r="P60" i="38"/>
  <c r="J16" i="53"/>
  <c r="J125" i="53" s="1"/>
  <c r="K60" i="37"/>
  <c r="M17" i="53"/>
  <c r="M126" i="53" s="1"/>
  <c r="N60" i="38"/>
  <c r="I121" i="53"/>
  <c r="I42" i="53"/>
  <c r="F47" i="36"/>
  <c r="L121" i="53"/>
  <c r="L42" i="53"/>
  <c r="Q121" i="53"/>
  <c r="Q42" i="53"/>
  <c r="H17" i="53"/>
  <c r="H126" i="53" s="1"/>
  <c r="I60" i="38"/>
  <c r="N16" i="53"/>
  <c r="N125" i="53" s="1"/>
  <c r="O60" i="37"/>
  <c r="L17" i="53"/>
  <c r="L126" i="53" s="1"/>
  <c r="M60" i="38"/>
  <c r="L59" i="38"/>
  <c r="O59" i="38"/>
  <c r="N59" i="38"/>
  <c r="P59" i="38"/>
  <c r="P61" i="38" s="1"/>
  <c r="O32" i="53" s="1"/>
  <c r="M59" i="38"/>
  <c r="M61" i="38" s="1"/>
  <c r="L32" i="53" s="1"/>
  <c r="R59" i="38"/>
  <c r="R61" i="38" s="1"/>
  <c r="Q32" i="53" s="1"/>
  <c r="Q59" i="38"/>
  <c r="Q61" i="38" s="1"/>
  <c r="P32" i="53" s="1"/>
  <c r="K59" i="38"/>
  <c r="J59" i="38"/>
  <c r="I59" i="38"/>
  <c r="H59" i="38"/>
  <c r="G61" i="38"/>
  <c r="G62" i="38" s="1"/>
  <c r="G65" i="38" s="1"/>
  <c r="J17" i="53"/>
  <c r="J126" i="53" s="1"/>
  <c r="K60" i="38"/>
  <c r="P17" i="53"/>
  <c r="Q60" i="38"/>
  <c r="H121" i="53"/>
  <c r="H42" i="53"/>
  <c r="Q50" i="36"/>
  <c r="Q53" i="36" s="1"/>
  <c r="M121" i="53"/>
  <c r="M42" i="53"/>
  <c r="P16" i="53"/>
  <c r="P125" i="53" s="1"/>
  <c r="Q60" i="37"/>
  <c r="Q61" i="37" s="1"/>
  <c r="P31" i="53" s="1"/>
  <c r="N17" i="53"/>
  <c r="N126" i="53" s="1"/>
  <c r="O60" i="38"/>
  <c r="M16" i="53"/>
  <c r="M125" i="53" s="1"/>
  <c r="N60" i="37"/>
  <c r="Q16" i="53"/>
  <c r="R60" i="37"/>
  <c r="O121" i="53"/>
  <c r="O42" i="53"/>
  <c r="H16" i="53"/>
  <c r="H125" i="53" s="1"/>
  <c r="I60" i="37"/>
  <c r="F59" i="52"/>
  <c r="F61" i="52" s="1"/>
  <c r="K16" i="53"/>
  <c r="K125" i="53" s="1"/>
  <c r="L60" i="37"/>
  <c r="K17" i="53"/>
  <c r="K126" i="53" s="1"/>
  <c r="L60" i="38"/>
  <c r="R59" i="37"/>
  <c r="R61" i="37" s="1"/>
  <c r="Q31" i="53" s="1"/>
  <c r="Q46" i="53" s="1"/>
  <c r="H59" i="37"/>
  <c r="I59" i="37"/>
  <c r="O59" i="37"/>
  <c r="J59" i="37"/>
  <c r="P59" i="37"/>
  <c r="N59" i="37"/>
  <c r="M59" i="37"/>
  <c r="Q59" i="37"/>
  <c r="K59" i="37"/>
  <c r="L59" i="37"/>
  <c r="G61" i="37"/>
  <c r="G62" i="37" s="1"/>
  <c r="G65" i="37" s="1"/>
  <c r="P50" i="36"/>
  <c r="P53" i="36" s="1"/>
  <c r="I16" i="53"/>
  <c r="I125" i="53" s="1"/>
  <c r="J60" i="37"/>
  <c r="J61" i="37" s="1"/>
  <c r="I31" i="53" s="1"/>
  <c r="I46" i="53" s="1"/>
  <c r="O16" i="53"/>
  <c r="O125" i="53" s="1"/>
  <c r="P60" i="37"/>
  <c r="L16" i="53"/>
  <c r="L125" i="53" s="1"/>
  <c r="M60" i="37"/>
  <c r="Q17" i="53"/>
  <c r="Q126" i="53" s="1"/>
  <c r="R60" i="38"/>
  <c r="H60" i="38"/>
  <c r="H60" i="37"/>
  <c r="G42" i="53"/>
  <c r="R12" i="53"/>
  <c r="R121" i="53" s="1"/>
  <c r="R58" i="53"/>
  <c r="K62" i="52"/>
  <c r="K65" i="52" s="1"/>
  <c r="O62" i="52"/>
  <c r="O65" i="52" s="1"/>
  <c r="M62" i="52"/>
  <c r="M65" i="52" s="1"/>
  <c r="N62" i="52"/>
  <c r="N65" i="52" s="1"/>
  <c r="P62" i="52"/>
  <c r="P65" i="52" s="1"/>
  <c r="J62" i="52"/>
  <c r="J65" i="52" s="1"/>
  <c r="F49" i="52"/>
  <c r="I62" i="52"/>
  <c r="I65" i="52" s="1"/>
  <c r="H62" i="52"/>
  <c r="H65" i="52" s="1"/>
  <c r="R62" i="52"/>
  <c r="R65" i="52" s="1"/>
  <c r="L62" i="52"/>
  <c r="L65" i="52" s="1"/>
  <c r="F49" i="38"/>
  <c r="L10" i="29" s="1"/>
  <c r="F49" i="37"/>
  <c r="E21" i="22"/>
  <c r="F21" i="22" s="1"/>
  <c r="D21" i="22"/>
  <c r="I21" i="20"/>
  <c r="D22" i="20"/>
  <c r="I22" i="21"/>
  <c r="D23" i="21"/>
  <c r="E21" i="23"/>
  <c r="F21" i="23" s="1"/>
  <c r="D21" i="23"/>
  <c r="D21" i="19"/>
  <c r="I21" i="19"/>
  <c r="L47" i="53" l="1"/>
  <c r="O47" i="53"/>
  <c r="Q47" i="53"/>
  <c r="J61" i="38"/>
  <c r="I32" i="53" s="1"/>
  <c r="I47" i="53" s="1"/>
  <c r="J62" i="37"/>
  <c r="J65" i="37" s="1"/>
  <c r="K61" i="38"/>
  <c r="J32" i="53" s="1"/>
  <c r="J47" i="53" s="1"/>
  <c r="R62" i="37"/>
  <c r="R65" i="37" s="1"/>
  <c r="F59" i="37"/>
  <c r="F61" i="37" s="1"/>
  <c r="K13" i="29" s="1"/>
  <c r="R17" i="53"/>
  <c r="R126" i="53" s="1"/>
  <c r="K62" i="38"/>
  <c r="K65" i="38" s="1"/>
  <c r="Q62" i="38"/>
  <c r="Q65" i="38" s="1"/>
  <c r="L61" i="38"/>
  <c r="O61" i="38"/>
  <c r="N32" i="53" s="1"/>
  <c r="N47" i="53" s="1"/>
  <c r="I13" i="29"/>
  <c r="I14" i="29" s="1"/>
  <c r="F49" i="36"/>
  <c r="F50" i="36" s="1"/>
  <c r="K61" i="37"/>
  <c r="P46" i="53"/>
  <c r="P47" i="53"/>
  <c r="P126" i="53"/>
  <c r="M61" i="37"/>
  <c r="Q125" i="53"/>
  <c r="L61" i="37"/>
  <c r="P62" i="38"/>
  <c r="P65" i="38" s="1"/>
  <c r="N61" i="37"/>
  <c r="O61" i="37"/>
  <c r="P61" i="37"/>
  <c r="I61" i="37"/>
  <c r="M62" i="38"/>
  <c r="M65" i="38" s="1"/>
  <c r="F59" i="38"/>
  <c r="F61" i="38" s="1"/>
  <c r="L13" i="29" s="1"/>
  <c r="L14" i="29" s="1"/>
  <c r="N61" i="38"/>
  <c r="Q62" i="37"/>
  <c r="Q65" i="37" s="1"/>
  <c r="R62" i="38"/>
  <c r="R65" i="38" s="1"/>
  <c r="R16" i="53"/>
  <c r="R125" i="53" s="1"/>
  <c r="I61" i="38"/>
  <c r="F60" i="38"/>
  <c r="H61" i="38"/>
  <c r="F60" i="37"/>
  <c r="H61" i="37"/>
  <c r="F62" i="52"/>
  <c r="F65" i="52" s="1"/>
  <c r="K10" i="29"/>
  <c r="I22" i="19"/>
  <c r="D22" i="19"/>
  <c r="D22" i="23"/>
  <c r="E22" i="23"/>
  <c r="F22" i="23" s="1"/>
  <c r="D24" i="21"/>
  <c r="I23" i="21"/>
  <c r="D23" i="20"/>
  <c r="I22" i="20"/>
  <c r="E22" i="22"/>
  <c r="F22" i="22" s="1"/>
  <c r="D22" i="22"/>
  <c r="O62" i="38" l="1"/>
  <c r="O65" i="38" s="1"/>
  <c r="F62" i="37"/>
  <c r="F65" i="37" s="1"/>
  <c r="J62" i="38"/>
  <c r="J65" i="38" s="1"/>
  <c r="K14" i="29"/>
  <c r="K32" i="53"/>
  <c r="K47" i="53" s="1"/>
  <c r="L62" i="38"/>
  <c r="L65" i="38" s="1"/>
  <c r="F62" i="38"/>
  <c r="F65" i="38" s="1"/>
  <c r="H32" i="53"/>
  <c r="H47" i="53" s="1"/>
  <c r="I62" i="38"/>
  <c r="I65" i="38" s="1"/>
  <c r="L31" i="53"/>
  <c r="L46" i="53" s="1"/>
  <c r="M62" i="37"/>
  <c r="M65" i="37" s="1"/>
  <c r="J31" i="53"/>
  <c r="J46" i="53" s="1"/>
  <c r="K62" i="37"/>
  <c r="K65" i="37" s="1"/>
  <c r="M31" i="53"/>
  <c r="M46" i="53" s="1"/>
  <c r="N62" i="37"/>
  <c r="N65" i="37" s="1"/>
  <c r="M32" i="53"/>
  <c r="M47" i="53" s="1"/>
  <c r="N62" i="38"/>
  <c r="N65" i="38" s="1"/>
  <c r="H31" i="53"/>
  <c r="H46" i="53" s="1"/>
  <c r="I62" i="37"/>
  <c r="I65" i="37" s="1"/>
  <c r="F58" i="36"/>
  <c r="I16" i="29" s="1"/>
  <c r="I19" i="29" s="1"/>
  <c r="F53" i="36"/>
  <c r="N31" i="53"/>
  <c r="N46" i="53" s="1"/>
  <c r="O62" i="37"/>
  <c r="O65" i="37" s="1"/>
  <c r="K31" i="53"/>
  <c r="K46" i="53" s="1"/>
  <c r="L62" i="37"/>
  <c r="L65" i="37" s="1"/>
  <c r="O31" i="53"/>
  <c r="O46" i="53" s="1"/>
  <c r="P62" i="37"/>
  <c r="P65" i="37" s="1"/>
  <c r="G32" i="53"/>
  <c r="G47" i="53" s="1"/>
  <c r="H62" i="38"/>
  <c r="H65" i="38" s="1"/>
  <c r="G31" i="53"/>
  <c r="H62" i="37"/>
  <c r="H65" i="37" s="1"/>
  <c r="D23" i="22"/>
  <c r="E23" i="22"/>
  <c r="F23" i="22" s="1"/>
  <c r="D24" i="20"/>
  <c r="I23" i="20"/>
  <c r="D25" i="21"/>
  <c r="I24" i="21"/>
  <c r="E23" i="23"/>
  <c r="F23" i="23" s="1"/>
  <c r="D23" i="23"/>
  <c r="G46" i="53" l="1"/>
  <c r="E24" i="23"/>
  <c r="F24" i="23" s="1"/>
  <c r="D24" i="23"/>
  <c r="I25" i="21"/>
  <c r="D26" i="21"/>
  <c r="I26" i="21" s="1"/>
  <c r="D25" i="20"/>
  <c r="I25" i="20" s="1"/>
  <c r="I24" i="20"/>
  <c r="E24" i="22"/>
  <c r="F24" i="22" s="1"/>
  <c r="D24" i="22"/>
  <c r="E25" i="22" l="1"/>
  <c r="F25" i="22" s="1"/>
  <c r="D25" i="22"/>
  <c r="E25" i="23"/>
  <c r="F25" i="23" s="1"/>
  <c r="D25" i="23"/>
  <c r="P30" i="17" l="1"/>
  <c r="P33" i="17" s="1"/>
  <c r="O30" i="17"/>
  <c r="Q5" i="9"/>
  <c r="Q8" i="9"/>
  <c r="R8" i="9" s="1"/>
  <c r="Q12" i="9"/>
  <c r="R12" i="9" s="1"/>
  <c r="O40" i="17"/>
  <c r="N40" i="17"/>
  <c r="M28" i="17"/>
  <c r="M33" i="17" s="1"/>
  <c r="M35" i="17" s="1"/>
  <c r="L28" i="17"/>
  <c r="L33" i="17" s="1"/>
  <c r="L35" i="17" s="1"/>
  <c r="K28" i="17"/>
  <c r="K33" i="17" s="1"/>
  <c r="K35" i="17" s="1"/>
  <c r="J28" i="17"/>
  <c r="J33" i="17" s="1"/>
  <c r="J35" i="17" s="1"/>
  <c r="I28" i="17"/>
  <c r="I33" i="17" s="1"/>
  <c r="I35" i="17" s="1"/>
  <c r="H28" i="17"/>
  <c r="H33" i="17" s="1"/>
  <c r="H35" i="17" s="1"/>
  <c r="G28" i="17"/>
  <c r="G33" i="17" s="1"/>
  <c r="G35" i="17" s="1"/>
  <c r="F28" i="17"/>
  <c r="R12" i="17"/>
  <c r="U12" i="17" s="1"/>
  <c r="S12" i="17"/>
  <c r="V12" i="17" s="1"/>
  <c r="S15" i="16"/>
  <c r="V15" i="16" s="1"/>
  <c r="R14" i="16"/>
  <c r="S14" i="16"/>
  <c r="V14" i="16" s="1"/>
  <c r="R13" i="16"/>
  <c r="S13" i="16"/>
  <c r="V13" i="16" s="1"/>
  <c r="R12" i="16"/>
  <c r="S12" i="16"/>
  <c r="V12" i="16" s="1"/>
  <c r="S17" i="15"/>
  <c r="S15" i="15"/>
  <c r="S14" i="15"/>
  <c r="S13" i="15"/>
  <c r="R28" i="17" l="1"/>
  <c r="F33" i="17"/>
  <c r="O33" i="17"/>
  <c r="O34" i="17" s="1"/>
  <c r="L13" i="46"/>
  <c r="L89" i="46" s="1"/>
  <c r="W18" i="16"/>
  <c r="U12" i="16"/>
  <c r="L14" i="46"/>
  <c r="L90" i="46" s="1"/>
  <c r="W19" i="16"/>
  <c r="U13" i="16"/>
  <c r="L15" i="46"/>
  <c r="L18" i="46" s="1"/>
  <c r="W20" i="16"/>
  <c r="U14" i="16"/>
  <c r="T13" i="15"/>
  <c r="W13" i="15" s="1"/>
  <c r="V13" i="15"/>
  <c r="T15" i="15"/>
  <c r="W15" i="15" s="1"/>
  <c r="V15" i="15"/>
  <c r="T14" i="15"/>
  <c r="W14" i="15" s="1"/>
  <c r="V14" i="15"/>
  <c r="T17" i="15"/>
  <c r="W17" i="15" s="1"/>
  <c r="V17" i="15"/>
  <c r="Q30" i="17"/>
  <c r="Q33" i="17" s="1"/>
  <c r="P192" i="43"/>
  <c r="P182" i="43"/>
  <c r="P34" i="17"/>
  <c r="P35" i="17" s="1"/>
  <c r="O182" i="43"/>
  <c r="O192" i="43"/>
  <c r="R40" i="17"/>
  <c r="M14" i="46"/>
  <c r="M90" i="46" s="1"/>
  <c r="Q181" i="43"/>
  <c r="R181" i="43" s="1"/>
  <c r="T181" i="43" s="1"/>
  <c r="R37" i="16"/>
  <c r="R43" i="16"/>
  <c r="I50" i="15"/>
  <c r="I180" i="43"/>
  <c r="J50" i="15"/>
  <c r="J180" i="43"/>
  <c r="K50" i="15"/>
  <c r="K180" i="43"/>
  <c r="L50" i="15"/>
  <c r="L180" i="43"/>
  <c r="M50" i="15"/>
  <c r="M180" i="43"/>
  <c r="N50" i="15"/>
  <c r="N180" i="43"/>
  <c r="O50" i="15"/>
  <c r="O180" i="43"/>
  <c r="P50" i="15"/>
  <c r="P180" i="43"/>
  <c r="F180" i="43"/>
  <c r="G50" i="15"/>
  <c r="G180" i="43"/>
  <c r="H50" i="15"/>
  <c r="H180" i="43"/>
  <c r="AB38" i="11"/>
  <c r="X42" i="41"/>
  <c r="X46" i="41" s="1"/>
  <c r="X47" i="41" s="1"/>
  <c r="R5" i="9"/>
  <c r="T12" i="17"/>
  <c r="W12" i="17" s="1"/>
  <c r="P40" i="17"/>
  <c r="R15" i="16"/>
  <c r="T12" i="16"/>
  <c r="W12" i="16" s="1"/>
  <c r="T14" i="16"/>
  <c r="W14" i="16" s="1"/>
  <c r="R41" i="15"/>
  <c r="K51" i="46" s="1"/>
  <c r="F15" i="14"/>
  <c r="J15" i="14" s="1"/>
  <c r="F34" i="30"/>
  <c r="F40" i="30" s="1"/>
  <c r="K36" i="18"/>
  <c r="K19" i="14" s="1"/>
  <c r="R36" i="18"/>
  <c r="R19" i="14" s="1"/>
  <c r="L36" i="18"/>
  <c r="L19" i="14" s="1"/>
  <c r="O36" i="18"/>
  <c r="O19" i="14" s="1"/>
  <c r="Q36" i="18"/>
  <c r="Q19" i="14" s="1"/>
  <c r="I36" i="18"/>
  <c r="I19" i="14" s="1"/>
  <c r="N36" i="18"/>
  <c r="N19" i="14" s="1"/>
  <c r="P36" i="18"/>
  <c r="P19" i="14" s="1"/>
  <c r="M36" i="18"/>
  <c r="M19" i="14" s="1"/>
  <c r="H36" i="18"/>
  <c r="H19" i="14" s="1"/>
  <c r="J36" i="18"/>
  <c r="J19" i="14" s="1"/>
  <c r="T13" i="16"/>
  <c r="W13" i="16" s="1"/>
  <c r="R12" i="15"/>
  <c r="S12" i="15"/>
  <c r="V12" i="15" s="1"/>
  <c r="R30" i="17" l="1"/>
  <c r="L92" i="46"/>
  <c r="L91" i="46"/>
  <c r="F34" i="17"/>
  <c r="R33" i="17"/>
  <c r="U28" i="17"/>
  <c r="T28" i="17"/>
  <c r="W28" i="17" s="1"/>
  <c r="O35" i="17"/>
  <c r="T37" i="16"/>
  <c r="W37" i="16" s="1"/>
  <c r="L51" i="46"/>
  <c r="U37" i="16"/>
  <c r="W21" i="16"/>
  <c r="U15" i="16"/>
  <c r="F49" i="15"/>
  <c r="R49" i="15" s="1"/>
  <c r="K55" i="46" s="1"/>
  <c r="T43" i="16"/>
  <c r="W43" i="16" s="1"/>
  <c r="U43" i="16"/>
  <c r="T41" i="15"/>
  <c r="W41" i="15" s="1"/>
  <c r="U41" i="15"/>
  <c r="K13" i="46"/>
  <c r="K89" i="46" s="1"/>
  <c r="U20" i="15"/>
  <c r="U12" i="15"/>
  <c r="Q182" i="43"/>
  <c r="R182" i="43" s="1"/>
  <c r="T182" i="43" s="1"/>
  <c r="Q192" i="43"/>
  <c r="R192" i="43" s="1"/>
  <c r="T192" i="43" s="1"/>
  <c r="Q34" i="17"/>
  <c r="Q35" i="17" s="1"/>
  <c r="Z30" i="17"/>
  <c r="M18" i="33" s="1"/>
  <c r="M18" i="46"/>
  <c r="M20" i="46" s="1"/>
  <c r="T15" i="16"/>
  <c r="W15" i="16" s="1"/>
  <c r="L19" i="46"/>
  <c r="L20" i="46" s="1"/>
  <c r="Q180" i="43"/>
  <c r="R180" i="43" s="1"/>
  <c r="T180" i="43" s="1"/>
  <c r="X58" i="41"/>
  <c r="X59" i="41" s="1"/>
  <c r="X60" i="41" s="1"/>
  <c r="X61" i="41" s="1"/>
  <c r="X62" i="41" s="1"/>
  <c r="X93" i="41" s="1"/>
  <c r="X48" i="41"/>
  <c r="T12" i="15"/>
  <c r="W12" i="15" s="1"/>
  <c r="R15" i="14"/>
  <c r="I15" i="14"/>
  <c r="K15" i="14"/>
  <c r="M15" i="14"/>
  <c r="N15" i="14"/>
  <c r="Q15" i="14"/>
  <c r="H15" i="14"/>
  <c r="G15" i="14"/>
  <c r="L15" i="14"/>
  <c r="O15" i="14"/>
  <c r="P15" i="14"/>
  <c r="M63" i="29"/>
  <c r="M71" i="29" s="1"/>
  <c r="L18" i="33"/>
  <c r="L20" i="29"/>
  <c r="G36" i="18"/>
  <c r="G19" i="14" s="1"/>
  <c r="F19" i="14" s="1"/>
  <c r="N11" i="33"/>
  <c r="J11" i="33"/>
  <c r="M41" i="30"/>
  <c r="M44" i="30" s="1"/>
  <c r="K41" i="30"/>
  <c r="K44" i="30" s="1"/>
  <c r="P41" i="30"/>
  <c r="P44" i="30" s="1"/>
  <c r="H41" i="30"/>
  <c r="H44" i="30" s="1"/>
  <c r="G41" i="30"/>
  <c r="G44" i="30" s="1"/>
  <c r="Q41" i="30"/>
  <c r="Q44" i="30" s="1"/>
  <c r="O41" i="30"/>
  <c r="O44" i="30" s="1"/>
  <c r="I41" i="30"/>
  <c r="I44" i="30" s="1"/>
  <c r="R41" i="30"/>
  <c r="R44" i="30" s="1"/>
  <c r="J41" i="30"/>
  <c r="J44" i="30" s="1"/>
  <c r="L41" i="30"/>
  <c r="L44" i="30" s="1"/>
  <c r="N41" i="30"/>
  <c r="N44" i="30" s="1"/>
  <c r="F35" i="17" l="1"/>
  <c r="R35" i="17" s="1"/>
  <c r="R34" i="17"/>
  <c r="T33" i="17"/>
  <c r="W33" i="17" s="1"/>
  <c r="U33" i="17"/>
  <c r="U30" i="17"/>
  <c r="M51" i="46"/>
  <c r="T30" i="17"/>
  <c r="W30" i="17" s="1"/>
  <c r="K18" i="46"/>
  <c r="K20" i="46" s="1"/>
  <c r="R48" i="15"/>
  <c r="T48" i="15" s="1"/>
  <c r="Q50" i="15"/>
  <c r="U49" i="15"/>
  <c r="T49" i="15"/>
  <c r="W49" i="15" s="1"/>
  <c r="F50" i="15"/>
  <c r="R50" i="15" s="1"/>
  <c r="M20" i="29"/>
  <c r="T40" i="17"/>
  <c r="M55" i="33"/>
  <c r="M10" i="33" s="1"/>
  <c r="M63" i="33" s="1"/>
  <c r="M56" i="33"/>
  <c r="L63" i="29"/>
  <c r="L71" i="29" s="1"/>
  <c r="L55" i="33"/>
  <c r="L10" i="33" s="1"/>
  <c r="L63" i="33" s="1"/>
  <c r="K18" i="33"/>
  <c r="N64" i="33"/>
  <c r="N12" i="33"/>
  <c r="J64" i="33"/>
  <c r="J12" i="33"/>
  <c r="M64" i="29"/>
  <c r="M65" i="29" s="1"/>
  <c r="J13" i="29"/>
  <c r="J14" i="29" s="1"/>
  <c r="F41" i="30"/>
  <c r="N13" i="29"/>
  <c r="N14" i="29" s="1"/>
  <c r="U34" i="17" l="1"/>
  <c r="T34" i="17"/>
  <c r="W34" i="17" s="1"/>
  <c r="M55" i="46"/>
  <c r="U35" i="17"/>
  <c r="T35" i="17"/>
  <c r="W35" i="17" s="1"/>
  <c r="U48" i="15"/>
  <c r="Z33" i="17"/>
  <c r="U50" i="15"/>
  <c r="T50" i="15"/>
  <c r="W50" i="15" s="1"/>
  <c r="M57" i="33"/>
  <c r="W48" i="15"/>
  <c r="K20" i="29"/>
  <c r="K55" i="33"/>
  <c r="K63" i="29"/>
  <c r="K71" i="29" s="1"/>
  <c r="F44" i="30"/>
  <c r="F55" i="30"/>
  <c r="J16" i="29" s="1"/>
  <c r="N14" i="33"/>
  <c r="N17" i="33" s="1"/>
  <c r="N65" i="33"/>
  <c r="J14" i="33"/>
  <c r="J17" i="33" s="1"/>
  <c r="J65" i="33"/>
  <c r="N72" i="29"/>
  <c r="J72" i="29"/>
  <c r="K10" i="33" l="1"/>
  <c r="K63" i="33" s="1"/>
  <c r="K64" i="29"/>
  <c r="K65" i="29" s="1"/>
  <c r="K56" i="33"/>
  <c r="K57" i="33" s="1"/>
  <c r="N19" i="33"/>
  <c r="N23" i="33"/>
  <c r="J19" i="33"/>
  <c r="J23" i="33"/>
  <c r="J73" i="29"/>
  <c r="J19" i="29"/>
  <c r="N16" i="29"/>
  <c r="N19" i="29" s="1"/>
  <c r="N73" i="29"/>
  <c r="Q45" i="14"/>
  <c r="P45" i="14"/>
  <c r="O45" i="14"/>
  <c r="N45" i="14"/>
  <c r="M45" i="14"/>
  <c r="L45" i="14"/>
  <c r="K45" i="14"/>
  <c r="J45" i="14"/>
  <c r="I45" i="14"/>
  <c r="H45" i="14"/>
  <c r="N25" i="29" l="1"/>
  <c r="N21" i="29"/>
  <c r="J25" i="29"/>
  <c r="J21" i="29"/>
  <c r="G70" i="14"/>
  <c r="N70" i="14"/>
  <c r="H70" i="14"/>
  <c r="Q70" i="14"/>
  <c r="M70" i="14"/>
  <c r="L70" i="14"/>
  <c r="I70" i="14"/>
  <c r="J70" i="14"/>
  <c r="O70" i="14"/>
  <c r="K70" i="14"/>
  <c r="G45" i="14"/>
  <c r="P70" i="14"/>
  <c r="R45" i="14" l="1"/>
  <c r="R70" i="14"/>
  <c r="P115" i="43" l="1"/>
  <c r="M115" i="43"/>
  <c r="K115" i="43"/>
  <c r="I115" i="43"/>
  <c r="H115" i="43"/>
  <c r="P32" i="13"/>
  <c r="O32" i="13"/>
  <c r="O102" i="43" s="1"/>
  <c r="N32" i="13"/>
  <c r="N102" i="43" s="1"/>
  <c r="M32" i="13"/>
  <c r="M102" i="43" s="1"/>
  <c r="L32" i="13"/>
  <c r="L102" i="43" s="1"/>
  <c r="K32" i="13"/>
  <c r="K102" i="43" s="1"/>
  <c r="J32" i="13"/>
  <c r="J102" i="43" s="1"/>
  <c r="I32" i="13"/>
  <c r="I102" i="43" s="1"/>
  <c r="H32" i="13"/>
  <c r="H102" i="43" s="1"/>
  <c r="G32" i="13"/>
  <c r="G102" i="43" s="1"/>
  <c r="F32" i="13"/>
  <c r="P30" i="13"/>
  <c r="O30" i="13"/>
  <c r="O82" i="43" s="1"/>
  <c r="N30" i="13"/>
  <c r="N82" i="43" s="1"/>
  <c r="M30" i="13"/>
  <c r="M82" i="43" s="1"/>
  <c r="L30" i="13"/>
  <c r="L82" i="43" s="1"/>
  <c r="K30" i="13"/>
  <c r="K82" i="43" s="1"/>
  <c r="J30" i="13"/>
  <c r="J82" i="43" s="1"/>
  <c r="I30" i="13"/>
  <c r="I82" i="43" s="1"/>
  <c r="H30" i="13"/>
  <c r="H82" i="43" s="1"/>
  <c r="G30" i="13"/>
  <c r="G82" i="43" s="1"/>
  <c r="F30" i="13"/>
  <c r="P29" i="13"/>
  <c r="P72" i="43" s="1"/>
  <c r="O29" i="13"/>
  <c r="O72" i="43" s="1"/>
  <c r="N29" i="13"/>
  <c r="N72" i="43" s="1"/>
  <c r="M29" i="13"/>
  <c r="M72" i="43" s="1"/>
  <c r="L29" i="13"/>
  <c r="L72" i="43" s="1"/>
  <c r="K29" i="13"/>
  <c r="K72" i="43" s="1"/>
  <c r="J29" i="13"/>
  <c r="J72" i="43" s="1"/>
  <c r="I29" i="13"/>
  <c r="I72" i="43" s="1"/>
  <c r="H29" i="13"/>
  <c r="H72" i="43" s="1"/>
  <c r="G29" i="13"/>
  <c r="G72" i="43" s="1"/>
  <c r="F29" i="13"/>
  <c r="P28" i="13"/>
  <c r="P62" i="43" s="1"/>
  <c r="O28" i="13"/>
  <c r="O62" i="43" s="1"/>
  <c r="N28" i="13"/>
  <c r="N62" i="43" s="1"/>
  <c r="M28" i="13"/>
  <c r="M62" i="43" s="1"/>
  <c r="L28" i="13"/>
  <c r="L62" i="43" s="1"/>
  <c r="K28" i="13"/>
  <c r="K62" i="43" s="1"/>
  <c r="J28" i="13"/>
  <c r="J62" i="43" s="1"/>
  <c r="I28" i="13"/>
  <c r="I62" i="43" s="1"/>
  <c r="H28" i="13"/>
  <c r="H62" i="43" s="1"/>
  <c r="G28" i="13"/>
  <c r="G62" i="43" s="1"/>
  <c r="F28" i="13"/>
  <c r="P27" i="13"/>
  <c r="P52" i="43" s="1"/>
  <c r="O27" i="13"/>
  <c r="O52" i="43" s="1"/>
  <c r="N27" i="13"/>
  <c r="N52" i="43" s="1"/>
  <c r="M27" i="13"/>
  <c r="M52" i="43" s="1"/>
  <c r="L27" i="13"/>
  <c r="L52" i="43" s="1"/>
  <c r="K27" i="13"/>
  <c r="K52" i="43" s="1"/>
  <c r="J27" i="13"/>
  <c r="J52" i="43" s="1"/>
  <c r="I27" i="13"/>
  <c r="H27" i="13"/>
  <c r="H52" i="43" s="1"/>
  <c r="G27" i="13"/>
  <c r="G52" i="43" s="1"/>
  <c r="F27" i="13"/>
  <c r="P14" i="13"/>
  <c r="O14" i="13"/>
  <c r="N14" i="13"/>
  <c r="M14" i="13"/>
  <c r="L14" i="13"/>
  <c r="K14" i="13"/>
  <c r="K26" i="43" s="1"/>
  <c r="J14" i="13"/>
  <c r="J26" i="43" s="1"/>
  <c r="I14" i="13"/>
  <c r="I26" i="43" s="1"/>
  <c r="H14" i="13"/>
  <c r="H26" i="43" s="1"/>
  <c r="G14" i="13"/>
  <c r="G26" i="43" s="1"/>
  <c r="F14" i="13"/>
  <c r="P13" i="13"/>
  <c r="Q13" i="13" s="1"/>
  <c r="O13" i="13"/>
  <c r="N13" i="13"/>
  <c r="M13" i="13"/>
  <c r="L13" i="13"/>
  <c r="K13" i="13"/>
  <c r="J13" i="13"/>
  <c r="I13" i="13"/>
  <c r="H13" i="13"/>
  <c r="G13" i="13"/>
  <c r="F13" i="13"/>
  <c r="P12" i="13"/>
  <c r="O12" i="13"/>
  <c r="N12" i="13"/>
  <c r="M12" i="13"/>
  <c r="L12" i="13"/>
  <c r="K12" i="13"/>
  <c r="J12" i="13"/>
  <c r="I12" i="13"/>
  <c r="H12" i="13"/>
  <c r="G12" i="13"/>
  <c r="F12" i="13"/>
  <c r="P49" i="13"/>
  <c r="Q49" i="13" s="1"/>
  <c r="O49" i="13"/>
  <c r="N49" i="13"/>
  <c r="M49" i="13"/>
  <c r="L49" i="13"/>
  <c r="K49" i="13"/>
  <c r="J49" i="13"/>
  <c r="I49" i="13"/>
  <c r="H49" i="13"/>
  <c r="G49" i="13"/>
  <c r="F49" i="13"/>
  <c r="M48" i="13"/>
  <c r="L48" i="13"/>
  <c r="K48" i="13"/>
  <c r="J48" i="13"/>
  <c r="I48" i="13"/>
  <c r="H48" i="13"/>
  <c r="G48" i="13"/>
  <c r="F48" i="13"/>
  <c r="Q46" i="13"/>
  <c r="R46" i="13" s="1"/>
  <c r="I41" i="13"/>
  <c r="I36" i="46"/>
  <c r="I35" i="46"/>
  <c r="I33" i="46"/>
  <c r="M41" i="13"/>
  <c r="I27" i="46"/>
  <c r="I21" i="46"/>
  <c r="I19" i="46"/>
  <c r="Q16" i="13"/>
  <c r="R16" i="13" s="1"/>
  <c r="I16" i="46"/>
  <c r="P50" i="12"/>
  <c r="O50" i="12"/>
  <c r="O187" i="43" s="1"/>
  <c r="O184" i="43" s="1"/>
  <c r="N50" i="12"/>
  <c r="N187" i="43" s="1"/>
  <c r="N184" i="43" s="1"/>
  <c r="M50" i="12"/>
  <c r="M187" i="43" s="1"/>
  <c r="M184" i="43" s="1"/>
  <c r="L50" i="12"/>
  <c r="L187" i="43" s="1"/>
  <c r="L184" i="43" s="1"/>
  <c r="K50" i="12"/>
  <c r="K187" i="43" s="1"/>
  <c r="K184" i="43" s="1"/>
  <c r="J50" i="12"/>
  <c r="J187" i="43" s="1"/>
  <c r="J184" i="43" s="1"/>
  <c r="I50" i="12"/>
  <c r="I187" i="43" s="1"/>
  <c r="I184" i="43" s="1"/>
  <c r="H50" i="12"/>
  <c r="H187" i="43" s="1"/>
  <c r="H184" i="43" s="1"/>
  <c r="G50" i="12"/>
  <c r="G187" i="43" s="1"/>
  <c r="G184" i="43" s="1"/>
  <c r="F50" i="12"/>
  <c r="P49" i="12"/>
  <c r="O49" i="12"/>
  <c r="N49" i="12"/>
  <c r="M49" i="12"/>
  <c r="L49" i="12"/>
  <c r="K49" i="12"/>
  <c r="J49" i="12"/>
  <c r="I49" i="12"/>
  <c r="H49" i="12"/>
  <c r="G49" i="12"/>
  <c r="F49" i="12"/>
  <c r="P48" i="12"/>
  <c r="O48" i="12"/>
  <c r="N48" i="12"/>
  <c r="M48" i="12"/>
  <c r="L48" i="12"/>
  <c r="K48" i="12"/>
  <c r="J48" i="12"/>
  <c r="I48" i="12"/>
  <c r="H48" i="12"/>
  <c r="G48" i="12"/>
  <c r="F48" i="12"/>
  <c r="P47" i="12"/>
  <c r="O47" i="12"/>
  <c r="N47" i="12"/>
  <c r="M47" i="12"/>
  <c r="L47" i="12"/>
  <c r="K47" i="12"/>
  <c r="J47" i="12"/>
  <c r="I47" i="12"/>
  <c r="H47" i="12"/>
  <c r="G47" i="12"/>
  <c r="F47" i="12"/>
  <c r="H49" i="35" s="1"/>
  <c r="P46" i="12"/>
  <c r="O46" i="12"/>
  <c r="N46" i="12"/>
  <c r="M46" i="12"/>
  <c r="L46" i="12"/>
  <c r="K46" i="12"/>
  <c r="J46" i="12"/>
  <c r="I46" i="12"/>
  <c r="H46" i="12"/>
  <c r="G46" i="12"/>
  <c r="F46" i="12"/>
  <c r="P45" i="12"/>
  <c r="O45" i="12"/>
  <c r="N45" i="12"/>
  <c r="M45" i="12"/>
  <c r="L45" i="12"/>
  <c r="K45" i="12"/>
  <c r="J45" i="12"/>
  <c r="I45" i="12"/>
  <c r="H45" i="12"/>
  <c r="G45" i="12"/>
  <c r="F45" i="12"/>
  <c r="H48" i="35" s="1"/>
  <c r="P114" i="43"/>
  <c r="O114" i="43"/>
  <c r="N114" i="43"/>
  <c r="M114" i="43"/>
  <c r="L114" i="43"/>
  <c r="K114" i="43"/>
  <c r="J114" i="43"/>
  <c r="I114" i="43"/>
  <c r="H114" i="43"/>
  <c r="G114" i="43"/>
  <c r="F114" i="43"/>
  <c r="P31" i="12"/>
  <c r="P101" i="43" s="1"/>
  <c r="O31" i="12"/>
  <c r="O101" i="43" s="1"/>
  <c r="N31" i="12"/>
  <c r="N101" i="43" s="1"/>
  <c r="M31" i="12"/>
  <c r="M101" i="43" s="1"/>
  <c r="L31" i="12"/>
  <c r="L101" i="43" s="1"/>
  <c r="K31" i="12"/>
  <c r="K101" i="43" s="1"/>
  <c r="J31" i="12"/>
  <c r="J101" i="43" s="1"/>
  <c r="J98" i="43" s="1"/>
  <c r="I31" i="12"/>
  <c r="I101" i="43" s="1"/>
  <c r="H31" i="12"/>
  <c r="H101" i="43" s="1"/>
  <c r="G31" i="12"/>
  <c r="G101" i="43" s="1"/>
  <c r="F31" i="12"/>
  <c r="F101" i="43" s="1"/>
  <c r="P30" i="12"/>
  <c r="P91" i="43" s="1"/>
  <c r="P88" i="43" s="1"/>
  <c r="O30" i="12"/>
  <c r="O91" i="43" s="1"/>
  <c r="O88" i="43" s="1"/>
  <c r="N30" i="12"/>
  <c r="N91" i="43" s="1"/>
  <c r="N88" i="43" s="1"/>
  <c r="M30" i="12"/>
  <c r="M91" i="43" s="1"/>
  <c r="M88" i="43" s="1"/>
  <c r="L30" i="12"/>
  <c r="L91" i="43" s="1"/>
  <c r="L88" i="43" s="1"/>
  <c r="K30" i="12"/>
  <c r="K91" i="43" s="1"/>
  <c r="K88" i="43" s="1"/>
  <c r="J30" i="12"/>
  <c r="J91" i="43" s="1"/>
  <c r="J88" i="43" s="1"/>
  <c r="I30" i="12"/>
  <c r="I91" i="43" s="1"/>
  <c r="I88" i="43" s="1"/>
  <c r="H30" i="12"/>
  <c r="H91" i="43" s="1"/>
  <c r="H88" i="43" s="1"/>
  <c r="G30" i="12"/>
  <c r="G91" i="43" s="1"/>
  <c r="G88" i="43" s="1"/>
  <c r="F30" i="12"/>
  <c r="F91" i="43" s="1"/>
  <c r="P29" i="12"/>
  <c r="P81" i="43" s="1"/>
  <c r="O29" i="12"/>
  <c r="O81" i="43" s="1"/>
  <c r="N29" i="12"/>
  <c r="N81" i="43" s="1"/>
  <c r="M29" i="12"/>
  <c r="M81" i="43" s="1"/>
  <c r="L29" i="12"/>
  <c r="L81" i="43" s="1"/>
  <c r="K29" i="12"/>
  <c r="K81" i="43" s="1"/>
  <c r="J29" i="12"/>
  <c r="J81" i="43" s="1"/>
  <c r="I29" i="12"/>
  <c r="I81" i="43" s="1"/>
  <c r="H29" i="12"/>
  <c r="H81" i="43" s="1"/>
  <c r="G29" i="12"/>
  <c r="G81" i="43" s="1"/>
  <c r="F29" i="12"/>
  <c r="F81" i="43" s="1"/>
  <c r="P28" i="12"/>
  <c r="P71" i="43" s="1"/>
  <c r="P68" i="43" s="1"/>
  <c r="O28" i="12"/>
  <c r="O71" i="43" s="1"/>
  <c r="N28" i="12"/>
  <c r="N71" i="43" s="1"/>
  <c r="M28" i="12"/>
  <c r="M71" i="43" s="1"/>
  <c r="L28" i="12"/>
  <c r="L71" i="43" s="1"/>
  <c r="K28" i="12"/>
  <c r="K71" i="43" s="1"/>
  <c r="J28" i="12"/>
  <c r="J71" i="43" s="1"/>
  <c r="I28" i="12"/>
  <c r="I71" i="43" s="1"/>
  <c r="H28" i="12"/>
  <c r="H71" i="43" s="1"/>
  <c r="G28" i="12"/>
  <c r="G71" i="43" s="1"/>
  <c r="F28" i="12"/>
  <c r="F71" i="43" s="1"/>
  <c r="P27" i="12"/>
  <c r="P61" i="43" s="1"/>
  <c r="O27" i="12"/>
  <c r="O61" i="43" s="1"/>
  <c r="N27" i="12"/>
  <c r="N61" i="43" s="1"/>
  <c r="M27" i="12"/>
  <c r="M61" i="43" s="1"/>
  <c r="L27" i="12"/>
  <c r="L61" i="43" s="1"/>
  <c r="K27" i="12"/>
  <c r="K61" i="43" s="1"/>
  <c r="J27" i="12"/>
  <c r="J61" i="43" s="1"/>
  <c r="I27" i="12"/>
  <c r="I61" i="43" s="1"/>
  <c r="H27" i="12"/>
  <c r="H61" i="43" s="1"/>
  <c r="G27" i="12"/>
  <c r="G61" i="43" s="1"/>
  <c r="F27" i="12"/>
  <c r="F61" i="43" s="1"/>
  <c r="P26" i="12"/>
  <c r="P51" i="43" s="1"/>
  <c r="O26" i="12"/>
  <c r="O51" i="43" s="1"/>
  <c r="N26" i="12"/>
  <c r="N51" i="43" s="1"/>
  <c r="M26" i="12"/>
  <c r="M51" i="43" s="1"/>
  <c r="L26" i="12"/>
  <c r="L51" i="43" s="1"/>
  <c r="K26" i="12"/>
  <c r="K51" i="43" s="1"/>
  <c r="J26" i="12"/>
  <c r="J51" i="43" s="1"/>
  <c r="I26" i="12"/>
  <c r="I51" i="43" s="1"/>
  <c r="H26" i="12"/>
  <c r="H51" i="43" s="1"/>
  <c r="G26" i="12"/>
  <c r="G51" i="43" s="1"/>
  <c r="F26" i="12"/>
  <c r="P14" i="12"/>
  <c r="P25" i="43" s="1"/>
  <c r="O14" i="12"/>
  <c r="N14" i="12"/>
  <c r="M14" i="12"/>
  <c r="L14" i="12"/>
  <c r="K14" i="12"/>
  <c r="J14" i="12"/>
  <c r="I14" i="12"/>
  <c r="H14" i="12"/>
  <c r="H25" i="43" s="1"/>
  <c r="G14" i="12"/>
  <c r="G25" i="43" s="1"/>
  <c r="F14" i="12"/>
  <c r="F25" i="43" s="1"/>
  <c r="P12" i="12"/>
  <c r="O12" i="12"/>
  <c r="N12" i="12"/>
  <c r="M12" i="12"/>
  <c r="L12" i="12"/>
  <c r="K12" i="12"/>
  <c r="K16" i="43" s="1"/>
  <c r="J12" i="12"/>
  <c r="J16" i="43" s="1"/>
  <c r="I12" i="12"/>
  <c r="H12" i="12"/>
  <c r="G12" i="12"/>
  <c r="F12" i="12"/>
  <c r="K98" i="43" l="1"/>
  <c r="N44" i="13"/>
  <c r="N178" i="43" s="1"/>
  <c r="F33" i="13"/>
  <c r="T16" i="13"/>
  <c r="U25" i="13"/>
  <c r="T46" i="13"/>
  <c r="H98" i="43"/>
  <c r="O98" i="43"/>
  <c r="G98" i="43"/>
  <c r="N98" i="43"/>
  <c r="H68" i="43"/>
  <c r="R13" i="13"/>
  <c r="K41" i="13"/>
  <c r="G68" i="43"/>
  <c r="R48" i="13"/>
  <c r="F26" i="43"/>
  <c r="R14" i="13"/>
  <c r="R49" i="13"/>
  <c r="F72" i="43"/>
  <c r="F68" i="43" s="1"/>
  <c r="R29" i="13"/>
  <c r="R36" i="13"/>
  <c r="F62" i="43"/>
  <c r="R62" i="43" s="1"/>
  <c r="T62" i="43" s="1"/>
  <c r="R28" i="13"/>
  <c r="F102" i="43"/>
  <c r="F98" i="43" s="1"/>
  <c r="R32" i="13"/>
  <c r="M68" i="43"/>
  <c r="L98" i="43"/>
  <c r="F52" i="43"/>
  <c r="R27" i="13"/>
  <c r="N68" i="43"/>
  <c r="M98" i="43"/>
  <c r="F82" i="43"/>
  <c r="R30" i="13"/>
  <c r="F17" i="13"/>
  <c r="F19" i="13" s="1"/>
  <c r="I68" i="43"/>
  <c r="K68" i="43"/>
  <c r="K44" i="13"/>
  <c r="K178" i="43" s="1"/>
  <c r="K17" i="13"/>
  <c r="K19" i="13" s="1"/>
  <c r="J68" i="43"/>
  <c r="J66" i="13"/>
  <c r="J17" i="43"/>
  <c r="M66" i="13"/>
  <c r="M17" i="43"/>
  <c r="N66" i="13"/>
  <c r="N17" i="43"/>
  <c r="I33" i="13"/>
  <c r="I52" i="43"/>
  <c r="O66" i="13"/>
  <c r="O17" i="43"/>
  <c r="P66" i="13"/>
  <c r="P17" i="43"/>
  <c r="P102" i="43"/>
  <c r="I98" i="43"/>
  <c r="L68" i="43"/>
  <c r="L67" i="13"/>
  <c r="L26" i="43"/>
  <c r="F115" i="43"/>
  <c r="J44" i="13"/>
  <c r="J178" i="43" s="1"/>
  <c r="M67" i="13"/>
  <c r="M26" i="43"/>
  <c r="G41" i="13"/>
  <c r="G115" i="43"/>
  <c r="I34" i="46"/>
  <c r="O68" i="43"/>
  <c r="L44" i="13"/>
  <c r="L178" i="43" s="1"/>
  <c r="O67" i="13"/>
  <c r="O26" i="43"/>
  <c r="N67" i="13"/>
  <c r="N26" i="43"/>
  <c r="M44" i="13"/>
  <c r="M178" i="43" s="1"/>
  <c r="F66" i="13"/>
  <c r="F17" i="43"/>
  <c r="P67" i="13"/>
  <c r="P26" i="43"/>
  <c r="P82" i="43"/>
  <c r="J41" i="13"/>
  <c r="J115" i="43"/>
  <c r="L41" i="13"/>
  <c r="L115" i="43"/>
  <c r="G66" i="13"/>
  <c r="G17" i="43"/>
  <c r="G44" i="13"/>
  <c r="G178" i="43" s="1"/>
  <c r="H66" i="13"/>
  <c r="H17" i="43"/>
  <c r="I66" i="13"/>
  <c r="I17" i="43"/>
  <c r="N41" i="13"/>
  <c r="N115" i="43"/>
  <c r="O41" i="13"/>
  <c r="O115" i="43"/>
  <c r="I17" i="46"/>
  <c r="I93" i="46" s="1"/>
  <c r="K66" i="13"/>
  <c r="K17" i="43"/>
  <c r="L66" i="13"/>
  <c r="L17" i="43"/>
  <c r="F51" i="43"/>
  <c r="R51" i="43" s="1"/>
  <c r="T51" i="43" s="1"/>
  <c r="F32" i="12"/>
  <c r="R20" i="12"/>
  <c r="R101" i="43"/>
  <c r="T101" i="43" s="1"/>
  <c r="R61" i="43"/>
  <c r="T61" i="43" s="1"/>
  <c r="F102" i="12"/>
  <c r="F16" i="43"/>
  <c r="L104" i="12"/>
  <c r="L25" i="43"/>
  <c r="M104" i="12"/>
  <c r="M25" i="43"/>
  <c r="N104" i="12"/>
  <c r="N25" i="43"/>
  <c r="R114" i="43"/>
  <c r="T114" i="43" s="1"/>
  <c r="O104" i="12"/>
  <c r="O25" i="43"/>
  <c r="N102" i="12"/>
  <c r="N16" i="43"/>
  <c r="O102" i="12"/>
  <c r="O16" i="43"/>
  <c r="P102" i="12"/>
  <c r="P16" i="43"/>
  <c r="R91" i="43"/>
  <c r="T91" i="43" s="1"/>
  <c r="F88" i="43"/>
  <c r="I104" i="12"/>
  <c r="I25" i="43"/>
  <c r="J104" i="12"/>
  <c r="J25" i="43"/>
  <c r="Q50" i="12"/>
  <c r="Q187" i="43" s="1"/>
  <c r="P187" i="43"/>
  <c r="P184" i="43" s="1"/>
  <c r="K104" i="12"/>
  <c r="K25" i="43"/>
  <c r="G102" i="12"/>
  <c r="G16" i="43"/>
  <c r="H53" i="35"/>
  <c r="H47" i="35" s="1"/>
  <c r="G64" i="51" s="1"/>
  <c r="F187" i="43"/>
  <c r="H102" i="12"/>
  <c r="H16" i="43"/>
  <c r="R81" i="43"/>
  <c r="T81" i="43" s="1"/>
  <c r="I102" i="12"/>
  <c r="I16" i="43"/>
  <c r="L102" i="12"/>
  <c r="L16" i="43"/>
  <c r="M102" i="12"/>
  <c r="M16" i="43"/>
  <c r="R71" i="43"/>
  <c r="T71" i="43" s="1"/>
  <c r="P17" i="12"/>
  <c r="P104" i="12"/>
  <c r="F41" i="13"/>
  <c r="P44" i="13"/>
  <c r="H44" i="13"/>
  <c r="H178" i="43" s="1"/>
  <c r="F17" i="12"/>
  <c r="F104" i="12"/>
  <c r="G17" i="12"/>
  <c r="G104" i="12"/>
  <c r="K17" i="12"/>
  <c r="K102" i="12"/>
  <c r="H17" i="12"/>
  <c r="H104" i="12"/>
  <c r="J17" i="12"/>
  <c r="J102" i="12"/>
  <c r="I17" i="12"/>
  <c r="O44" i="13"/>
  <c r="O178" i="43" s="1"/>
  <c r="I44" i="13"/>
  <c r="I178" i="43" s="1"/>
  <c r="O17" i="13"/>
  <c r="O19" i="13" s="1"/>
  <c r="I17" i="13"/>
  <c r="I19" i="13" s="1"/>
  <c r="M33" i="13"/>
  <c r="N33" i="13"/>
  <c r="R12" i="13"/>
  <c r="O33" i="13"/>
  <c r="F44" i="13"/>
  <c r="M17" i="13"/>
  <c r="M19" i="13" s="1"/>
  <c r="N17" i="13"/>
  <c r="N19" i="13" s="1"/>
  <c r="J17" i="13"/>
  <c r="J19" i="13" s="1"/>
  <c r="H33" i="13"/>
  <c r="L17" i="12"/>
  <c r="M17" i="12"/>
  <c r="P33" i="13"/>
  <c r="J33" i="13"/>
  <c r="K33" i="13"/>
  <c r="L33" i="13"/>
  <c r="G33" i="13"/>
  <c r="P41" i="13"/>
  <c r="G17" i="13"/>
  <c r="G19" i="13" s="1"/>
  <c r="L17" i="13"/>
  <c r="L19" i="13" s="1"/>
  <c r="P17" i="13"/>
  <c r="P19" i="13" s="1"/>
  <c r="Q17" i="13"/>
  <c r="Q19" i="13" s="1"/>
  <c r="Q41" i="13"/>
  <c r="H17" i="13"/>
  <c r="H19" i="13" s="1"/>
  <c r="Q33" i="13"/>
  <c r="H41" i="13"/>
  <c r="S12" i="13"/>
  <c r="N17" i="12"/>
  <c r="O17" i="12"/>
  <c r="J64" i="51" l="1"/>
  <c r="I64" i="51"/>
  <c r="H64" i="51"/>
  <c r="R64" i="51"/>
  <c r="Q64" i="51"/>
  <c r="O64" i="51"/>
  <c r="N64" i="51"/>
  <c r="L64" i="51"/>
  <c r="P64" i="51"/>
  <c r="K64" i="51"/>
  <c r="M64" i="51"/>
  <c r="R72" i="43"/>
  <c r="T72" i="43" s="1"/>
  <c r="F34" i="13"/>
  <c r="T27" i="13"/>
  <c r="T13" i="13"/>
  <c r="U22" i="13"/>
  <c r="T32" i="13"/>
  <c r="U32" i="13"/>
  <c r="T28" i="13"/>
  <c r="U28" i="13"/>
  <c r="T29" i="13"/>
  <c r="U29" i="13"/>
  <c r="V12" i="13"/>
  <c r="V21" i="13"/>
  <c r="T49" i="13"/>
  <c r="U49" i="13"/>
  <c r="W25" i="13"/>
  <c r="I13" i="46"/>
  <c r="I89" i="46" s="1"/>
  <c r="U21" i="13"/>
  <c r="T30" i="13"/>
  <c r="T14" i="13"/>
  <c r="U23" i="13"/>
  <c r="U14" i="13"/>
  <c r="T48" i="13"/>
  <c r="U48" i="13"/>
  <c r="T36" i="13"/>
  <c r="U36" i="13"/>
  <c r="K34" i="13"/>
  <c r="K42" i="13" s="1"/>
  <c r="K53" i="13" s="1"/>
  <c r="K55" i="13" s="1"/>
  <c r="R102" i="43"/>
  <c r="T102" i="43" s="1"/>
  <c r="R41" i="13"/>
  <c r="I32" i="46"/>
  <c r="R19" i="13"/>
  <c r="R82" i="43"/>
  <c r="T82" i="43" s="1"/>
  <c r="R17" i="13"/>
  <c r="U13" i="13" s="1"/>
  <c r="F178" i="43"/>
  <c r="R33" i="13"/>
  <c r="R52" i="43"/>
  <c r="T52" i="43" s="1"/>
  <c r="P98" i="43"/>
  <c r="R26" i="43"/>
  <c r="T26" i="43" s="1"/>
  <c r="P34" i="13"/>
  <c r="P42" i="13" s="1"/>
  <c r="P53" i="13" s="1"/>
  <c r="P55" i="13" s="1"/>
  <c r="I25" i="46"/>
  <c r="I24" i="46"/>
  <c r="I26" i="46"/>
  <c r="I28" i="46"/>
  <c r="I15" i="46"/>
  <c r="I23" i="46"/>
  <c r="R115" i="43"/>
  <c r="T115" i="43" s="1"/>
  <c r="I37" i="46"/>
  <c r="I14" i="46"/>
  <c r="I90" i="46" s="1"/>
  <c r="Q44" i="13"/>
  <c r="Q178" i="43" s="1"/>
  <c r="P178" i="43"/>
  <c r="R17" i="43"/>
  <c r="T17" i="43" s="1"/>
  <c r="I34" i="13"/>
  <c r="I42" i="13" s="1"/>
  <c r="I53" i="13" s="1"/>
  <c r="I55" i="13" s="1"/>
  <c r="J34" i="13"/>
  <c r="J42" i="13" s="1"/>
  <c r="J53" i="13" s="1"/>
  <c r="J55" i="13" s="1"/>
  <c r="R25" i="43"/>
  <c r="T25" i="43" s="1"/>
  <c r="R16" i="43"/>
  <c r="T16" i="43" s="1"/>
  <c r="F184" i="43"/>
  <c r="R187" i="43"/>
  <c r="T187" i="43" s="1"/>
  <c r="N34" i="13"/>
  <c r="N42" i="13" s="1"/>
  <c r="N53" i="13" s="1"/>
  <c r="N55" i="13" s="1"/>
  <c r="H89" i="35"/>
  <c r="M34" i="13"/>
  <c r="M42" i="13" s="1"/>
  <c r="M53" i="13" s="1"/>
  <c r="M55" i="13" s="1"/>
  <c r="O34" i="13"/>
  <c r="O42" i="13" s="1"/>
  <c r="O53" i="13" s="1"/>
  <c r="O55" i="13" s="1"/>
  <c r="H34" i="13"/>
  <c r="H42" i="13" s="1"/>
  <c r="H53" i="13" s="1"/>
  <c r="H55" i="13" s="1"/>
  <c r="L34" i="13"/>
  <c r="L42" i="13" s="1"/>
  <c r="L53" i="13" s="1"/>
  <c r="L55" i="13" s="1"/>
  <c r="G34" i="13"/>
  <c r="G42" i="13" s="1"/>
  <c r="G53" i="13" s="1"/>
  <c r="G55" i="13" s="1"/>
  <c r="Q34" i="13"/>
  <c r="Q42" i="13" s="1"/>
  <c r="Q53" i="13" s="1"/>
  <c r="Q55" i="13" s="1"/>
  <c r="T12" i="13"/>
  <c r="F64" i="51" l="1"/>
  <c r="I91" i="46"/>
  <c r="I92" i="46"/>
  <c r="U30" i="13"/>
  <c r="W21" i="13"/>
  <c r="T17" i="13"/>
  <c r="W29" i="13" s="1"/>
  <c r="U17" i="13"/>
  <c r="U35" i="13"/>
  <c r="U51" i="13"/>
  <c r="U18" i="13"/>
  <c r="U39" i="13"/>
  <c r="U40" i="13"/>
  <c r="U45" i="13"/>
  <c r="U15" i="13"/>
  <c r="U38" i="13"/>
  <c r="U50" i="13"/>
  <c r="U56" i="13"/>
  <c r="U31" i="13"/>
  <c r="U57" i="13"/>
  <c r="U43" i="13"/>
  <c r="U37" i="13"/>
  <c r="U20" i="13"/>
  <c r="U52" i="13"/>
  <c r="U47" i="13"/>
  <c r="U16" i="13"/>
  <c r="U46" i="13"/>
  <c r="T19" i="13"/>
  <c r="W19" i="13" s="1"/>
  <c r="U19" i="13"/>
  <c r="W22" i="13"/>
  <c r="W23" i="13"/>
  <c r="U27" i="13"/>
  <c r="U12" i="13"/>
  <c r="T41" i="13"/>
  <c r="W41" i="13" s="1"/>
  <c r="U41" i="13"/>
  <c r="U33" i="13"/>
  <c r="T33" i="13"/>
  <c r="R44" i="13"/>
  <c r="I51" i="46" s="1"/>
  <c r="F42" i="13"/>
  <c r="R34" i="13"/>
  <c r="R178" i="43"/>
  <c r="T178" i="43" s="1"/>
  <c r="I29" i="46"/>
  <c r="I18" i="46"/>
  <c r="I20" i="46" s="1"/>
  <c r="H102" i="35"/>
  <c r="H100" i="35"/>
  <c r="H101" i="35"/>
  <c r="H99" i="35"/>
  <c r="H98" i="35"/>
  <c r="G18" i="51" l="1"/>
  <c r="Q18" i="51" s="1"/>
  <c r="H116" i="35"/>
  <c r="H114" i="35"/>
  <c r="H117" i="35"/>
  <c r="H115" i="35"/>
  <c r="H118" i="35"/>
  <c r="H113" i="35"/>
  <c r="H20" i="35"/>
  <c r="G21" i="51"/>
  <c r="H21" i="35"/>
  <c r="G22" i="51"/>
  <c r="H18" i="35"/>
  <c r="G19" i="51"/>
  <c r="H19" i="35"/>
  <c r="G20" i="51"/>
  <c r="W33" i="13"/>
  <c r="I56" i="33"/>
  <c r="H17" i="35"/>
  <c r="W14" i="13"/>
  <c r="W17" i="13"/>
  <c r="W15" i="13"/>
  <c r="W50" i="13"/>
  <c r="W51" i="13"/>
  <c r="W37" i="13"/>
  <c r="W39" i="13"/>
  <c r="W56" i="13"/>
  <c r="W40" i="13"/>
  <c r="W35" i="13"/>
  <c r="W38" i="13"/>
  <c r="W45" i="13"/>
  <c r="W43" i="13"/>
  <c r="W57" i="13"/>
  <c r="W18" i="13"/>
  <c r="W31" i="13"/>
  <c r="W20" i="13"/>
  <c r="W52" i="13"/>
  <c r="W47" i="13"/>
  <c r="W16" i="13"/>
  <c r="W46" i="13"/>
  <c r="W12" i="13"/>
  <c r="W30" i="13"/>
  <c r="W32" i="13"/>
  <c r="W49" i="13"/>
  <c r="W48" i="13"/>
  <c r="W27" i="13"/>
  <c r="W28" i="13"/>
  <c r="W13" i="13"/>
  <c r="W36" i="13"/>
  <c r="T44" i="13"/>
  <c r="W44" i="13" s="1"/>
  <c r="U44" i="13"/>
  <c r="T34" i="13"/>
  <c r="W34" i="13" s="1"/>
  <c r="U34" i="13"/>
  <c r="I64" i="29"/>
  <c r="F53" i="13"/>
  <c r="R42" i="13"/>
  <c r="H36" i="35"/>
  <c r="H37" i="35" s="1"/>
  <c r="K18" i="51" l="1"/>
  <c r="N18" i="51"/>
  <c r="N76" i="51" s="1"/>
  <c r="G76" i="51"/>
  <c r="I18" i="51"/>
  <c r="I76" i="51" s="1"/>
  <c r="M18" i="51"/>
  <c r="O18" i="51"/>
  <c r="O44" i="51" s="1"/>
  <c r="L18" i="51"/>
  <c r="R18" i="51"/>
  <c r="R44" i="51" s="1"/>
  <c r="G44" i="51"/>
  <c r="J18" i="51"/>
  <c r="P18" i="51"/>
  <c r="P44" i="51" s="1"/>
  <c r="G52" i="51"/>
  <c r="K76" i="51"/>
  <c r="K44" i="51"/>
  <c r="J44" i="51"/>
  <c r="J76" i="51"/>
  <c r="Q22" i="51"/>
  <c r="M22" i="51"/>
  <c r="P22" i="51"/>
  <c r="H22" i="51"/>
  <c r="O22" i="51"/>
  <c r="I22" i="51"/>
  <c r="L22" i="51"/>
  <c r="G48" i="51"/>
  <c r="K22" i="51"/>
  <c r="R22" i="51"/>
  <c r="G80" i="51"/>
  <c r="J22" i="51"/>
  <c r="N22" i="51"/>
  <c r="L20" i="51"/>
  <c r="J20" i="51"/>
  <c r="R20" i="51"/>
  <c r="K20" i="51"/>
  <c r="G78" i="51"/>
  <c r="M20" i="51"/>
  <c r="O20" i="51"/>
  <c r="Q20" i="51"/>
  <c r="H20" i="51"/>
  <c r="G46" i="51"/>
  <c r="P20" i="51"/>
  <c r="N20" i="51"/>
  <c r="I20" i="51"/>
  <c r="J19" i="51"/>
  <c r="P19" i="51"/>
  <c r="N19" i="51"/>
  <c r="O19" i="51"/>
  <c r="I19" i="51"/>
  <c r="M19" i="51"/>
  <c r="G77" i="51"/>
  <c r="G45" i="51"/>
  <c r="L19" i="51"/>
  <c r="R19" i="51"/>
  <c r="Q19" i="51"/>
  <c r="K19" i="51"/>
  <c r="G54" i="51"/>
  <c r="G51" i="51"/>
  <c r="L44" i="51"/>
  <c r="L76" i="51"/>
  <c r="G53" i="51"/>
  <c r="P76" i="51"/>
  <c r="R21" i="51"/>
  <c r="H21" i="51"/>
  <c r="P21" i="51"/>
  <c r="G47" i="51"/>
  <c r="N21" i="51"/>
  <c r="O21" i="51"/>
  <c r="G79" i="51"/>
  <c r="M21" i="51"/>
  <c r="K21" i="51"/>
  <c r="J21" i="51"/>
  <c r="Q21" i="51"/>
  <c r="L21" i="51"/>
  <c r="I21" i="51"/>
  <c r="M76" i="51"/>
  <c r="M44" i="51"/>
  <c r="Q76" i="51"/>
  <c r="Q44" i="51"/>
  <c r="R53" i="13"/>
  <c r="F54" i="13"/>
  <c r="T42" i="13"/>
  <c r="W42" i="13" s="1"/>
  <c r="U42" i="13"/>
  <c r="T53" i="13"/>
  <c r="W53" i="13" s="1"/>
  <c r="U53" i="13"/>
  <c r="H38" i="35"/>
  <c r="I18" i="33"/>
  <c r="I20" i="29"/>
  <c r="I55" i="33"/>
  <c r="I63" i="29"/>
  <c r="I65" i="29" s="1"/>
  <c r="F18" i="51" l="1"/>
  <c r="F76" i="51" s="1"/>
  <c r="I44" i="51"/>
  <c r="N44" i="51"/>
  <c r="F44" i="51" s="1"/>
  <c r="L53" i="51"/>
  <c r="R76" i="51"/>
  <c r="O76" i="51"/>
  <c r="I54" i="51"/>
  <c r="N53" i="51"/>
  <c r="G49" i="51"/>
  <c r="G59" i="51" s="1"/>
  <c r="P53" i="51"/>
  <c r="O51" i="51"/>
  <c r="N54" i="51"/>
  <c r="J54" i="51"/>
  <c r="J51" i="51"/>
  <c r="F20" i="51"/>
  <c r="F78" i="51" s="1"/>
  <c r="N52" i="51"/>
  <c r="J52" i="51"/>
  <c r="L52" i="51"/>
  <c r="I52" i="51"/>
  <c r="L51" i="51"/>
  <c r="P52" i="51"/>
  <c r="Q53" i="51"/>
  <c r="F19" i="51"/>
  <c r="F77" i="51" s="1"/>
  <c r="K54" i="51"/>
  <c r="R52" i="51"/>
  <c r="F22" i="51"/>
  <c r="F80" i="51" s="1"/>
  <c r="M78" i="51"/>
  <c r="M46" i="51"/>
  <c r="K46" i="51"/>
  <c r="K78" i="51"/>
  <c r="R46" i="51"/>
  <c r="R78" i="51"/>
  <c r="J53" i="51"/>
  <c r="R45" i="51"/>
  <c r="R77" i="51"/>
  <c r="M45" i="51"/>
  <c r="M77" i="51"/>
  <c r="R47" i="51"/>
  <c r="R79" i="51"/>
  <c r="Q54" i="51"/>
  <c r="J77" i="51"/>
  <c r="J45" i="51"/>
  <c r="K51" i="51"/>
  <c r="P80" i="51"/>
  <c r="P48" i="51"/>
  <c r="M53" i="51"/>
  <c r="M52" i="51"/>
  <c r="Q52" i="51"/>
  <c r="I78" i="51"/>
  <c r="I46" i="51"/>
  <c r="O46" i="51"/>
  <c r="O78" i="51"/>
  <c r="M54" i="51"/>
  <c r="H79" i="51"/>
  <c r="H47" i="51"/>
  <c r="O45" i="51"/>
  <c r="O77" i="51"/>
  <c r="O52" i="51"/>
  <c r="R80" i="51"/>
  <c r="R48" i="51"/>
  <c r="I53" i="51"/>
  <c r="R53" i="51"/>
  <c r="Q51" i="51"/>
  <c r="N80" i="51"/>
  <c r="N48" i="51"/>
  <c r="P54" i="51"/>
  <c r="P46" i="51"/>
  <c r="P78" i="51"/>
  <c r="K48" i="51"/>
  <c r="K80" i="51"/>
  <c r="Q78" i="51"/>
  <c r="Q46" i="51"/>
  <c r="O80" i="51"/>
  <c r="O48" i="51"/>
  <c r="M51" i="51"/>
  <c r="M48" i="51"/>
  <c r="M80" i="51"/>
  <c r="P79" i="51"/>
  <c r="P47" i="51"/>
  <c r="I77" i="51"/>
  <c r="I45" i="51"/>
  <c r="O53" i="51"/>
  <c r="N45" i="51"/>
  <c r="N77" i="51"/>
  <c r="O54" i="51"/>
  <c r="F21" i="51"/>
  <c r="F79" i="51" s="1"/>
  <c r="I47" i="51"/>
  <c r="I79" i="51"/>
  <c r="N46" i="51"/>
  <c r="N78" i="51"/>
  <c r="K77" i="51"/>
  <c r="K45" i="51"/>
  <c r="I51" i="51"/>
  <c r="K53" i="51"/>
  <c r="M47" i="51"/>
  <c r="M79" i="51"/>
  <c r="I80" i="51"/>
  <c r="I48" i="51"/>
  <c r="L77" i="51"/>
  <c r="L45" i="51"/>
  <c r="O79" i="51"/>
  <c r="O47" i="51"/>
  <c r="H48" i="51"/>
  <c r="H80" i="51"/>
  <c r="N79" i="51"/>
  <c r="N47" i="51"/>
  <c r="L54" i="51"/>
  <c r="Q80" i="51"/>
  <c r="Q48" i="51"/>
  <c r="J78" i="51"/>
  <c r="J46" i="51"/>
  <c r="L46" i="51"/>
  <c r="L78" i="51"/>
  <c r="P77" i="51"/>
  <c r="P45" i="51"/>
  <c r="N51" i="51"/>
  <c r="P51" i="51"/>
  <c r="J48" i="51"/>
  <c r="J80" i="51"/>
  <c r="L47" i="51"/>
  <c r="L79" i="51"/>
  <c r="R54" i="51"/>
  <c r="Q47" i="51"/>
  <c r="Q79" i="51"/>
  <c r="R51" i="51"/>
  <c r="J47" i="51"/>
  <c r="J79" i="51"/>
  <c r="K47" i="51"/>
  <c r="K79" i="51"/>
  <c r="Q45" i="51"/>
  <c r="Q77" i="51"/>
  <c r="H51" i="51"/>
  <c r="H54" i="51"/>
  <c r="H46" i="51"/>
  <c r="H78" i="51"/>
  <c r="H53" i="51"/>
  <c r="H52" i="51"/>
  <c r="L48" i="51"/>
  <c r="L80" i="51"/>
  <c r="K52" i="51"/>
  <c r="R54" i="13"/>
  <c r="I55" i="46" s="1"/>
  <c r="F211" i="43"/>
  <c r="R211" i="43" s="1"/>
  <c r="T211" i="43" s="1"/>
  <c r="F55" i="13"/>
  <c r="R55" i="13" s="1"/>
  <c r="I71" i="29"/>
  <c r="I10" i="33"/>
  <c r="I57" i="33"/>
  <c r="N49" i="51" l="1"/>
  <c r="N60" i="51" s="1"/>
  <c r="I49" i="51"/>
  <c r="H13" i="53" s="1"/>
  <c r="Q49" i="51"/>
  <c r="P13" i="53" s="1"/>
  <c r="G60" i="51"/>
  <c r="G61" i="51" s="1"/>
  <c r="G62" i="51" s="1"/>
  <c r="G65" i="51" s="1"/>
  <c r="P49" i="51"/>
  <c r="O13" i="53" s="1"/>
  <c r="J49" i="51"/>
  <c r="I13" i="53" s="1"/>
  <c r="O49" i="51"/>
  <c r="N13" i="53" s="1"/>
  <c r="F46" i="51"/>
  <c r="L49" i="51"/>
  <c r="L60" i="51" s="1"/>
  <c r="F54" i="51"/>
  <c r="F47" i="51"/>
  <c r="F53" i="51"/>
  <c r="F45" i="51"/>
  <c r="R49" i="51"/>
  <c r="Q13" i="53" s="1"/>
  <c r="K49" i="51"/>
  <c r="K60" i="51" s="1"/>
  <c r="M49" i="51"/>
  <c r="M60" i="51" s="1"/>
  <c r="M13" i="53"/>
  <c r="F48" i="51"/>
  <c r="F51" i="51"/>
  <c r="H49" i="51"/>
  <c r="F52" i="51"/>
  <c r="M59" i="51"/>
  <c r="L59" i="51"/>
  <c r="Q59" i="51"/>
  <c r="H59" i="51"/>
  <c r="P59" i="51"/>
  <c r="R59" i="51"/>
  <c r="I59" i="51"/>
  <c r="O59" i="51"/>
  <c r="J59" i="51"/>
  <c r="K59" i="51"/>
  <c r="N59" i="51"/>
  <c r="U55" i="13"/>
  <c r="T55" i="13"/>
  <c r="W55" i="13" s="1"/>
  <c r="U54" i="13"/>
  <c r="T54" i="13"/>
  <c r="W54" i="13" s="1"/>
  <c r="I63" i="33"/>
  <c r="N61" i="51" l="1"/>
  <c r="M28" i="53" s="1"/>
  <c r="M43" i="53" s="1"/>
  <c r="M57" i="53" s="1"/>
  <c r="M55" i="53" s="1"/>
  <c r="O60" i="51"/>
  <c r="I60" i="51"/>
  <c r="I61" i="51" s="1"/>
  <c r="H28" i="53" s="1"/>
  <c r="H43" i="53" s="1"/>
  <c r="H57" i="53" s="1"/>
  <c r="K61" i="51"/>
  <c r="J28" i="53" s="1"/>
  <c r="Q60" i="51"/>
  <c r="Q61" i="51" s="1"/>
  <c r="K13" i="53"/>
  <c r="K122" i="53" s="1"/>
  <c r="P60" i="51"/>
  <c r="P61" i="51" s="1"/>
  <c r="J60" i="51"/>
  <c r="O61" i="51"/>
  <c r="N28" i="53" s="1"/>
  <c r="R60" i="51"/>
  <c r="R61" i="51" s="1"/>
  <c r="F49" i="51"/>
  <c r="L61" i="51"/>
  <c r="K28" i="53" s="1"/>
  <c r="K43" i="53" s="1"/>
  <c r="K57" i="53" s="1"/>
  <c r="K55" i="53" s="1"/>
  <c r="J13" i="53"/>
  <c r="J122" i="53" s="1"/>
  <c r="L13" i="53"/>
  <c r="L122" i="53" s="1"/>
  <c r="M61" i="51"/>
  <c r="M62" i="51" s="1"/>
  <c r="M65" i="51" s="1"/>
  <c r="J61" i="51"/>
  <c r="I28" i="53" s="1"/>
  <c r="I43" i="53" s="1"/>
  <c r="I57" i="53" s="1"/>
  <c r="I55" i="53" s="1"/>
  <c r="Q122" i="53"/>
  <c r="Q10" i="53"/>
  <c r="M122" i="53"/>
  <c r="M10" i="53"/>
  <c r="O122" i="53"/>
  <c r="O10" i="53"/>
  <c r="P122" i="53"/>
  <c r="P10" i="53"/>
  <c r="H60" i="51"/>
  <c r="H61" i="51" s="1"/>
  <c r="G28" i="53" s="1"/>
  <c r="N122" i="53"/>
  <c r="N10" i="53"/>
  <c r="H122" i="53"/>
  <c r="H10" i="53"/>
  <c r="F59" i="51"/>
  <c r="F61" i="51" s="1"/>
  <c r="I122" i="53"/>
  <c r="I10" i="53"/>
  <c r="N66" i="12"/>
  <c r="I66" i="12"/>
  <c r="G66" i="12"/>
  <c r="P64" i="12"/>
  <c r="O64" i="12"/>
  <c r="N64" i="12"/>
  <c r="M64" i="12"/>
  <c r="L64" i="12"/>
  <c r="K64" i="12"/>
  <c r="J64" i="12"/>
  <c r="I64" i="12"/>
  <c r="H64" i="12"/>
  <c r="G64" i="12"/>
  <c r="F64" i="12"/>
  <c r="S52" i="12"/>
  <c r="V52" i="12" s="1"/>
  <c r="R52" i="12"/>
  <c r="S51" i="12"/>
  <c r="V51" i="12" s="1"/>
  <c r="R51" i="12"/>
  <c r="S50" i="12"/>
  <c r="V50" i="12" s="1"/>
  <c r="R50" i="12"/>
  <c r="Q49" i="12"/>
  <c r="S49" i="12" s="1"/>
  <c r="V49" i="12" s="1"/>
  <c r="Q48" i="12"/>
  <c r="S48" i="12" s="1"/>
  <c r="V48" i="12" s="1"/>
  <c r="Q47" i="12"/>
  <c r="S47" i="12" s="1"/>
  <c r="V47" i="12" s="1"/>
  <c r="Q46" i="12"/>
  <c r="S46" i="12" s="1"/>
  <c r="V46" i="12" s="1"/>
  <c r="Q45" i="12"/>
  <c r="S45" i="12" s="1"/>
  <c r="V45" i="12" s="1"/>
  <c r="P44" i="12"/>
  <c r="O44" i="12"/>
  <c r="O177" i="43" s="1"/>
  <c r="N44" i="12"/>
  <c r="N177" i="43" s="1"/>
  <c r="M44" i="12"/>
  <c r="M177" i="43" s="1"/>
  <c r="L44" i="12"/>
  <c r="L177" i="43" s="1"/>
  <c r="K44" i="12"/>
  <c r="K177" i="43" s="1"/>
  <c r="J44" i="12"/>
  <c r="J177" i="43" s="1"/>
  <c r="I44" i="12"/>
  <c r="I177" i="43" s="1"/>
  <c r="H44" i="12"/>
  <c r="H177" i="43" s="1"/>
  <c r="G44" i="12"/>
  <c r="G177" i="43" s="1"/>
  <c r="F44" i="12"/>
  <c r="F177" i="43" s="1"/>
  <c r="O40" i="12"/>
  <c r="J40" i="12"/>
  <c r="S39" i="12"/>
  <c r="V39" i="12" s="1"/>
  <c r="K40" i="12"/>
  <c r="R39" i="12"/>
  <c r="R38" i="12"/>
  <c r="S38" i="12"/>
  <c r="V38" i="12" s="1"/>
  <c r="S37" i="12"/>
  <c r="V37" i="12" s="1"/>
  <c r="R37" i="12"/>
  <c r="S36" i="12"/>
  <c r="V36" i="12" s="1"/>
  <c r="L40" i="12"/>
  <c r="G40" i="12"/>
  <c r="R35" i="12"/>
  <c r="N40" i="12"/>
  <c r="M40" i="12"/>
  <c r="I40" i="12"/>
  <c r="H40" i="12"/>
  <c r="M32" i="12"/>
  <c r="K32" i="12"/>
  <c r="J32" i="12"/>
  <c r="H32" i="12"/>
  <c r="G32" i="12"/>
  <c r="R31" i="12"/>
  <c r="S31" i="12"/>
  <c r="V31" i="12" s="1"/>
  <c r="R30" i="12"/>
  <c r="S30" i="12"/>
  <c r="V30" i="12" s="1"/>
  <c r="S29" i="12"/>
  <c r="V29" i="12" s="1"/>
  <c r="R29" i="12"/>
  <c r="R28" i="12"/>
  <c r="S28" i="12"/>
  <c r="V28" i="12" s="1"/>
  <c r="R27" i="12"/>
  <c r="P32" i="12"/>
  <c r="O32" i="12"/>
  <c r="N32" i="12"/>
  <c r="L32" i="12"/>
  <c r="I32" i="12"/>
  <c r="R26" i="12"/>
  <c r="S20" i="12"/>
  <c r="H21" i="46"/>
  <c r="P19" i="12"/>
  <c r="O19" i="12"/>
  <c r="N19" i="12"/>
  <c r="M19" i="12"/>
  <c r="L19" i="12"/>
  <c r="K19" i="12"/>
  <c r="J19" i="12"/>
  <c r="I19" i="12"/>
  <c r="H19" i="12"/>
  <c r="G19" i="12"/>
  <c r="F19" i="12"/>
  <c r="F33" i="12" s="1"/>
  <c r="Q16" i="12"/>
  <c r="S16" i="12" s="1"/>
  <c r="V16" i="12" s="1"/>
  <c r="Q15" i="12"/>
  <c r="S15" i="12" s="1"/>
  <c r="R14" i="12"/>
  <c r="S14" i="12"/>
  <c r="Q13" i="12"/>
  <c r="S13" i="12" s="1"/>
  <c r="P53" i="11"/>
  <c r="P166" i="43" s="1"/>
  <c r="O53" i="11"/>
  <c r="O166" i="43" s="1"/>
  <c r="N53" i="11"/>
  <c r="N166" i="43" s="1"/>
  <c r="M53" i="11"/>
  <c r="M166" i="43" s="1"/>
  <c r="L53" i="11"/>
  <c r="L166" i="43" s="1"/>
  <c r="K53" i="11"/>
  <c r="K166" i="43" s="1"/>
  <c r="J53" i="11"/>
  <c r="J166" i="43" s="1"/>
  <c r="I53" i="11"/>
  <c r="I166" i="43" s="1"/>
  <c r="H53" i="11"/>
  <c r="H166" i="43" s="1"/>
  <c r="G53" i="11"/>
  <c r="G166" i="43" s="1"/>
  <c r="F53" i="11"/>
  <c r="P45" i="11"/>
  <c r="P176" i="43" s="1"/>
  <c r="O45" i="11"/>
  <c r="O176" i="43" s="1"/>
  <c r="N45" i="11"/>
  <c r="N176" i="43" s="1"/>
  <c r="M45" i="11"/>
  <c r="M176" i="43" s="1"/>
  <c r="L45" i="11"/>
  <c r="L176" i="43" s="1"/>
  <c r="K45" i="11"/>
  <c r="K176" i="43" s="1"/>
  <c r="J45" i="11"/>
  <c r="J176" i="43" s="1"/>
  <c r="I45" i="11"/>
  <c r="I176" i="43" s="1"/>
  <c r="H45" i="11"/>
  <c r="H176" i="43" s="1"/>
  <c r="G45" i="11"/>
  <c r="G176" i="43" s="1"/>
  <c r="P36" i="11"/>
  <c r="O36" i="11"/>
  <c r="O113" i="43" s="1"/>
  <c r="O111" i="43" s="1"/>
  <c r="N36" i="11"/>
  <c r="N113" i="43" s="1"/>
  <c r="N111" i="43" s="1"/>
  <c r="M36" i="11"/>
  <c r="M113" i="43" s="1"/>
  <c r="M111" i="43" s="1"/>
  <c r="L36" i="11"/>
  <c r="L113" i="43" s="1"/>
  <c r="L111" i="43" s="1"/>
  <c r="K36" i="11"/>
  <c r="K113" i="43" s="1"/>
  <c r="K111" i="43" s="1"/>
  <c r="J36" i="11"/>
  <c r="J113" i="43" s="1"/>
  <c r="J111" i="43" s="1"/>
  <c r="I36" i="11"/>
  <c r="H36" i="11"/>
  <c r="H113" i="43" s="1"/>
  <c r="H111" i="43" s="1"/>
  <c r="G36" i="11"/>
  <c r="G113" i="43" s="1"/>
  <c r="G111" i="43" s="1"/>
  <c r="F36" i="11"/>
  <c r="P28" i="11"/>
  <c r="O28" i="11"/>
  <c r="O60" i="43" s="1"/>
  <c r="O58" i="43" s="1"/>
  <c r="N28" i="11"/>
  <c r="N60" i="43" s="1"/>
  <c r="N58" i="43" s="1"/>
  <c r="M28" i="11"/>
  <c r="M60" i="43" s="1"/>
  <c r="M58" i="43" s="1"/>
  <c r="L28" i="11"/>
  <c r="L60" i="43" s="1"/>
  <c r="L58" i="43" s="1"/>
  <c r="K28" i="11"/>
  <c r="K60" i="43" s="1"/>
  <c r="K58" i="43" s="1"/>
  <c r="J28" i="11"/>
  <c r="J60" i="43" s="1"/>
  <c r="J58" i="43" s="1"/>
  <c r="I28" i="11"/>
  <c r="H28" i="11"/>
  <c r="G28" i="11"/>
  <c r="F28" i="11"/>
  <c r="P30" i="11"/>
  <c r="O30" i="11"/>
  <c r="O80" i="43" s="1"/>
  <c r="O78" i="43" s="1"/>
  <c r="N30" i="11"/>
  <c r="N80" i="43" s="1"/>
  <c r="N78" i="43" s="1"/>
  <c r="M30" i="11"/>
  <c r="M80" i="43" s="1"/>
  <c r="M78" i="43" s="1"/>
  <c r="L30" i="11"/>
  <c r="L80" i="43" s="1"/>
  <c r="L78" i="43" s="1"/>
  <c r="K30" i="11"/>
  <c r="K80" i="43" s="1"/>
  <c r="K78" i="43" s="1"/>
  <c r="J30" i="11"/>
  <c r="J80" i="43" s="1"/>
  <c r="J78" i="43" s="1"/>
  <c r="I30" i="11"/>
  <c r="I80" i="43" s="1"/>
  <c r="I78" i="43" s="1"/>
  <c r="H30" i="11"/>
  <c r="H80" i="43" s="1"/>
  <c r="H78" i="43" s="1"/>
  <c r="G30" i="11"/>
  <c r="G80" i="43" s="1"/>
  <c r="G78" i="43" s="1"/>
  <c r="F30" i="11"/>
  <c r="R20" i="11"/>
  <c r="P13" i="11"/>
  <c r="P32" i="43" s="1"/>
  <c r="P30" i="43" s="1"/>
  <c r="O13" i="11"/>
  <c r="O32" i="43" s="1"/>
  <c r="O30" i="43" s="1"/>
  <c r="N13" i="11"/>
  <c r="M13" i="11"/>
  <c r="M32" i="43" s="1"/>
  <c r="M30" i="43" s="1"/>
  <c r="L13" i="11"/>
  <c r="K13" i="11"/>
  <c r="J13" i="11"/>
  <c r="I13" i="11"/>
  <c r="H13" i="11"/>
  <c r="G13" i="11"/>
  <c r="F13" i="11"/>
  <c r="F17" i="11" s="1"/>
  <c r="P12" i="11"/>
  <c r="O12" i="11"/>
  <c r="N12" i="11"/>
  <c r="M12" i="11"/>
  <c r="L12" i="11"/>
  <c r="L15" i="43" s="1"/>
  <c r="K12" i="11"/>
  <c r="K15" i="43" s="1"/>
  <c r="J12" i="11"/>
  <c r="J15" i="43" s="1"/>
  <c r="I12" i="11"/>
  <c r="H12" i="11"/>
  <c r="H15" i="43" s="1"/>
  <c r="G12" i="11"/>
  <c r="F12" i="11"/>
  <c r="N67" i="11"/>
  <c r="I67" i="11"/>
  <c r="G67" i="11"/>
  <c r="P65" i="11"/>
  <c r="O65" i="11"/>
  <c r="N65" i="11"/>
  <c r="M65" i="11"/>
  <c r="L65" i="11"/>
  <c r="K65" i="11"/>
  <c r="J65" i="11"/>
  <c r="I65" i="11"/>
  <c r="H65" i="11"/>
  <c r="G65" i="11"/>
  <c r="F65" i="11"/>
  <c r="Q50" i="11"/>
  <c r="R50" i="11" s="1"/>
  <c r="Q49" i="11"/>
  <c r="R49" i="11" s="1"/>
  <c r="Q48" i="11"/>
  <c r="R48" i="11" s="1"/>
  <c r="Q47" i="11"/>
  <c r="R47" i="11" s="1"/>
  <c r="Q46" i="11"/>
  <c r="R46" i="11" s="1"/>
  <c r="F45" i="11"/>
  <c r="G34" i="46"/>
  <c r="Q32" i="11"/>
  <c r="R32" i="11" s="1"/>
  <c r="G28" i="46" s="1"/>
  <c r="Q31" i="11"/>
  <c r="Q29" i="11"/>
  <c r="G19" i="46"/>
  <c r="Q19" i="46" s="1"/>
  <c r="Q16" i="11"/>
  <c r="S16" i="11" s="1"/>
  <c r="V16" i="11" s="1"/>
  <c r="Q15" i="11"/>
  <c r="S15" i="11" s="1"/>
  <c r="V15" i="11" s="1"/>
  <c r="Q14" i="11"/>
  <c r="S14" i="11" s="1"/>
  <c r="V14" i="11" s="1"/>
  <c r="P82" i="7"/>
  <c r="P196" i="43" s="1"/>
  <c r="P195" i="43" s="1"/>
  <c r="O82" i="7"/>
  <c r="O196" i="43" s="1"/>
  <c r="O195" i="43" s="1"/>
  <c r="N82" i="7"/>
  <c r="N196" i="43" s="1"/>
  <c r="N195" i="43" s="1"/>
  <c r="M82" i="7"/>
  <c r="M196" i="43" s="1"/>
  <c r="M195" i="43" s="1"/>
  <c r="L82" i="7"/>
  <c r="L196" i="43" s="1"/>
  <c r="L195" i="43" s="1"/>
  <c r="K82" i="7"/>
  <c r="K196" i="43" s="1"/>
  <c r="K195" i="43" s="1"/>
  <c r="J82" i="7"/>
  <c r="J196" i="43" s="1"/>
  <c r="J195" i="43" s="1"/>
  <c r="H82" i="7"/>
  <c r="H196" i="43" s="1"/>
  <c r="H195" i="43" s="1"/>
  <c r="G82" i="7"/>
  <c r="G196" i="43" s="1"/>
  <c r="G195" i="43" s="1"/>
  <c r="F82" i="7"/>
  <c r="F196" i="43" s="1"/>
  <c r="P83" i="7"/>
  <c r="P165" i="43" s="1"/>
  <c r="O83" i="7"/>
  <c r="O165" i="43" s="1"/>
  <c r="N83" i="7"/>
  <c r="N165" i="43" s="1"/>
  <c r="M83" i="7"/>
  <c r="M165" i="43" s="1"/>
  <c r="L83" i="7"/>
  <c r="L165" i="43" s="1"/>
  <c r="K83" i="7"/>
  <c r="K165" i="43" s="1"/>
  <c r="J83" i="7"/>
  <c r="J165" i="43" s="1"/>
  <c r="J164" i="43" s="1"/>
  <c r="I83" i="7"/>
  <c r="I165" i="43" s="1"/>
  <c r="I164" i="43" s="1"/>
  <c r="H83" i="7"/>
  <c r="H165" i="43" s="1"/>
  <c r="H164" i="43" s="1"/>
  <c r="G83" i="7"/>
  <c r="G165" i="43" s="1"/>
  <c r="G164" i="43" s="1"/>
  <c r="F83" i="7"/>
  <c r="F165" i="43" s="1"/>
  <c r="P46" i="43"/>
  <c r="O46" i="43"/>
  <c r="O142" i="43"/>
  <c r="O141" i="43" s="1"/>
  <c r="N142" i="43"/>
  <c r="N141" i="43" s="1"/>
  <c r="M142" i="43"/>
  <c r="M141" i="43" s="1"/>
  <c r="L142" i="43"/>
  <c r="L141" i="43" s="1"/>
  <c r="K142" i="43"/>
  <c r="K141" i="43" s="1"/>
  <c r="J142" i="43"/>
  <c r="J141" i="43" s="1"/>
  <c r="I142" i="43"/>
  <c r="I141" i="43" s="1"/>
  <c r="H142" i="43"/>
  <c r="H141" i="43" s="1"/>
  <c r="G142" i="43"/>
  <c r="G141" i="43" s="1"/>
  <c r="O132" i="43"/>
  <c r="O131" i="43" s="1"/>
  <c r="N132" i="43"/>
  <c r="N131" i="43" s="1"/>
  <c r="M132" i="43"/>
  <c r="M131" i="43" s="1"/>
  <c r="L132" i="43"/>
  <c r="L131" i="43" s="1"/>
  <c r="K132" i="43"/>
  <c r="K131" i="43" s="1"/>
  <c r="J132" i="43"/>
  <c r="J131" i="43" s="1"/>
  <c r="I132" i="43"/>
  <c r="I131" i="43" s="1"/>
  <c r="H132" i="43"/>
  <c r="H131" i="43" s="1"/>
  <c r="G132" i="43"/>
  <c r="G131" i="43" s="1"/>
  <c r="P57" i="7"/>
  <c r="P63" i="7" s="1"/>
  <c r="O57" i="7"/>
  <c r="O63" i="7" s="1"/>
  <c r="N57" i="7"/>
  <c r="N63" i="7" s="1"/>
  <c r="M57" i="7"/>
  <c r="M63" i="7" s="1"/>
  <c r="L57" i="7"/>
  <c r="L63" i="7" s="1"/>
  <c r="K57" i="7"/>
  <c r="K63" i="7" s="1"/>
  <c r="J57" i="7"/>
  <c r="J63" i="7" s="1"/>
  <c r="I57" i="7"/>
  <c r="I63" i="7" s="1"/>
  <c r="H57" i="7"/>
  <c r="H63" i="7" s="1"/>
  <c r="G57" i="7"/>
  <c r="G63" i="7" s="1"/>
  <c r="F57" i="7"/>
  <c r="F63" i="7" s="1"/>
  <c r="S83" i="7"/>
  <c r="S82" i="7"/>
  <c r="Q81" i="7"/>
  <c r="R81" i="7" s="1"/>
  <c r="F52" i="46" s="1"/>
  <c r="R62" i="7"/>
  <c r="N62" i="51" l="1"/>
  <c r="N65" i="51" s="1"/>
  <c r="K62" i="51"/>
  <c r="K65" i="51" s="1"/>
  <c r="L62" i="51"/>
  <c r="L65" i="51" s="1"/>
  <c r="P62" i="51"/>
  <c r="P65" i="51" s="1"/>
  <c r="O28" i="53"/>
  <c r="O43" i="53" s="1"/>
  <c r="O57" i="53" s="1"/>
  <c r="O55" i="53" s="1"/>
  <c r="P28" i="53"/>
  <c r="P43" i="53" s="1"/>
  <c r="P57" i="53" s="1"/>
  <c r="P55" i="53" s="1"/>
  <c r="Q62" i="51"/>
  <c r="Q65" i="51" s="1"/>
  <c r="K10" i="53"/>
  <c r="J10" i="53"/>
  <c r="L28" i="53"/>
  <c r="L43" i="53" s="1"/>
  <c r="L57" i="53" s="1"/>
  <c r="L55" i="53" s="1"/>
  <c r="J43" i="53"/>
  <c r="J57" i="53" s="1"/>
  <c r="J55" i="53" s="1"/>
  <c r="J62" i="51"/>
  <c r="J65" i="51" s="1"/>
  <c r="I62" i="51"/>
  <c r="I65" i="51" s="1"/>
  <c r="H62" i="51"/>
  <c r="H65" i="51" s="1"/>
  <c r="R13" i="53"/>
  <c r="R122" i="53" s="1"/>
  <c r="O62" i="51"/>
  <c r="O65" i="51" s="1"/>
  <c r="F62" i="51"/>
  <c r="F65" i="51" s="1"/>
  <c r="L10" i="53"/>
  <c r="N43" i="53"/>
  <c r="N57" i="53" s="1"/>
  <c r="N55" i="53" s="1"/>
  <c r="G43" i="53"/>
  <c r="Q28" i="53"/>
  <c r="R62" i="51"/>
  <c r="R65" i="51" s="1"/>
  <c r="H55" i="53"/>
  <c r="H27" i="46"/>
  <c r="T30" i="12"/>
  <c r="H34" i="46"/>
  <c r="T37" i="12"/>
  <c r="Q34" i="46"/>
  <c r="H26" i="46"/>
  <c r="H29" i="46" s="1"/>
  <c r="T29" i="12"/>
  <c r="V15" i="12"/>
  <c r="V24" i="12"/>
  <c r="H50" i="46"/>
  <c r="T52" i="12"/>
  <c r="AE45" i="12" s="1"/>
  <c r="V22" i="12"/>
  <c r="V13" i="12"/>
  <c r="V23" i="12"/>
  <c r="V14" i="12"/>
  <c r="H23" i="46"/>
  <c r="T26" i="12"/>
  <c r="H36" i="46"/>
  <c r="T39" i="12"/>
  <c r="AC39" i="12" s="1"/>
  <c r="K164" i="43"/>
  <c r="H52" i="46"/>
  <c r="Q52" i="46" s="1"/>
  <c r="T50" i="12"/>
  <c r="AC50" i="12" s="1"/>
  <c r="V20" i="12"/>
  <c r="T20" i="12"/>
  <c r="H35" i="46"/>
  <c r="T38" i="12"/>
  <c r="R63" i="7"/>
  <c r="H24" i="46"/>
  <c r="T27" i="12"/>
  <c r="H28" i="46"/>
  <c r="T31" i="12"/>
  <c r="H14" i="46"/>
  <c r="H90" i="46" s="1"/>
  <c r="U23" i="12"/>
  <c r="T14" i="12"/>
  <c r="W23" i="12" s="1"/>
  <c r="H53" i="46"/>
  <c r="T51" i="12"/>
  <c r="H25" i="46"/>
  <c r="T28" i="12"/>
  <c r="H32" i="46"/>
  <c r="R67" i="11"/>
  <c r="F176" i="43"/>
  <c r="T46" i="11"/>
  <c r="T67" i="11"/>
  <c r="T47" i="11"/>
  <c r="F113" i="43"/>
  <c r="F111" i="43" s="1"/>
  <c r="R36" i="11"/>
  <c r="F166" i="43"/>
  <c r="F164" i="43" s="1"/>
  <c r="R53" i="11"/>
  <c r="G50" i="46" s="1"/>
  <c r="T48" i="11"/>
  <c r="T49" i="11"/>
  <c r="AB49" i="11" s="1"/>
  <c r="R28" i="11"/>
  <c r="M164" i="43"/>
  <c r="T20" i="11"/>
  <c r="R65" i="11"/>
  <c r="O164" i="43"/>
  <c r="R29" i="11"/>
  <c r="T32" i="11"/>
  <c r="T50" i="11"/>
  <c r="R31" i="11"/>
  <c r="G27" i="46" s="1"/>
  <c r="Q27" i="46" s="1"/>
  <c r="F80" i="43"/>
  <c r="F78" i="43" s="1"/>
  <c r="R30" i="11"/>
  <c r="P164" i="43"/>
  <c r="L164" i="43"/>
  <c r="N164" i="43"/>
  <c r="P105" i="11"/>
  <c r="P15" i="43"/>
  <c r="Q70" i="43"/>
  <c r="G106" i="11"/>
  <c r="G32" i="43"/>
  <c r="G30" i="43" s="1"/>
  <c r="H106" i="11"/>
  <c r="H32" i="43"/>
  <c r="H30" i="43" s="1"/>
  <c r="P60" i="43"/>
  <c r="P58" i="43" s="1"/>
  <c r="F106" i="11"/>
  <c r="F32" i="43"/>
  <c r="Q90" i="43"/>
  <c r="I106" i="11"/>
  <c r="I32" i="43"/>
  <c r="I30" i="43" s="1"/>
  <c r="O105" i="11"/>
  <c r="O15" i="43"/>
  <c r="J106" i="11"/>
  <c r="J32" i="43"/>
  <c r="J30" i="43" s="1"/>
  <c r="Q100" i="43"/>
  <c r="R100" i="43" s="1"/>
  <c r="T100" i="43" s="1"/>
  <c r="F105" i="11"/>
  <c r="F15" i="43"/>
  <c r="K106" i="11"/>
  <c r="K32" i="43"/>
  <c r="K30" i="43" s="1"/>
  <c r="I41" i="11"/>
  <c r="I113" i="43"/>
  <c r="I111" i="43" s="1"/>
  <c r="I151" i="43" s="1"/>
  <c r="M264" i="43"/>
  <c r="M263" i="43"/>
  <c r="P80" i="43"/>
  <c r="P78" i="43" s="1"/>
  <c r="I105" i="11"/>
  <c r="I15" i="43"/>
  <c r="N106" i="11"/>
  <c r="N32" i="43"/>
  <c r="N30" i="43" s="1"/>
  <c r="F33" i="11"/>
  <c r="F60" i="43"/>
  <c r="G105" i="11"/>
  <c r="G15" i="43"/>
  <c r="L106" i="11"/>
  <c r="L32" i="43"/>
  <c r="L30" i="43" s="1"/>
  <c r="O264" i="43"/>
  <c r="O263" i="43"/>
  <c r="G33" i="11"/>
  <c r="G60" i="43"/>
  <c r="G58" i="43" s="1"/>
  <c r="H33" i="11"/>
  <c r="H60" i="43"/>
  <c r="H58" i="43" s="1"/>
  <c r="P264" i="43"/>
  <c r="P263" i="43"/>
  <c r="G21" i="46"/>
  <c r="I33" i="11"/>
  <c r="I60" i="43"/>
  <c r="I58" i="43" s="1"/>
  <c r="R14" i="11"/>
  <c r="M105" i="11"/>
  <c r="M15" i="43"/>
  <c r="N105" i="11"/>
  <c r="N15" i="43"/>
  <c r="P113" i="43"/>
  <c r="P111" i="43" s="1"/>
  <c r="H41" i="11"/>
  <c r="F132" i="43"/>
  <c r="R69" i="7"/>
  <c r="R50" i="7"/>
  <c r="F49" i="43"/>
  <c r="F48" i="43" s="1"/>
  <c r="R57" i="7"/>
  <c r="F142" i="43"/>
  <c r="F28" i="46"/>
  <c r="T62" i="7"/>
  <c r="R15" i="12"/>
  <c r="Q44" i="12"/>
  <c r="P177" i="43"/>
  <c r="R49" i="12"/>
  <c r="G33" i="12"/>
  <c r="G41" i="12" s="1"/>
  <c r="G53" i="12" s="1"/>
  <c r="R48" i="12"/>
  <c r="R45" i="12"/>
  <c r="J33" i="12"/>
  <c r="J41" i="12" s="1"/>
  <c r="J53" i="12" s="1"/>
  <c r="R46" i="12"/>
  <c r="R47" i="12"/>
  <c r="R13" i="12"/>
  <c r="R16" i="12"/>
  <c r="H151" i="43"/>
  <c r="N46" i="43"/>
  <c r="F46" i="43"/>
  <c r="G46" i="43"/>
  <c r="H46" i="43"/>
  <c r="I46" i="43"/>
  <c r="J46" i="43"/>
  <c r="Z67" i="7"/>
  <c r="AB67" i="7" s="1"/>
  <c r="K46" i="43"/>
  <c r="L46" i="43"/>
  <c r="M46" i="43"/>
  <c r="N151" i="43"/>
  <c r="R165" i="43"/>
  <c r="J151" i="43"/>
  <c r="K151" i="43"/>
  <c r="R70" i="7"/>
  <c r="P142" i="43"/>
  <c r="P141" i="43" s="1"/>
  <c r="P49" i="43"/>
  <c r="P48" i="43" s="1"/>
  <c r="G151" i="43"/>
  <c r="L151" i="43"/>
  <c r="H49" i="43"/>
  <c r="H48" i="43" s="1"/>
  <c r="M151" i="43"/>
  <c r="O49" i="43"/>
  <c r="O48" i="43" s="1"/>
  <c r="O108" i="43" s="1"/>
  <c r="S81" i="7"/>
  <c r="Q185" i="43"/>
  <c r="G49" i="43"/>
  <c r="G48" i="43" s="1"/>
  <c r="I49" i="43"/>
  <c r="I48" i="43" s="1"/>
  <c r="J49" i="43"/>
  <c r="J48" i="43" s="1"/>
  <c r="J108" i="43" s="1"/>
  <c r="F131" i="43"/>
  <c r="Q99" i="43"/>
  <c r="O151" i="43"/>
  <c r="K49" i="43"/>
  <c r="K48" i="43" s="1"/>
  <c r="K108" i="43" s="1"/>
  <c r="P132" i="43"/>
  <c r="P131" i="43" s="1"/>
  <c r="L49" i="43"/>
  <c r="L48" i="43" s="1"/>
  <c r="L108" i="43" s="1"/>
  <c r="F141" i="43"/>
  <c r="M49" i="43"/>
  <c r="M48" i="43" s="1"/>
  <c r="M108" i="43" s="1"/>
  <c r="N49" i="43"/>
  <c r="N48" i="43" s="1"/>
  <c r="N108" i="43" s="1"/>
  <c r="R196" i="43"/>
  <c r="F195" i="43"/>
  <c r="R195" i="43" s="1"/>
  <c r="H17" i="11"/>
  <c r="H19" i="11" s="1"/>
  <c r="H105" i="11"/>
  <c r="S13" i="11"/>
  <c r="V13" i="11" s="1"/>
  <c r="P106" i="11"/>
  <c r="J17" i="11"/>
  <c r="J19" i="11" s="1"/>
  <c r="J105" i="11"/>
  <c r="O17" i="11"/>
  <c r="O19" i="11" s="1"/>
  <c r="O106" i="11"/>
  <c r="K33" i="12"/>
  <c r="K41" i="12" s="1"/>
  <c r="K53" i="12" s="1"/>
  <c r="G17" i="11"/>
  <c r="G19" i="11" s="1"/>
  <c r="L17" i="11"/>
  <c r="L19" i="11" s="1"/>
  <c r="L105" i="11"/>
  <c r="L71" i="7"/>
  <c r="M17" i="11"/>
  <c r="M19" i="11" s="1"/>
  <c r="M106" i="11"/>
  <c r="K17" i="11"/>
  <c r="K19" i="11" s="1"/>
  <c r="K105" i="11"/>
  <c r="L33" i="11"/>
  <c r="AC38" i="12"/>
  <c r="O71" i="7"/>
  <c r="R82" i="7"/>
  <c r="F53" i="46" s="1"/>
  <c r="Q53" i="46" s="1"/>
  <c r="H71" i="7"/>
  <c r="M71" i="7"/>
  <c r="J71" i="7"/>
  <c r="K71" i="7"/>
  <c r="O41" i="11"/>
  <c r="G41" i="11"/>
  <c r="J33" i="11"/>
  <c r="O33" i="11"/>
  <c r="K33" i="11"/>
  <c r="P41" i="11"/>
  <c r="M33" i="11"/>
  <c r="J41" i="11"/>
  <c r="I17" i="11"/>
  <c r="I19" i="11" s="1"/>
  <c r="N17" i="11"/>
  <c r="N19" i="11" s="1"/>
  <c r="R83" i="7"/>
  <c r="F50" i="46" s="1"/>
  <c r="Q50" i="46" s="1"/>
  <c r="S44" i="12"/>
  <c r="V44" i="12" s="1"/>
  <c r="H33" i="12"/>
  <c r="H41" i="12" s="1"/>
  <c r="H53" i="12" s="1"/>
  <c r="N33" i="12"/>
  <c r="N41" i="12" s="1"/>
  <c r="N53" i="12" s="1"/>
  <c r="O33" i="12"/>
  <c r="O41" i="12" s="1"/>
  <c r="O53" i="12" s="1"/>
  <c r="F41" i="12"/>
  <c r="F53" i="12" s="1"/>
  <c r="M33" i="12"/>
  <c r="M41" i="12" s="1"/>
  <c r="M53" i="12" s="1"/>
  <c r="P33" i="12"/>
  <c r="T104" i="12"/>
  <c r="I33" i="12"/>
  <c r="I41" i="12" s="1"/>
  <c r="I53" i="12" s="1"/>
  <c r="L33" i="12"/>
  <c r="L41" i="12" s="1"/>
  <c r="L53" i="12" s="1"/>
  <c r="Q32" i="12"/>
  <c r="S12" i="12"/>
  <c r="Q17" i="12"/>
  <c r="R32" i="12"/>
  <c r="S35" i="12"/>
  <c r="T35" i="12" s="1"/>
  <c r="Q40" i="12"/>
  <c r="R12" i="12"/>
  <c r="S26" i="12"/>
  <c r="V26" i="12" s="1"/>
  <c r="S27" i="12"/>
  <c r="V27" i="12" s="1"/>
  <c r="P40" i="12"/>
  <c r="R36" i="12"/>
  <c r="L41" i="11"/>
  <c r="K41" i="11"/>
  <c r="N41" i="11"/>
  <c r="M41" i="11"/>
  <c r="N33" i="11"/>
  <c r="P33" i="11"/>
  <c r="F19" i="11"/>
  <c r="F34" i="11" s="1"/>
  <c r="P17" i="11"/>
  <c r="P19" i="11" s="1"/>
  <c r="R13" i="11"/>
  <c r="Q17" i="11"/>
  <c r="Q19" i="11" s="1"/>
  <c r="R12" i="11"/>
  <c r="S12" i="11"/>
  <c r="V12" i="11" s="1"/>
  <c r="F41" i="11"/>
  <c r="G23" i="46"/>
  <c r="R15" i="11"/>
  <c r="R16" i="11"/>
  <c r="Q45" i="11"/>
  <c r="Q176" i="43" s="1"/>
  <c r="I71" i="7"/>
  <c r="F71" i="7"/>
  <c r="G71" i="7"/>
  <c r="N71" i="7"/>
  <c r="P71" i="7"/>
  <c r="R10" i="53" l="1"/>
  <c r="Q43" i="53"/>
  <c r="Q57" i="53" s="1"/>
  <c r="H15" i="46"/>
  <c r="T13" i="12"/>
  <c r="W22" i="12" s="1"/>
  <c r="U22" i="12"/>
  <c r="T46" i="12"/>
  <c r="AC46" i="12" s="1"/>
  <c r="J54" i="12"/>
  <c r="J210" i="43" s="1"/>
  <c r="U32" i="12"/>
  <c r="V21" i="12"/>
  <c r="V12" i="12"/>
  <c r="T45" i="12"/>
  <c r="AC45" i="12" s="1"/>
  <c r="U45" i="12"/>
  <c r="T47" i="12"/>
  <c r="AC47" i="12" s="1"/>
  <c r="T48" i="12"/>
  <c r="AC49" i="12"/>
  <c r="T49" i="12"/>
  <c r="G54" i="12"/>
  <c r="G210" i="43" s="1"/>
  <c r="G55" i="12"/>
  <c r="G87" i="12" s="1"/>
  <c r="I55" i="12"/>
  <c r="I87" i="12" s="1"/>
  <c r="I54" i="12"/>
  <c r="I210" i="43" s="1"/>
  <c r="H54" i="12"/>
  <c r="H210" i="43" s="1"/>
  <c r="R71" i="7"/>
  <c r="R176" i="43"/>
  <c r="T176" i="43" s="1"/>
  <c r="M54" i="12"/>
  <c r="M210" i="43" s="1"/>
  <c r="Q28" i="46"/>
  <c r="H16" i="46"/>
  <c r="U24" i="12"/>
  <c r="T15" i="12"/>
  <c r="W24" i="12" s="1"/>
  <c r="F54" i="12"/>
  <c r="F55" i="12"/>
  <c r="K54" i="12"/>
  <c r="K210" i="43" s="1"/>
  <c r="N54" i="12"/>
  <c r="N210" i="43" s="1"/>
  <c r="S40" i="12"/>
  <c r="V40" i="12" s="1"/>
  <c r="V35" i="12"/>
  <c r="L54" i="12"/>
  <c r="L210" i="43" s="1"/>
  <c r="T36" i="12"/>
  <c r="H13" i="46"/>
  <c r="H89" i="46" s="1"/>
  <c r="U21" i="12"/>
  <c r="O54" i="12"/>
  <c r="O210" i="43" s="1"/>
  <c r="H17" i="46"/>
  <c r="H93" i="46" s="1"/>
  <c r="T16" i="12"/>
  <c r="AC16" i="12" s="1"/>
  <c r="R166" i="43"/>
  <c r="T166" i="43" s="1"/>
  <c r="H34" i="11"/>
  <c r="H42" i="11" s="1"/>
  <c r="H54" i="11" s="1"/>
  <c r="R19" i="11"/>
  <c r="T31" i="11"/>
  <c r="T53" i="11"/>
  <c r="T36" i="11"/>
  <c r="T29" i="11"/>
  <c r="G14" i="46"/>
  <c r="G90" i="46" s="1"/>
  <c r="G25" i="46"/>
  <c r="Q25" i="46" s="1"/>
  <c r="R17" i="11"/>
  <c r="T65" i="11"/>
  <c r="G13" i="46"/>
  <c r="G89" i="46" s="1"/>
  <c r="T28" i="11"/>
  <c r="R45" i="11"/>
  <c r="G51" i="46" s="1"/>
  <c r="T30" i="11"/>
  <c r="R78" i="43"/>
  <c r="T78" i="43" s="1"/>
  <c r="R164" i="43"/>
  <c r="T164" i="43" s="1"/>
  <c r="AB40" i="11"/>
  <c r="G34" i="11"/>
  <c r="G42" i="11" s="1"/>
  <c r="AB39" i="11"/>
  <c r="G108" i="43"/>
  <c r="H108" i="43"/>
  <c r="P108" i="43"/>
  <c r="R111" i="43"/>
  <c r="T111" i="43" s="1"/>
  <c r="R80" i="43"/>
  <c r="T80" i="43" s="1"/>
  <c r="I34" i="11"/>
  <c r="I42" i="11" s="1"/>
  <c r="I91" i="11" s="1"/>
  <c r="R15" i="43"/>
  <c r="T15" i="43" s="1"/>
  <c r="K264" i="43"/>
  <c r="K263" i="43"/>
  <c r="L264" i="43"/>
  <c r="L263" i="43"/>
  <c r="H263" i="43"/>
  <c r="H264" i="43"/>
  <c r="O34" i="11"/>
  <c r="O42" i="11" s="1"/>
  <c r="O54" i="11" s="1"/>
  <c r="T14" i="11"/>
  <c r="N264" i="43"/>
  <c r="N263" i="43"/>
  <c r="J263" i="43"/>
  <c r="J264" i="43"/>
  <c r="G263" i="43"/>
  <c r="G264" i="43"/>
  <c r="F30" i="43"/>
  <c r="R32" i="43"/>
  <c r="T32" i="43" s="1"/>
  <c r="R60" i="43"/>
  <c r="T60" i="43" s="1"/>
  <c r="F58" i="43"/>
  <c r="R58" i="43" s="1"/>
  <c r="T58" i="43" s="1"/>
  <c r="R113" i="43"/>
  <c r="T113" i="43" s="1"/>
  <c r="R70" i="43"/>
  <c r="T70" i="43" s="1"/>
  <c r="Q68" i="43"/>
  <c r="R68" i="43" s="1"/>
  <c r="T68" i="43" s="1"/>
  <c r="I264" i="43"/>
  <c r="I263" i="43"/>
  <c r="I108" i="43"/>
  <c r="R90" i="43"/>
  <c r="T90" i="43" s="1"/>
  <c r="Q88" i="43"/>
  <c r="R88" i="43" s="1"/>
  <c r="T88" i="43" s="1"/>
  <c r="G32" i="46"/>
  <c r="Q32" i="46" s="1"/>
  <c r="G26" i="46"/>
  <c r="Q26" i="46" s="1"/>
  <c r="G24" i="46"/>
  <c r="Q24" i="46" s="1"/>
  <c r="K34" i="11"/>
  <c r="K42" i="11" s="1"/>
  <c r="L34" i="11"/>
  <c r="L42" i="11" s="1"/>
  <c r="Q19" i="12"/>
  <c r="R19" i="12" s="1"/>
  <c r="R17" i="12"/>
  <c r="U16" i="12" s="1"/>
  <c r="Q177" i="43"/>
  <c r="R177" i="43" s="1"/>
  <c r="T177" i="43" s="1"/>
  <c r="AE44" i="12"/>
  <c r="AC15" i="12"/>
  <c r="Q71" i="7"/>
  <c r="R132" i="43"/>
  <c r="T132" i="43" s="1"/>
  <c r="T71" i="7"/>
  <c r="T63" i="7"/>
  <c r="F36" i="46"/>
  <c r="Q36" i="46" s="1"/>
  <c r="T70" i="7"/>
  <c r="T57" i="7"/>
  <c r="F23" i="46"/>
  <c r="T50" i="7"/>
  <c r="F21" i="46"/>
  <c r="Q21" i="46" s="1"/>
  <c r="T69" i="7"/>
  <c r="F35" i="46"/>
  <c r="Q35" i="46" s="1"/>
  <c r="R44" i="12"/>
  <c r="AC13" i="12"/>
  <c r="H33" i="46"/>
  <c r="Q33" i="46" s="1"/>
  <c r="H18" i="46"/>
  <c r="H20" i="46" s="1"/>
  <c r="T16" i="11"/>
  <c r="G17" i="46"/>
  <c r="G93" i="46" s="1"/>
  <c r="T15" i="11"/>
  <c r="G16" i="46"/>
  <c r="T13" i="11"/>
  <c r="G15" i="46"/>
  <c r="R46" i="43"/>
  <c r="T46" i="43" s="1"/>
  <c r="AB66" i="7"/>
  <c r="T81" i="7"/>
  <c r="T83" i="7"/>
  <c r="T82" i="7"/>
  <c r="P151" i="43"/>
  <c r="T195" i="43"/>
  <c r="Q98" i="43"/>
  <c r="R99" i="43"/>
  <c r="F151" i="43"/>
  <c r="R131" i="43"/>
  <c r="Q142" i="43"/>
  <c r="T196" i="43"/>
  <c r="R48" i="43"/>
  <c r="Q184" i="43"/>
  <c r="R184" i="43" s="1"/>
  <c r="R185" i="43"/>
  <c r="R49" i="43"/>
  <c r="T165" i="43"/>
  <c r="Q41" i="11"/>
  <c r="R41" i="11" s="1"/>
  <c r="M34" i="11"/>
  <c r="M42" i="11" s="1"/>
  <c r="J34" i="11"/>
  <c r="J42" i="11" s="1"/>
  <c r="P41" i="12"/>
  <c r="P53" i="12" s="1"/>
  <c r="Q33" i="12"/>
  <c r="Q41" i="12" s="1"/>
  <c r="Q53" i="12" s="1"/>
  <c r="AC36" i="12"/>
  <c r="R40" i="12"/>
  <c r="S32" i="12"/>
  <c r="AC48" i="12"/>
  <c r="T12" i="12"/>
  <c r="N34" i="11"/>
  <c r="N42" i="11" s="1"/>
  <c r="P34" i="11"/>
  <c r="P42" i="11" s="1"/>
  <c r="F42" i="11"/>
  <c r="AB46" i="11"/>
  <c r="AB47" i="11"/>
  <c r="AB48" i="11"/>
  <c r="AB50" i="11"/>
  <c r="Q33" i="11"/>
  <c r="Q34" i="11" s="1"/>
  <c r="AB51" i="11"/>
  <c r="T12" i="11"/>
  <c r="Q55" i="53" l="1"/>
  <c r="R55" i="53" s="1"/>
  <c r="R57" i="53"/>
  <c r="S33" i="12"/>
  <c r="V32" i="12"/>
  <c r="N55" i="12"/>
  <c r="N87" i="12" s="1"/>
  <c r="H55" i="12"/>
  <c r="H87" i="12" s="1"/>
  <c r="K55" i="12"/>
  <c r="K87" i="12" s="1"/>
  <c r="T32" i="12"/>
  <c r="U76" i="12"/>
  <c r="U60" i="12"/>
  <c r="U42" i="12"/>
  <c r="U80" i="12"/>
  <c r="U75" i="12"/>
  <c r="U59" i="12"/>
  <c r="U64" i="12"/>
  <c r="U63" i="12"/>
  <c r="U74" i="12"/>
  <c r="U58" i="12"/>
  <c r="U82" i="12"/>
  <c r="U66" i="12"/>
  <c r="U78" i="12"/>
  <c r="U73" i="12"/>
  <c r="U57" i="12"/>
  <c r="U72" i="12"/>
  <c r="U71" i="12"/>
  <c r="U70" i="12"/>
  <c r="U69" i="12"/>
  <c r="U83" i="12"/>
  <c r="T17" i="12"/>
  <c r="U86" i="12"/>
  <c r="U85" i="12"/>
  <c r="U84" i="12"/>
  <c r="U68" i="12"/>
  <c r="U34" i="12"/>
  <c r="U17" i="12"/>
  <c r="U67" i="12"/>
  <c r="U81" i="12"/>
  <c r="U65" i="12"/>
  <c r="U79" i="12"/>
  <c r="U62" i="12"/>
  <c r="U77" i="12"/>
  <c r="U61" i="12"/>
  <c r="U43" i="12"/>
  <c r="U56" i="12"/>
  <c r="U18" i="12"/>
  <c r="U20" i="12"/>
  <c r="U37" i="12"/>
  <c r="U39" i="12"/>
  <c r="U26" i="12"/>
  <c r="U29" i="12"/>
  <c r="U35" i="12"/>
  <c r="U30" i="12"/>
  <c r="U38" i="12"/>
  <c r="U14" i="12"/>
  <c r="U51" i="12"/>
  <c r="U27" i="12"/>
  <c r="U28" i="12"/>
  <c r="U31" i="12"/>
  <c r="U50" i="12"/>
  <c r="U52" i="12"/>
  <c r="F87" i="12"/>
  <c r="O55" i="12"/>
  <c r="O87" i="12" s="1"/>
  <c r="R54" i="12"/>
  <c r="F210" i="43"/>
  <c r="R210" i="43" s="1"/>
  <c r="T210" i="43" s="1"/>
  <c r="U49" i="12"/>
  <c r="H91" i="11"/>
  <c r="U15" i="12"/>
  <c r="U46" i="12"/>
  <c r="Q54" i="12"/>
  <c r="Q210" i="43" s="1"/>
  <c r="Q55" i="12"/>
  <c r="Q87" i="12" s="1"/>
  <c r="P54" i="12"/>
  <c r="P210" i="43" s="1"/>
  <c r="J55" i="12"/>
  <c r="J87" i="12" s="1"/>
  <c r="U12" i="12"/>
  <c r="U48" i="12"/>
  <c r="H51" i="46"/>
  <c r="U44" i="12"/>
  <c r="T44" i="12"/>
  <c r="W44" i="12" s="1"/>
  <c r="U19" i="12"/>
  <c r="T19" i="12"/>
  <c r="R53" i="12"/>
  <c r="Q23" i="46"/>
  <c r="Q29" i="46" s="1"/>
  <c r="F29" i="46"/>
  <c r="G91" i="46"/>
  <c r="G92" i="46"/>
  <c r="U36" i="12"/>
  <c r="U47" i="12"/>
  <c r="U40" i="12"/>
  <c r="T40" i="12"/>
  <c r="AE40" i="12" s="1"/>
  <c r="AE46" i="12" s="1"/>
  <c r="Q37" i="46"/>
  <c r="U13" i="12"/>
  <c r="T102" i="12"/>
  <c r="W21" i="12"/>
  <c r="L55" i="12"/>
  <c r="L87" i="12" s="1"/>
  <c r="M55" i="12"/>
  <c r="M87" i="12" s="1"/>
  <c r="H92" i="46"/>
  <c r="H91" i="46"/>
  <c r="T41" i="11"/>
  <c r="U41" i="11"/>
  <c r="T17" i="11"/>
  <c r="W36" i="11" s="1"/>
  <c r="U64" i="11"/>
  <c r="U70" i="11"/>
  <c r="U85" i="11"/>
  <c r="U77" i="11"/>
  <c r="U69" i="11"/>
  <c r="U39" i="11"/>
  <c r="U17" i="11"/>
  <c r="U63" i="11"/>
  <c r="U78" i="11"/>
  <c r="U57" i="11"/>
  <c r="U62" i="11"/>
  <c r="U71" i="11"/>
  <c r="U38" i="11"/>
  <c r="U75" i="11"/>
  <c r="U74" i="11"/>
  <c r="U79" i="11"/>
  <c r="U37" i="11"/>
  <c r="U72" i="11"/>
  <c r="U66" i="11"/>
  <c r="U83" i="11"/>
  <c r="U73" i="11"/>
  <c r="U59" i="11"/>
  <c r="U82" i="11"/>
  <c r="U76" i="11"/>
  <c r="U61" i="11"/>
  <c r="U44" i="11"/>
  <c r="U60" i="11"/>
  <c r="U80" i="11"/>
  <c r="U40" i="11"/>
  <c r="U35" i="11"/>
  <c r="U52" i="11"/>
  <c r="U86" i="11"/>
  <c r="U88" i="11"/>
  <c r="U43" i="11"/>
  <c r="U68" i="11"/>
  <c r="U51" i="11"/>
  <c r="U18" i="11"/>
  <c r="U58" i="11"/>
  <c r="U81" i="11"/>
  <c r="U27" i="11"/>
  <c r="U84" i="11"/>
  <c r="U87" i="11"/>
  <c r="U49" i="11"/>
  <c r="U46" i="11"/>
  <c r="U20" i="11"/>
  <c r="U67" i="11"/>
  <c r="U47" i="11"/>
  <c r="U32" i="11"/>
  <c r="U50" i="11"/>
  <c r="U48" i="11"/>
  <c r="U14" i="11"/>
  <c r="U30" i="11"/>
  <c r="U29" i="11"/>
  <c r="T45" i="11"/>
  <c r="AB45" i="11" s="1"/>
  <c r="U45" i="11"/>
  <c r="U36" i="11"/>
  <c r="U28" i="11"/>
  <c r="U13" i="11"/>
  <c r="U53" i="11"/>
  <c r="U12" i="11"/>
  <c r="F54" i="11"/>
  <c r="F55" i="11" s="1"/>
  <c r="U31" i="11"/>
  <c r="R33" i="11"/>
  <c r="U16" i="11"/>
  <c r="T19" i="11"/>
  <c r="U19" i="11"/>
  <c r="U65" i="11"/>
  <c r="R34" i="11"/>
  <c r="U15" i="11"/>
  <c r="G54" i="11"/>
  <c r="G55" i="11" s="1"/>
  <c r="G209" i="43" s="1"/>
  <c r="G207" i="43" s="1"/>
  <c r="G91" i="11"/>
  <c r="AB15" i="11"/>
  <c r="AB37" i="11"/>
  <c r="AB16" i="11"/>
  <c r="W16" i="11"/>
  <c r="W20" i="11"/>
  <c r="AB36" i="11"/>
  <c r="T105" i="11"/>
  <c r="AB12" i="11" s="1"/>
  <c r="AB14" i="11"/>
  <c r="I54" i="11"/>
  <c r="T106" i="11"/>
  <c r="AB13" i="11" s="1"/>
  <c r="Q108" i="43"/>
  <c r="G29" i="46"/>
  <c r="F108" i="43"/>
  <c r="H55" i="11"/>
  <c r="H209" i="43" s="1"/>
  <c r="H207" i="43" s="1"/>
  <c r="I55" i="11"/>
  <c r="I209" i="43" s="1"/>
  <c r="I207" i="43" s="1"/>
  <c r="O55" i="11"/>
  <c r="O209" i="43" s="1"/>
  <c r="O207" i="43" s="1"/>
  <c r="F264" i="43"/>
  <c r="F263" i="43"/>
  <c r="R30" i="43"/>
  <c r="T30" i="43" s="1"/>
  <c r="G37" i="46"/>
  <c r="O91" i="11"/>
  <c r="Q42" i="11"/>
  <c r="Q54" i="11" s="1"/>
  <c r="M54" i="11"/>
  <c r="M91" i="11"/>
  <c r="J54" i="11"/>
  <c r="J91" i="11"/>
  <c r="P54" i="11"/>
  <c r="P91" i="11"/>
  <c r="L54" i="11"/>
  <c r="L91" i="11"/>
  <c r="N54" i="11"/>
  <c r="N91" i="11"/>
  <c r="K54" i="11"/>
  <c r="K91" i="11"/>
  <c r="F91" i="11"/>
  <c r="R33" i="12"/>
  <c r="F37" i="46"/>
  <c r="H37" i="46"/>
  <c r="G18" i="46"/>
  <c r="AB81" i="7"/>
  <c r="AB69" i="7"/>
  <c r="T48" i="43"/>
  <c r="T99" i="43"/>
  <c r="T184" i="43"/>
  <c r="Q141" i="43"/>
  <c r="R142" i="43"/>
  <c r="T131" i="43"/>
  <c r="T49" i="43"/>
  <c r="T185" i="43"/>
  <c r="R98" i="43"/>
  <c r="H20" i="29"/>
  <c r="H18" i="33"/>
  <c r="AC44" i="12"/>
  <c r="AC17" i="12"/>
  <c r="H10" i="29" s="1"/>
  <c r="AC35" i="12"/>
  <c r="W30" i="11"/>
  <c r="U33" i="12" l="1"/>
  <c r="T33" i="12"/>
  <c r="H55" i="46"/>
  <c r="T54" i="12"/>
  <c r="U54" i="12"/>
  <c r="T53" i="12"/>
  <c r="U53" i="12"/>
  <c r="P55" i="12"/>
  <c r="P87" i="12" s="1"/>
  <c r="W79" i="12"/>
  <c r="W85" i="12"/>
  <c r="W84" i="12"/>
  <c r="W70" i="12"/>
  <c r="W68" i="12"/>
  <c r="W65" i="12"/>
  <c r="W62" i="12"/>
  <c r="W69" i="12"/>
  <c r="W66" i="12"/>
  <c r="W63" i="12"/>
  <c r="W86" i="12"/>
  <c r="W61" i="12"/>
  <c r="W57" i="12"/>
  <c r="W83" i="12"/>
  <c r="W78" i="12"/>
  <c r="W80" i="12"/>
  <c r="W73" i="12"/>
  <c r="W58" i="12"/>
  <c r="W74" i="12"/>
  <c r="W60" i="12"/>
  <c r="W64" i="12"/>
  <c r="W59" i="12"/>
  <c r="W67" i="12"/>
  <c r="W77" i="12"/>
  <c r="W71" i="12"/>
  <c r="W76" i="12"/>
  <c r="W81" i="12"/>
  <c r="W82" i="12"/>
  <c r="W75" i="12"/>
  <c r="W72" i="12"/>
  <c r="W56" i="12"/>
  <c r="R87" i="12"/>
  <c r="R41" i="12"/>
  <c r="S41" i="12"/>
  <c r="V41" i="12" s="1"/>
  <c r="V33" i="12"/>
  <c r="R108" i="43"/>
  <c r="T108" i="43" s="1"/>
  <c r="U34" i="11"/>
  <c r="T34" i="11"/>
  <c r="AB17" i="11"/>
  <c r="AB19" i="11" s="1"/>
  <c r="G10" i="29" s="1"/>
  <c r="T33" i="11"/>
  <c r="G56" i="33" s="1"/>
  <c r="U33" i="11"/>
  <c r="F56" i="11"/>
  <c r="AB41" i="11"/>
  <c r="R42" i="11"/>
  <c r="R54" i="11"/>
  <c r="W45" i="11"/>
  <c r="G56" i="11"/>
  <c r="W83" i="11"/>
  <c r="W17" i="11"/>
  <c r="W44" i="11"/>
  <c r="W69" i="11"/>
  <c r="W35" i="11"/>
  <c r="W85" i="11"/>
  <c r="W77" i="11"/>
  <c r="W62" i="11"/>
  <c r="W63" i="11"/>
  <c r="W80" i="11"/>
  <c r="W71" i="11"/>
  <c r="W60" i="11"/>
  <c r="W78" i="11"/>
  <c r="W72" i="11"/>
  <c r="W66" i="11"/>
  <c r="W59" i="11"/>
  <c r="W74" i="11"/>
  <c r="W84" i="11"/>
  <c r="W79" i="11"/>
  <c r="W82" i="11"/>
  <c r="W86" i="11"/>
  <c r="W57" i="11"/>
  <c r="W70" i="11"/>
  <c r="W58" i="11"/>
  <c r="W61" i="11"/>
  <c r="W81" i="11"/>
  <c r="W68" i="11"/>
  <c r="W73" i="11"/>
  <c r="W88" i="11"/>
  <c r="W76" i="11"/>
  <c r="W64" i="11"/>
  <c r="W75" i="11"/>
  <c r="W87" i="11"/>
  <c r="W18" i="11"/>
  <c r="W67" i="11"/>
  <c r="W50" i="11"/>
  <c r="W39" i="11"/>
  <c r="W40" i="11"/>
  <c r="W38" i="11"/>
  <c r="W52" i="11"/>
  <c r="W29" i="11"/>
  <c r="W46" i="11"/>
  <c r="W51" i="11"/>
  <c r="W32" i="11"/>
  <c r="W31" i="11"/>
  <c r="Z31" i="11" s="1"/>
  <c r="W49" i="11"/>
  <c r="W47" i="11"/>
  <c r="W65" i="11"/>
  <c r="W48" i="11"/>
  <c r="W37" i="11"/>
  <c r="W15" i="11"/>
  <c r="W13" i="11"/>
  <c r="W27" i="11"/>
  <c r="Z27" i="11" s="1"/>
  <c r="W28" i="11"/>
  <c r="Z28" i="11" s="1"/>
  <c r="AB28" i="11" s="1"/>
  <c r="W14" i="11"/>
  <c r="W53" i="11"/>
  <c r="W41" i="11"/>
  <c r="W12" i="11"/>
  <c r="I56" i="11"/>
  <c r="O56" i="11"/>
  <c r="L55" i="11"/>
  <c r="L209" i="43" s="1"/>
  <c r="L207" i="43" s="1"/>
  <c r="K55" i="11"/>
  <c r="K209" i="43" s="1"/>
  <c r="K207" i="43" s="1"/>
  <c r="J55" i="11"/>
  <c r="J209" i="43" s="1"/>
  <c r="J207" i="43" s="1"/>
  <c r="M55" i="11"/>
  <c r="M209" i="43" s="1"/>
  <c r="M207" i="43" s="1"/>
  <c r="H56" i="11"/>
  <c r="N55" i="11"/>
  <c r="N209" i="43" s="1"/>
  <c r="N207" i="43" s="1"/>
  <c r="P55" i="11"/>
  <c r="P209" i="43" s="1"/>
  <c r="P207" i="43" s="1"/>
  <c r="Q55" i="11"/>
  <c r="Q209" i="43" s="1"/>
  <c r="Q207" i="43" s="1"/>
  <c r="F209" i="43"/>
  <c r="F207" i="43" s="1"/>
  <c r="Q91" i="11"/>
  <c r="R91" i="11" s="1"/>
  <c r="T91" i="11" s="1"/>
  <c r="W35" i="12"/>
  <c r="G20" i="46"/>
  <c r="G30" i="46" s="1"/>
  <c r="AB70" i="7"/>
  <c r="T142" i="43"/>
  <c r="Q151" i="43"/>
  <c r="R151" i="43" s="1"/>
  <c r="R141" i="43"/>
  <c r="T98" i="43"/>
  <c r="G18" i="33"/>
  <c r="G20" i="29"/>
  <c r="H56" i="33"/>
  <c r="H64" i="29"/>
  <c r="W40" i="12"/>
  <c r="W12" i="12"/>
  <c r="W17" i="12"/>
  <c r="W52" i="12"/>
  <c r="W39" i="12"/>
  <c r="W15" i="12"/>
  <c r="W47" i="12"/>
  <c r="W29" i="12"/>
  <c r="AA29" i="12" s="1"/>
  <c r="AC29" i="12" s="1"/>
  <c r="W49" i="12"/>
  <c r="W51" i="12"/>
  <c r="W50" i="12"/>
  <c r="W37" i="12"/>
  <c r="W28" i="12"/>
  <c r="AA28" i="12" s="1"/>
  <c r="AC28" i="12" s="1"/>
  <c r="W31" i="12"/>
  <c r="W46" i="12"/>
  <c r="W38" i="12"/>
  <c r="W14" i="12"/>
  <c r="W30" i="12"/>
  <c r="AA30" i="12" s="1"/>
  <c r="AC30" i="12" s="1"/>
  <c r="W16" i="12"/>
  <c r="W13" i="12"/>
  <c r="W27" i="12"/>
  <c r="AA27" i="12" s="1"/>
  <c r="AC27" i="12" s="1"/>
  <c r="W48" i="12"/>
  <c r="W36" i="12"/>
  <c r="W45" i="12"/>
  <c r="AC31" i="12"/>
  <c r="AC19" i="12"/>
  <c r="W26" i="12"/>
  <c r="AA26" i="12" s="1"/>
  <c r="AC26" i="12" s="1"/>
  <c r="W32" i="12"/>
  <c r="W19" i="11"/>
  <c r="Z30" i="11"/>
  <c r="R55" i="12" l="1"/>
  <c r="AB31" i="11"/>
  <c r="U41" i="12"/>
  <c r="T41" i="12"/>
  <c r="AB32" i="11"/>
  <c r="T87" i="12"/>
  <c r="W87" i="12" s="1"/>
  <c r="U87" i="12"/>
  <c r="AB30" i="11"/>
  <c r="AB27" i="11"/>
  <c r="R55" i="11"/>
  <c r="G55" i="46" s="1"/>
  <c r="Q55" i="46" s="1"/>
  <c r="U42" i="11"/>
  <c r="T42" i="11"/>
  <c r="G64" i="29"/>
  <c r="W33" i="11"/>
  <c r="T54" i="11"/>
  <c r="W54" i="11" s="1"/>
  <c r="U54" i="11"/>
  <c r="N56" i="11"/>
  <c r="M56" i="11"/>
  <c r="P56" i="11"/>
  <c r="J56" i="11"/>
  <c r="K56" i="11"/>
  <c r="R207" i="43"/>
  <c r="T207" i="43" s="1"/>
  <c r="R209" i="43"/>
  <c r="T209" i="43" s="1"/>
  <c r="L56" i="11"/>
  <c r="Z29" i="11"/>
  <c r="AB29" i="11" s="1"/>
  <c r="Q56" i="11"/>
  <c r="T151" i="43"/>
  <c r="T141" i="43"/>
  <c r="H55" i="33"/>
  <c r="H57" i="33" s="1"/>
  <c r="H63" i="29"/>
  <c r="H65" i="29" s="1"/>
  <c r="G55" i="33"/>
  <c r="G63" i="29"/>
  <c r="G65" i="29" s="1"/>
  <c r="AC32" i="12"/>
  <c r="W19" i="12"/>
  <c r="W34" i="11"/>
  <c r="U55" i="12" l="1"/>
  <c r="T55" i="12"/>
  <c r="W55" i="12" s="1"/>
  <c r="AB33" i="11"/>
  <c r="R56" i="11"/>
  <c r="T56" i="11" s="1"/>
  <c r="W56" i="11" s="1"/>
  <c r="T55" i="11"/>
  <c r="W55" i="11" s="1"/>
  <c r="U55" i="11"/>
  <c r="J29" i="46"/>
  <c r="H10" i="33"/>
  <c r="H63" i="33" s="1"/>
  <c r="G71" i="29"/>
  <c r="H71" i="29"/>
  <c r="AC33" i="12"/>
  <c r="AB34" i="11"/>
  <c r="AB42" i="11" s="1"/>
  <c r="G11" i="33"/>
  <c r="G13" i="29"/>
  <c r="G14" i="29" s="1"/>
  <c r="G10" i="33"/>
  <c r="G63" i="33" s="1"/>
  <c r="G57" i="33"/>
  <c r="W33" i="12"/>
  <c r="W42" i="11"/>
  <c r="U56" i="11" l="1"/>
  <c r="AB43" i="11"/>
  <c r="AB53" i="11"/>
  <c r="AB54" i="11" s="1"/>
  <c r="AB55" i="11" s="1"/>
  <c r="AB56" i="11" s="1"/>
  <c r="H67" i="29"/>
  <c r="H59" i="33"/>
  <c r="G72" i="29"/>
  <c r="G73" i="29"/>
  <c r="W43" i="11"/>
  <c r="G64" i="33"/>
  <c r="G12" i="33"/>
  <c r="G65" i="33" s="1"/>
  <c r="W41" i="12"/>
  <c r="G16" i="29" l="1"/>
  <c r="G19" i="29" s="1"/>
  <c r="G25" i="29" s="1"/>
  <c r="F12" i="14"/>
  <c r="G14" i="33"/>
  <c r="G17" i="33" s="1"/>
  <c r="G19" i="33" s="1"/>
  <c r="G67" i="29"/>
  <c r="G59" i="33"/>
  <c r="W54" i="12"/>
  <c r="W53" i="12"/>
  <c r="AB57" i="11"/>
  <c r="AB88" i="11" s="1"/>
  <c r="G75" i="29" l="1"/>
  <c r="G21" i="29"/>
  <c r="G23" i="33"/>
  <c r="G67" i="33"/>
  <c r="J12" i="14"/>
  <c r="G12" i="14"/>
  <c r="R12" i="14"/>
  <c r="I12" i="14"/>
  <c r="O12" i="14"/>
  <c r="H12" i="14"/>
  <c r="Q12" i="14"/>
  <c r="N12" i="14"/>
  <c r="L12" i="14"/>
  <c r="P12" i="14"/>
  <c r="K12" i="14"/>
  <c r="M12" i="14"/>
  <c r="F64" i="29" l="1"/>
  <c r="F56" i="33"/>
  <c r="O11" i="9"/>
  <c r="Q11" i="9" s="1"/>
  <c r="R11" i="9" s="1"/>
  <c r="O10" i="9"/>
  <c r="Q10" i="9" s="1"/>
  <c r="R10" i="9" s="1"/>
  <c r="O9" i="9"/>
  <c r="Q9" i="9" s="1"/>
  <c r="O6" i="9"/>
  <c r="Q6" i="9" s="1"/>
  <c r="O7" i="9"/>
  <c r="Q7" i="9" s="1"/>
  <c r="O4" i="9"/>
  <c r="Q4" i="9" s="1"/>
  <c r="AB68" i="7" l="1"/>
  <c r="AB71" i="7" s="1"/>
  <c r="R4" i="9"/>
  <c r="I11" i="33"/>
  <c r="I64" i="33" s="1"/>
  <c r="R7" i="9"/>
  <c r="AC37" i="12"/>
  <c r="AC40" i="12" s="1"/>
  <c r="H11" i="33" s="1"/>
  <c r="H64" i="33" s="1"/>
  <c r="R6" i="9"/>
  <c r="X53" i="15"/>
  <c r="R9" i="9"/>
  <c r="AC41" i="12"/>
  <c r="AC42" i="12" s="1"/>
  <c r="H13" i="29"/>
  <c r="H14" i="29" s="1"/>
  <c r="I72" i="29"/>
  <c r="S43" i="7"/>
  <c r="V52" i="7" s="1"/>
  <c r="R43" i="7"/>
  <c r="P80" i="7"/>
  <c r="Q80" i="7" s="1"/>
  <c r="S80" i="7" s="1"/>
  <c r="O80" i="7"/>
  <c r="N80" i="7"/>
  <c r="M80" i="7"/>
  <c r="L80" i="7"/>
  <c r="K80" i="7"/>
  <c r="J80" i="7"/>
  <c r="I80" i="7"/>
  <c r="H80" i="7"/>
  <c r="G80" i="7"/>
  <c r="F52" i="35" s="1"/>
  <c r="F80" i="7"/>
  <c r="P79" i="7"/>
  <c r="Q79" i="7" s="1"/>
  <c r="S79" i="7" s="1"/>
  <c r="O79" i="7"/>
  <c r="N79" i="7"/>
  <c r="M79" i="7"/>
  <c r="L79" i="7"/>
  <c r="K79" i="7"/>
  <c r="J79" i="7"/>
  <c r="I79" i="7"/>
  <c r="H79" i="7"/>
  <c r="G79" i="7"/>
  <c r="F51" i="35" s="1"/>
  <c r="F79" i="7"/>
  <c r="P78" i="7"/>
  <c r="Q78" i="7" s="1"/>
  <c r="S78" i="7" s="1"/>
  <c r="O78" i="7"/>
  <c r="N78" i="7"/>
  <c r="M78" i="7"/>
  <c r="L78" i="7"/>
  <c r="K78" i="7"/>
  <c r="J78" i="7"/>
  <c r="I78" i="7"/>
  <c r="H78" i="7"/>
  <c r="G78" i="7"/>
  <c r="F49" i="35" s="1"/>
  <c r="F78" i="7"/>
  <c r="P77" i="7"/>
  <c r="Q77" i="7" s="1"/>
  <c r="S77" i="7" s="1"/>
  <c r="O77" i="7"/>
  <c r="N77" i="7"/>
  <c r="M77" i="7"/>
  <c r="L77" i="7"/>
  <c r="K77" i="7"/>
  <c r="J77" i="7"/>
  <c r="I77" i="7"/>
  <c r="H77" i="7"/>
  <c r="G77" i="7"/>
  <c r="F50" i="35" s="1"/>
  <c r="F77" i="7"/>
  <c r="P76" i="7"/>
  <c r="Q76" i="7" s="1"/>
  <c r="S76" i="7" s="1"/>
  <c r="O76" i="7"/>
  <c r="N76" i="7"/>
  <c r="M76" i="7"/>
  <c r="L76" i="7"/>
  <c r="K76" i="7"/>
  <c r="J76" i="7"/>
  <c r="I76" i="7"/>
  <c r="H76" i="7"/>
  <c r="G76" i="7"/>
  <c r="F48" i="35" s="1"/>
  <c r="F76" i="7"/>
  <c r="Q44" i="43"/>
  <c r="Q45" i="43" s="1"/>
  <c r="Q109" i="43" s="1"/>
  <c r="Q152" i="43" s="1"/>
  <c r="Q162" i="43" s="1"/>
  <c r="P44" i="43"/>
  <c r="P46" i="7"/>
  <c r="P41" i="43" s="1"/>
  <c r="P40" i="43" s="1"/>
  <c r="P265" i="43" s="1"/>
  <c r="O46" i="7"/>
  <c r="N46" i="7"/>
  <c r="M46" i="7"/>
  <c r="L46" i="7"/>
  <c r="K46" i="7"/>
  <c r="J46" i="7"/>
  <c r="I46" i="7"/>
  <c r="H46" i="7"/>
  <c r="G46" i="7"/>
  <c r="F46" i="7"/>
  <c r="P45" i="7"/>
  <c r="P36" i="43" s="1"/>
  <c r="P35" i="43" s="1"/>
  <c r="O45" i="7"/>
  <c r="N45" i="7"/>
  <c r="M45" i="7"/>
  <c r="L45" i="7"/>
  <c r="K45" i="7"/>
  <c r="J45" i="7"/>
  <c r="I45" i="7"/>
  <c r="H45" i="7"/>
  <c r="G45" i="7"/>
  <c r="F45" i="7"/>
  <c r="P44" i="7"/>
  <c r="P24" i="43" s="1"/>
  <c r="P23" i="43" s="1"/>
  <c r="P262" i="43" s="1"/>
  <c r="O44" i="7"/>
  <c r="N44" i="7"/>
  <c r="M44" i="7"/>
  <c r="L44" i="7"/>
  <c r="K44" i="7"/>
  <c r="J44" i="7"/>
  <c r="I44" i="7"/>
  <c r="H44" i="7"/>
  <c r="G44" i="7"/>
  <c r="F44" i="7"/>
  <c r="P42" i="7"/>
  <c r="P14" i="43" s="1"/>
  <c r="P13" i="43" s="1"/>
  <c r="P261" i="43" s="1"/>
  <c r="O42" i="7"/>
  <c r="N42" i="7"/>
  <c r="M42" i="7"/>
  <c r="L42" i="7"/>
  <c r="K42" i="7"/>
  <c r="J42" i="7"/>
  <c r="I42" i="7"/>
  <c r="H42" i="7"/>
  <c r="G42" i="7"/>
  <c r="F42" i="7"/>
  <c r="I12" i="33" l="1"/>
  <c r="I65" i="33" s="1"/>
  <c r="F15" i="46"/>
  <c r="U52" i="7"/>
  <c r="H12" i="33"/>
  <c r="H65" i="33" s="1"/>
  <c r="F44" i="43"/>
  <c r="I44" i="43"/>
  <c r="I30" i="46"/>
  <c r="I38" i="46" s="1"/>
  <c r="I48" i="46" s="1"/>
  <c r="I54" i="46" s="1"/>
  <c r="I56" i="46" s="1"/>
  <c r="L44" i="43"/>
  <c r="L30" i="46"/>
  <c r="L38" i="46" s="1"/>
  <c r="L48" i="46" s="1"/>
  <c r="L54" i="46" s="1"/>
  <c r="L56" i="46" s="1"/>
  <c r="J44" i="43"/>
  <c r="J30" i="46"/>
  <c r="J38" i="46" s="1"/>
  <c r="J48" i="46" s="1"/>
  <c r="J54" i="46" s="1"/>
  <c r="J56" i="46" s="1"/>
  <c r="M44" i="43"/>
  <c r="M30" i="46"/>
  <c r="M38" i="46" s="1"/>
  <c r="M48" i="46" s="1"/>
  <c r="M54" i="46" s="1"/>
  <c r="M56" i="46" s="1"/>
  <c r="I12" i="7"/>
  <c r="I14" i="43"/>
  <c r="I13" i="43" s="1"/>
  <c r="I261" i="43" s="1"/>
  <c r="J12" i="7"/>
  <c r="J14" i="43"/>
  <c r="J13" i="43" s="1"/>
  <c r="J261" i="43" s="1"/>
  <c r="O14" i="7"/>
  <c r="O24" i="43"/>
  <c r="O23" i="43" s="1"/>
  <c r="O262" i="43" s="1"/>
  <c r="I16" i="7"/>
  <c r="I41" i="43"/>
  <c r="I40" i="43" s="1"/>
  <c r="I265" i="43" s="1"/>
  <c r="N14" i="7"/>
  <c r="N24" i="43"/>
  <c r="N23" i="43" s="1"/>
  <c r="N262" i="43" s="1"/>
  <c r="K12" i="7"/>
  <c r="K14" i="43"/>
  <c r="K13" i="43" s="1"/>
  <c r="K261" i="43" s="1"/>
  <c r="J16" i="7"/>
  <c r="J41" i="43"/>
  <c r="J40" i="43" s="1"/>
  <c r="J265" i="43" s="1"/>
  <c r="G15" i="7"/>
  <c r="G36" i="43"/>
  <c r="G35" i="43" s="1"/>
  <c r="M16" i="7"/>
  <c r="M41" i="43"/>
  <c r="M40" i="43" s="1"/>
  <c r="M265" i="43" s="1"/>
  <c r="I15" i="7"/>
  <c r="I36" i="43"/>
  <c r="I35" i="43" s="1"/>
  <c r="H16" i="7"/>
  <c r="H41" i="43"/>
  <c r="H40" i="43" s="1"/>
  <c r="H265" i="43" s="1"/>
  <c r="F15" i="7"/>
  <c r="F36" i="43"/>
  <c r="M12" i="7"/>
  <c r="M14" i="43"/>
  <c r="M13" i="43" s="1"/>
  <c r="M261" i="43" s="1"/>
  <c r="H15" i="7"/>
  <c r="H36" i="43"/>
  <c r="H35" i="43" s="1"/>
  <c r="K16" i="7"/>
  <c r="K41" i="43"/>
  <c r="K40" i="43" s="1"/>
  <c r="K265" i="43" s="1"/>
  <c r="N12" i="7"/>
  <c r="N14" i="43"/>
  <c r="N13" i="43" s="1"/>
  <c r="N261" i="43" s="1"/>
  <c r="F47" i="35"/>
  <c r="L12" i="7"/>
  <c r="L14" i="43"/>
  <c r="L13" i="43" s="1"/>
  <c r="L261" i="43" s="1"/>
  <c r="L15" i="7"/>
  <c r="L36" i="43"/>
  <c r="L35" i="43" s="1"/>
  <c r="L16" i="7"/>
  <c r="L41" i="43"/>
  <c r="L40" i="43" s="1"/>
  <c r="L265" i="43" s="1"/>
  <c r="O12" i="7"/>
  <c r="O14" i="43"/>
  <c r="O13" i="43" s="1"/>
  <c r="O261" i="43" s="1"/>
  <c r="N16" i="7"/>
  <c r="N41" i="43"/>
  <c r="N40" i="43" s="1"/>
  <c r="N265" i="43" s="1"/>
  <c r="O16" i="7"/>
  <c r="O41" i="43"/>
  <c r="O40" i="43" s="1"/>
  <c r="O265" i="43" s="1"/>
  <c r="K15" i="7"/>
  <c r="K36" i="43"/>
  <c r="K35" i="43" s="1"/>
  <c r="M15" i="7"/>
  <c r="M36" i="43"/>
  <c r="M35" i="43" s="1"/>
  <c r="G12" i="7"/>
  <c r="G14" i="43"/>
  <c r="G13" i="43" s="1"/>
  <c r="G261" i="43" s="1"/>
  <c r="L14" i="7"/>
  <c r="L24" i="43"/>
  <c r="L23" i="43" s="1"/>
  <c r="L262" i="43" s="1"/>
  <c r="F16" i="7"/>
  <c r="F41" i="43"/>
  <c r="P43" i="43"/>
  <c r="P45" i="43" s="1"/>
  <c r="P109" i="43" s="1"/>
  <c r="P152" i="43" s="1"/>
  <c r="P162" i="43" s="1"/>
  <c r="J15" i="7"/>
  <c r="J36" i="43"/>
  <c r="J35" i="43" s="1"/>
  <c r="F14" i="7"/>
  <c r="F24" i="43"/>
  <c r="G14" i="7"/>
  <c r="G24" i="43"/>
  <c r="G23" i="43" s="1"/>
  <c r="G262" i="43" s="1"/>
  <c r="H14" i="7"/>
  <c r="H24" i="43"/>
  <c r="H23" i="43" s="1"/>
  <c r="H262" i="43" s="1"/>
  <c r="I14" i="7"/>
  <c r="I24" i="43"/>
  <c r="I23" i="43" s="1"/>
  <c r="I262" i="43" s="1"/>
  <c r="N15" i="7"/>
  <c r="N36" i="43"/>
  <c r="N35" i="43" s="1"/>
  <c r="J14" i="7"/>
  <c r="J24" i="43"/>
  <c r="J23" i="43" s="1"/>
  <c r="J262" i="43" s="1"/>
  <c r="O15" i="7"/>
  <c r="O36" i="43"/>
  <c r="O35" i="43" s="1"/>
  <c r="F12" i="7"/>
  <c r="F14" i="43"/>
  <c r="K14" i="7"/>
  <c r="K24" i="43"/>
  <c r="K23" i="43" s="1"/>
  <c r="K262" i="43" s="1"/>
  <c r="H12" i="7"/>
  <c r="H14" i="43"/>
  <c r="H13" i="43" s="1"/>
  <c r="H261" i="43" s="1"/>
  <c r="M14" i="7"/>
  <c r="M24" i="43"/>
  <c r="M23" i="43" s="1"/>
  <c r="M262" i="43" s="1"/>
  <c r="G16" i="7"/>
  <c r="G41" i="43"/>
  <c r="G40" i="43" s="1"/>
  <c r="G265" i="43" s="1"/>
  <c r="I14" i="33"/>
  <c r="I17" i="33" s="1"/>
  <c r="AC53" i="12"/>
  <c r="AC54" i="12" s="1"/>
  <c r="AC55" i="12" s="1"/>
  <c r="AC56" i="12" s="1"/>
  <c r="AC87" i="12" s="1"/>
  <c r="F13" i="14"/>
  <c r="J13" i="14" s="1"/>
  <c r="H16" i="29"/>
  <c r="H75" i="29" s="1"/>
  <c r="H14" i="33"/>
  <c r="L11" i="33"/>
  <c r="K11" i="33"/>
  <c r="F14" i="14"/>
  <c r="J14" i="14" s="1"/>
  <c r="H72" i="29"/>
  <c r="H73" i="29"/>
  <c r="K72" i="29"/>
  <c r="F16" i="14"/>
  <c r="S45" i="7"/>
  <c r="V54" i="7" s="1"/>
  <c r="P15" i="7"/>
  <c r="P12" i="7"/>
  <c r="S44" i="7"/>
  <c r="V53" i="7" s="1"/>
  <c r="P14" i="7"/>
  <c r="S46" i="7"/>
  <c r="V55" i="7" s="1"/>
  <c r="P16" i="7"/>
  <c r="I73" i="29"/>
  <c r="Q47" i="7"/>
  <c r="Q49" i="7" s="1"/>
  <c r="S42" i="7"/>
  <c r="V51" i="7" s="1"/>
  <c r="P75" i="7"/>
  <c r="F75" i="7"/>
  <c r="F175" i="43" s="1"/>
  <c r="G75" i="7"/>
  <c r="G175" i="43" s="1"/>
  <c r="G174" i="43" s="1"/>
  <c r="H75" i="7"/>
  <c r="H175" i="43" s="1"/>
  <c r="H174" i="43" s="1"/>
  <c r="I75" i="7"/>
  <c r="I175" i="43" s="1"/>
  <c r="I174" i="43" s="1"/>
  <c r="K75" i="7"/>
  <c r="K175" i="43" s="1"/>
  <c r="K174" i="43" s="1"/>
  <c r="J75" i="7"/>
  <c r="J175" i="43" s="1"/>
  <c r="J174" i="43" s="1"/>
  <c r="L75" i="7"/>
  <c r="L175" i="43" s="1"/>
  <c r="L174" i="43" s="1"/>
  <c r="M75" i="7"/>
  <c r="M175" i="43" s="1"/>
  <c r="M174" i="43" s="1"/>
  <c r="S75" i="7"/>
  <c r="N75" i="7"/>
  <c r="N175" i="43" s="1"/>
  <c r="N174" i="43" s="1"/>
  <c r="O75" i="7"/>
  <c r="O175" i="43" s="1"/>
  <c r="O174" i="43" s="1"/>
  <c r="R79" i="7"/>
  <c r="M47" i="7"/>
  <c r="M49" i="7" s="1"/>
  <c r="T43" i="7"/>
  <c r="W52" i="7" s="1"/>
  <c r="J47" i="7"/>
  <c r="J49" i="7" s="1"/>
  <c r="R78" i="7"/>
  <c r="K47" i="7"/>
  <c r="N47" i="7"/>
  <c r="H47" i="7"/>
  <c r="O47" i="7"/>
  <c r="R80" i="7"/>
  <c r="G47" i="7"/>
  <c r="L47" i="7"/>
  <c r="L49" i="7" s="1"/>
  <c r="R46" i="7"/>
  <c r="O44" i="43"/>
  <c r="R77" i="7"/>
  <c r="R44" i="7"/>
  <c r="F47" i="7"/>
  <c r="R76" i="7"/>
  <c r="P47" i="7"/>
  <c r="P49" i="7" s="1"/>
  <c r="R42" i="7"/>
  <c r="I47" i="7"/>
  <c r="I49" i="7" s="1"/>
  <c r="R45" i="7"/>
  <c r="F89" i="35" l="1"/>
  <c r="F102" i="35" s="1"/>
  <c r="F21" i="35" s="1"/>
  <c r="G64" i="50"/>
  <c r="L64" i="7"/>
  <c r="L72" i="7" s="1"/>
  <c r="L84" i="7" s="1"/>
  <c r="L86" i="7" s="1"/>
  <c r="M58" i="46"/>
  <c r="M60" i="46"/>
  <c r="I58" i="46"/>
  <c r="I60" i="46"/>
  <c r="F92" i="46"/>
  <c r="F91" i="46"/>
  <c r="Q15" i="46"/>
  <c r="I64" i="7"/>
  <c r="I72" i="7" s="1"/>
  <c r="I84" i="7" s="1"/>
  <c r="I86" i="7" s="1"/>
  <c r="J72" i="7"/>
  <c r="J64" i="7"/>
  <c r="P64" i="7"/>
  <c r="P72" i="7" s="1"/>
  <c r="P84" i="7" s="1"/>
  <c r="P86" i="7" s="1"/>
  <c r="Q72" i="7"/>
  <c r="Q64" i="7"/>
  <c r="M72" i="7"/>
  <c r="M64" i="7"/>
  <c r="L58" i="46"/>
  <c r="L60" i="46"/>
  <c r="J58" i="46"/>
  <c r="J60" i="46"/>
  <c r="F16" i="46"/>
  <c r="Q16" i="46" s="1"/>
  <c r="U54" i="7"/>
  <c r="F13" i="46"/>
  <c r="U51" i="7"/>
  <c r="F14" i="46"/>
  <c r="U53" i="7"/>
  <c r="F17" i="46"/>
  <c r="U55" i="7"/>
  <c r="F18" i="46"/>
  <c r="Q18" i="46" s="1"/>
  <c r="F49" i="7"/>
  <c r="F64" i="7" s="1"/>
  <c r="R47" i="7"/>
  <c r="G44" i="43"/>
  <c r="G38" i="46"/>
  <c r="G48" i="46" s="1"/>
  <c r="G54" i="46" s="1"/>
  <c r="G56" i="46" s="1"/>
  <c r="T79" i="7"/>
  <c r="AB79" i="7" s="1"/>
  <c r="H44" i="43"/>
  <c r="H30" i="46"/>
  <c r="H38" i="46" s="1"/>
  <c r="H48" i="46" s="1"/>
  <c r="H54" i="46" s="1"/>
  <c r="H56" i="46" s="1"/>
  <c r="K44" i="43"/>
  <c r="K30" i="46"/>
  <c r="K38" i="46" s="1"/>
  <c r="K48" i="46" s="1"/>
  <c r="K54" i="46" s="1"/>
  <c r="K56" i="46" s="1"/>
  <c r="T80" i="7"/>
  <c r="AB80" i="7" s="1"/>
  <c r="T13" i="7"/>
  <c r="AB13" i="7" s="1"/>
  <c r="AB43" i="7" s="1"/>
  <c r="T77" i="7"/>
  <c r="AB77" i="7" s="1"/>
  <c r="N44" i="43"/>
  <c r="N30" i="46"/>
  <c r="N38" i="46" s="1"/>
  <c r="N48" i="46" s="1"/>
  <c r="N54" i="46" s="1"/>
  <c r="N56" i="46" s="1"/>
  <c r="T78" i="7"/>
  <c r="AB78" i="7" s="1"/>
  <c r="H43" i="43"/>
  <c r="M43" i="43"/>
  <c r="M45" i="43" s="1"/>
  <c r="M109" i="43" s="1"/>
  <c r="M152" i="43" s="1"/>
  <c r="M162" i="43" s="1"/>
  <c r="M206" i="43" s="1"/>
  <c r="M218" i="43" s="1"/>
  <c r="K43" i="43"/>
  <c r="R24" i="43"/>
  <c r="F23" i="43"/>
  <c r="F262" i="43" s="1"/>
  <c r="R14" i="43"/>
  <c r="F13" i="43"/>
  <c r="F261" i="43" s="1"/>
  <c r="O43" i="43"/>
  <c r="O45" i="43" s="1"/>
  <c r="O109" i="43" s="1"/>
  <c r="O152" i="43" s="1"/>
  <c r="O162" i="43" s="1"/>
  <c r="O206" i="43" s="1"/>
  <c r="O218" i="43" s="1"/>
  <c r="F40" i="43"/>
  <c r="R41" i="43"/>
  <c r="R36" i="43"/>
  <c r="F35" i="43"/>
  <c r="R35" i="43" s="1"/>
  <c r="F174" i="43"/>
  <c r="G43" i="43"/>
  <c r="L43" i="43"/>
  <c r="L45" i="43" s="1"/>
  <c r="L109" i="43" s="1"/>
  <c r="L152" i="43" s="1"/>
  <c r="L162" i="43" s="1"/>
  <c r="L206" i="43" s="1"/>
  <c r="L218" i="43" s="1"/>
  <c r="J43" i="43"/>
  <c r="J45" i="43" s="1"/>
  <c r="J109" i="43" s="1"/>
  <c r="J152" i="43" s="1"/>
  <c r="J162" i="43" s="1"/>
  <c r="J206" i="43" s="1"/>
  <c r="J218" i="43" s="1"/>
  <c r="Q75" i="7"/>
  <c r="Q175" i="43" s="1"/>
  <c r="Q174" i="43" s="1"/>
  <c r="Q206" i="43" s="1"/>
  <c r="Q218" i="43" s="1"/>
  <c r="P175" i="43"/>
  <c r="P174" i="43" s="1"/>
  <c r="P206" i="43" s="1"/>
  <c r="P218" i="43" s="1"/>
  <c r="I43" i="43"/>
  <c r="I45" i="43" s="1"/>
  <c r="I109" i="43" s="1"/>
  <c r="I152" i="43" s="1"/>
  <c r="I162" i="43" s="1"/>
  <c r="I206" i="43" s="1"/>
  <c r="I218" i="43" s="1"/>
  <c r="N43" i="43"/>
  <c r="O13" i="14"/>
  <c r="N13" i="14"/>
  <c r="H19" i="29"/>
  <c r="H25" i="29" s="1"/>
  <c r="L13" i="14"/>
  <c r="R13" i="14"/>
  <c r="Q13" i="14"/>
  <c r="H13" i="14"/>
  <c r="I13" i="14"/>
  <c r="M13" i="14"/>
  <c r="G13" i="14"/>
  <c r="P13" i="14"/>
  <c r="K13" i="14"/>
  <c r="L14" i="14"/>
  <c r="P14" i="14"/>
  <c r="M14" i="14"/>
  <c r="O14" i="14"/>
  <c r="Q14" i="14"/>
  <c r="N14" i="14"/>
  <c r="I14" i="14"/>
  <c r="H14" i="14"/>
  <c r="K14" i="14"/>
  <c r="I23" i="33"/>
  <c r="I19" i="33"/>
  <c r="R14" i="14"/>
  <c r="I25" i="29"/>
  <c r="I21" i="29"/>
  <c r="H67" i="33"/>
  <c r="H17" i="33"/>
  <c r="M11" i="33"/>
  <c r="L12" i="33"/>
  <c r="K12" i="33"/>
  <c r="K64" i="33"/>
  <c r="G14" i="14"/>
  <c r="M72" i="29"/>
  <c r="I16" i="14"/>
  <c r="P16" i="14"/>
  <c r="J16" i="14"/>
  <c r="M16" i="14"/>
  <c r="O16" i="14"/>
  <c r="H16" i="14"/>
  <c r="K16" i="14"/>
  <c r="G16" i="14"/>
  <c r="R16" i="14"/>
  <c r="N16" i="14"/>
  <c r="Q16" i="14"/>
  <c r="L16" i="14"/>
  <c r="K16" i="29"/>
  <c r="K19" i="29" s="1"/>
  <c r="K73" i="29"/>
  <c r="L16" i="29"/>
  <c r="L19" i="29" s="1"/>
  <c r="L25" i="29" s="1"/>
  <c r="T46" i="7"/>
  <c r="W55" i="7" s="1"/>
  <c r="V75" i="7"/>
  <c r="T44" i="7"/>
  <c r="W53" i="7" s="1"/>
  <c r="M84" i="7"/>
  <c r="M86" i="7" s="1"/>
  <c r="T42" i="7"/>
  <c r="W51" i="7" s="1"/>
  <c r="J84" i="7"/>
  <c r="J86" i="7" s="1"/>
  <c r="T76" i="7"/>
  <c r="R75" i="7"/>
  <c r="F51" i="46" s="1"/>
  <c r="Q51" i="46" s="1"/>
  <c r="Q54" i="46" s="1"/>
  <c r="Q56" i="46" s="1"/>
  <c r="Q58" i="46" s="1"/>
  <c r="K49" i="7"/>
  <c r="H49" i="7"/>
  <c r="N49" i="7"/>
  <c r="O49" i="7"/>
  <c r="O64" i="7" s="1"/>
  <c r="G49" i="7"/>
  <c r="T45" i="7"/>
  <c r="W54" i="7" s="1"/>
  <c r="F100" i="35" l="1"/>
  <c r="F19" i="35" s="1"/>
  <c r="F101" i="35"/>
  <c r="F20" i="35" s="1"/>
  <c r="F99" i="35"/>
  <c r="F18" i="35" s="1"/>
  <c r="F98" i="35"/>
  <c r="Q64" i="50"/>
  <c r="Q65" i="50" s="1"/>
  <c r="R64" i="50"/>
  <c r="R65" i="50" s="1"/>
  <c r="K64" i="50"/>
  <c r="K65" i="50" s="1"/>
  <c r="I64" i="50"/>
  <c r="I65" i="50" s="1"/>
  <c r="O64" i="50"/>
  <c r="O65" i="50" s="1"/>
  <c r="P64" i="50"/>
  <c r="P65" i="50" s="1"/>
  <c r="M64" i="50"/>
  <c r="M65" i="50" s="1"/>
  <c r="N64" i="50"/>
  <c r="N65" i="50" s="1"/>
  <c r="L64" i="50"/>
  <c r="L65" i="50" s="1"/>
  <c r="J64" i="50"/>
  <c r="J65" i="50" s="1"/>
  <c r="H64" i="50"/>
  <c r="H65" i="50" s="1"/>
  <c r="G65" i="50"/>
  <c r="F93" i="46"/>
  <c r="Q17" i="46"/>
  <c r="F90" i="46"/>
  <c r="Q14" i="46"/>
  <c r="H58" i="46"/>
  <c r="H60" i="46"/>
  <c r="N64" i="7"/>
  <c r="N72" i="7" s="1"/>
  <c r="N84" i="7" s="1"/>
  <c r="N86" i="7" s="1"/>
  <c r="N87" i="7" s="1"/>
  <c r="N220" i="43" s="1"/>
  <c r="H64" i="7"/>
  <c r="H72" i="7" s="1"/>
  <c r="H84" i="7" s="1"/>
  <c r="H86" i="7" s="1"/>
  <c r="H87" i="7" s="1"/>
  <c r="H220" i="43" s="1"/>
  <c r="K72" i="7"/>
  <c r="K84" i="7" s="1"/>
  <c r="K86" i="7" s="1"/>
  <c r="K87" i="7" s="1"/>
  <c r="K220" i="43" s="1"/>
  <c r="K64" i="7"/>
  <c r="F89" i="46"/>
  <c r="Q13" i="46"/>
  <c r="G64" i="7"/>
  <c r="R64" i="7" s="1"/>
  <c r="T64" i="7" s="1"/>
  <c r="N58" i="46"/>
  <c r="N60" i="46"/>
  <c r="K58" i="46"/>
  <c r="K60" i="46"/>
  <c r="G58" i="46"/>
  <c r="G60" i="46"/>
  <c r="T47" i="7"/>
  <c r="W79" i="7" s="1"/>
  <c r="U50" i="7"/>
  <c r="U42" i="7"/>
  <c r="U77" i="7"/>
  <c r="G45" i="43"/>
  <c r="G109" i="43" s="1"/>
  <c r="G152" i="43" s="1"/>
  <c r="G162" i="43" s="1"/>
  <c r="G206" i="43" s="1"/>
  <c r="G218" i="43" s="1"/>
  <c r="R175" i="43"/>
  <c r="T175" i="43" s="1"/>
  <c r="U75" i="7"/>
  <c r="F20" i="46"/>
  <c r="R49" i="7"/>
  <c r="T49" i="7" s="1"/>
  <c r="F72" i="7"/>
  <c r="F84" i="7" s="1"/>
  <c r="R44" i="43"/>
  <c r="T44" i="43" s="1"/>
  <c r="U76" i="7"/>
  <c r="U45" i="7"/>
  <c r="Q84" i="7"/>
  <c r="Q86" i="7" s="1"/>
  <c r="Q87" i="7" s="1"/>
  <c r="Q88" i="7" s="1"/>
  <c r="U78" i="7"/>
  <c r="H45" i="43"/>
  <c r="H109" i="43" s="1"/>
  <c r="H152" i="43" s="1"/>
  <c r="H162" i="43" s="1"/>
  <c r="H206" i="43" s="1"/>
  <c r="H218" i="43" s="1"/>
  <c r="T14" i="7"/>
  <c r="AB14" i="7" s="1"/>
  <c r="AB44" i="7" s="1"/>
  <c r="W78" i="7"/>
  <c r="W76" i="7"/>
  <c r="V44" i="7"/>
  <c r="U79" i="7"/>
  <c r="V45" i="7"/>
  <c r="T16" i="7"/>
  <c r="AB16" i="7" s="1"/>
  <c r="AB46" i="7" s="1"/>
  <c r="N45" i="43"/>
  <c r="N109" i="43" s="1"/>
  <c r="N152" i="43" s="1"/>
  <c r="N162" i="43" s="1"/>
  <c r="N206" i="43" s="1"/>
  <c r="N218" i="43" s="1"/>
  <c r="U74" i="7"/>
  <c r="U73" i="7"/>
  <c r="U47" i="7"/>
  <c r="U65" i="7"/>
  <c r="U85" i="7"/>
  <c r="U67" i="7"/>
  <c r="U68" i="7"/>
  <c r="U66" i="7"/>
  <c r="U81" i="7"/>
  <c r="U62" i="7"/>
  <c r="U82" i="7"/>
  <c r="U69" i="7"/>
  <c r="U70" i="7"/>
  <c r="U83" i="7"/>
  <c r="U71" i="7"/>
  <c r="U57" i="7"/>
  <c r="U58" i="7"/>
  <c r="U61" i="7"/>
  <c r="U60" i="7"/>
  <c r="U59" i="7"/>
  <c r="U63" i="7"/>
  <c r="U43" i="7"/>
  <c r="U48" i="7"/>
  <c r="V42" i="7"/>
  <c r="U80" i="7"/>
  <c r="U46" i="7"/>
  <c r="V74" i="7"/>
  <c r="V73" i="7"/>
  <c r="V65" i="7"/>
  <c r="V47" i="7"/>
  <c r="V85" i="7"/>
  <c r="V86" i="7"/>
  <c r="V87" i="7"/>
  <c r="V88" i="7"/>
  <c r="V68" i="7"/>
  <c r="V83" i="7"/>
  <c r="V67" i="7"/>
  <c r="V50" i="7"/>
  <c r="V66" i="7"/>
  <c r="V82" i="7"/>
  <c r="V69" i="7"/>
  <c r="V81" i="7"/>
  <c r="V62" i="7"/>
  <c r="V70" i="7"/>
  <c r="V71" i="7"/>
  <c r="V60" i="7"/>
  <c r="V58" i="7"/>
  <c r="V59" i="7"/>
  <c r="V57" i="7"/>
  <c r="V61" i="7"/>
  <c r="V63" i="7"/>
  <c r="V43" i="7"/>
  <c r="V79" i="7"/>
  <c r="V76" i="7"/>
  <c r="V48" i="7"/>
  <c r="V78" i="7"/>
  <c r="V77" i="7"/>
  <c r="V80" i="7"/>
  <c r="K45" i="43"/>
  <c r="K109" i="43" s="1"/>
  <c r="K152" i="43" s="1"/>
  <c r="K162" i="43" s="1"/>
  <c r="K206" i="43" s="1"/>
  <c r="K218" i="43" s="1"/>
  <c r="U44" i="7"/>
  <c r="T12" i="7"/>
  <c r="AB12" i="7" s="1"/>
  <c r="AB42" i="7" s="1"/>
  <c r="T15" i="7"/>
  <c r="AB15" i="7" s="1"/>
  <c r="AB45" i="7" s="1"/>
  <c r="V46" i="7"/>
  <c r="R40" i="43"/>
  <c r="T40" i="43" s="1"/>
  <c r="F265" i="43"/>
  <c r="L87" i="7"/>
  <c r="L220" i="43" s="1"/>
  <c r="L225" i="43" s="1"/>
  <c r="J87" i="7"/>
  <c r="J220" i="43" s="1"/>
  <c r="J225" i="43" s="1"/>
  <c r="P87" i="7"/>
  <c r="P220" i="43" s="1"/>
  <c r="P225" i="43" s="1"/>
  <c r="I87" i="7"/>
  <c r="I220" i="43" s="1"/>
  <c r="I225" i="43" s="1"/>
  <c r="M87" i="7"/>
  <c r="M220" i="43" s="1"/>
  <c r="M225" i="43" s="1"/>
  <c r="R174" i="43"/>
  <c r="T174" i="43" s="1"/>
  <c r="T35" i="43"/>
  <c r="T36" i="43"/>
  <c r="T41" i="43"/>
  <c r="F43" i="43"/>
  <c r="R13" i="43"/>
  <c r="T14" i="43"/>
  <c r="R23" i="43"/>
  <c r="T24" i="43"/>
  <c r="H21" i="29"/>
  <c r="H19" i="33"/>
  <c r="H23" i="33"/>
  <c r="M64" i="33"/>
  <c r="M12" i="33"/>
  <c r="L21" i="29"/>
  <c r="L14" i="33"/>
  <c r="L17" i="33" s="1"/>
  <c r="K25" i="29"/>
  <c r="K21" i="29"/>
  <c r="K14" i="33"/>
  <c r="K65" i="33"/>
  <c r="M73" i="29"/>
  <c r="M16" i="29"/>
  <c r="M19" i="29" s="1"/>
  <c r="T75" i="7"/>
  <c r="AB76" i="7"/>
  <c r="W44" i="7"/>
  <c r="F17" i="35" l="1"/>
  <c r="F117" i="35"/>
  <c r="F116" i="35"/>
  <c r="F114" i="35"/>
  <c r="F115" i="35"/>
  <c r="F113" i="35"/>
  <c r="F36" i="35"/>
  <c r="F37" i="35" s="1"/>
  <c r="F38" i="35" s="1"/>
  <c r="F64" i="50"/>
  <c r="F65" i="50" s="1"/>
  <c r="W42" i="7"/>
  <c r="G72" i="7"/>
  <c r="G84" i="7" s="1"/>
  <c r="G86" i="7" s="1"/>
  <c r="G87" i="7" s="1"/>
  <c r="G220" i="43" s="1"/>
  <c r="W77" i="7"/>
  <c r="Q20" i="46"/>
  <c r="Q30" i="46" s="1"/>
  <c r="Q38" i="46" s="1"/>
  <c r="F30" i="46"/>
  <c r="W46" i="7"/>
  <c r="W80" i="7"/>
  <c r="G225" i="43"/>
  <c r="O72" i="7"/>
  <c r="O84" i="7" s="1"/>
  <c r="O86" i="7" s="1"/>
  <c r="O87" i="7" s="1"/>
  <c r="O220" i="43" s="1"/>
  <c r="O225" i="43" s="1"/>
  <c r="F38" i="46"/>
  <c r="F48" i="46" s="1"/>
  <c r="F54" i="46" s="1"/>
  <c r="R72" i="7"/>
  <c r="T72" i="7" s="1"/>
  <c r="F86" i="7"/>
  <c r="H225" i="43"/>
  <c r="AB47" i="7"/>
  <c r="AB62" i="7" s="1"/>
  <c r="N225" i="43"/>
  <c r="W75" i="7"/>
  <c r="W45" i="7"/>
  <c r="R50" i="46"/>
  <c r="R23" i="46"/>
  <c r="R51" i="46"/>
  <c r="R15" i="46"/>
  <c r="R53" i="46"/>
  <c r="R26" i="46"/>
  <c r="R24" i="46"/>
  <c r="R18" i="46"/>
  <c r="R52" i="46"/>
  <c r="R45" i="46"/>
  <c r="R37" i="46"/>
  <c r="R36" i="46"/>
  <c r="R32" i="46"/>
  <c r="R13" i="46"/>
  <c r="R31" i="46"/>
  <c r="R17" i="46"/>
  <c r="R28" i="46"/>
  <c r="R14" i="46"/>
  <c r="R29" i="46"/>
  <c r="R57" i="46"/>
  <c r="R27" i="46"/>
  <c r="R25" i="46"/>
  <c r="R60" i="46"/>
  <c r="R46" i="46"/>
  <c r="R39" i="46"/>
  <c r="R16" i="46"/>
  <c r="R43" i="46"/>
  <c r="R47" i="46"/>
  <c r="R22" i="46"/>
  <c r="R35" i="46"/>
  <c r="R20" i="46"/>
  <c r="R55" i="46"/>
  <c r="R41" i="46"/>
  <c r="R21" i="46"/>
  <c r="V49" i="7"/>
  <c r="U49" i="7"/>
  <c r="R48" i="46"/>
  <c r="R19" i="46"/>
  <c r="W74" i="7"/>
  <c r="W65" i="7"/>
  <c r="W47" i="7"/>
  <c r="W85" i="7"/>
  <c r="W67" i="7"/>
  <c r="W68" i="7"/>
  <c r="W66" i="7"/>
  <c r="W83" i="7"/>
  <c r="W82" i="7"/>
  <c r="W50" i="7"/>
  <c r="W81" i="7"/>
  <c r="W69" i="7"/>
  <c r="W62" i="7"/>
  <c r="W70" i="7"/>
  <c r="W71" i="7"/>
  <c r="W58" i="7"/>
  <c r="W61" i="7"/>
  <c r="W59" i="7"/>
  <c r="W57" i="7"/>
  <c r="W60" i="7"/>
  <c r="W63" i="7"/>
  <c r="W48" i="7"/>
  <c r="W43" i="7"/>
  <c r="K225" i="43"/>
  <c r="I88" i="7"/>
  <c r="N88" i="7"/>
  <c r="L88" i="7"/>
  <c r="P88" i="7"/>
  <c r="M88" i="7"/>
  <c r="J88" i="7"/>
  <c r="K88" i="7"/>
  <c r="H88" i="7"/>
  <c r="Q220" i="43"/>
  <c r="T23" i="43"/>
  <c r="T13" i="43"/>
  <c r="R43" i="43"/>
  <c r="F45" i="43"/>
  <c r="M14" i="33"/>
  <c r="M17" i="33" s="1"/>
  <c r="M65" i="33"/>
  <c r="M25" i="29"/>
  <c r="M21" i="29"/>
  <c r="L23" i="33"/>
  <c r="L19" i="33"/>
  <c r="K17" i="33"/>
  <c r="AB75" i="7"/>
  <c r="Z58" i="7"/>
  <c r="Z59" i="7"/>
  <c r="Z57" i="7"/>
  <c r="Z61" i="7"/>
  <c r="Z60" i="7"/>
  <c r="AB60" i="7" s="1"/>
  <c r="W49" i="7"/>
  <c r="G88" i="7" l="1"/>
  <c r="O88" i="7"/>
  <c r="R33" i="46"/>
  <c r="R42" i="46"/>
  <c r="R44" i="46"/>
  <c r="AB61" i="7"/>
  <c r="AB59" i="7"/>
  <c r="AB57" i="7"/>
  <c r="AB58" i="7"/>
  <c r="AB49" i="7"/>
  <c r="F10" i="29" s="1"/>
  <c r="T10" i="29" s="1"/>
  <c r="F87" i="7"/>
  <c r="F88" i="7" s="1"/>
  <c r="R88" i="7" s="1"/>
  <c r="R86" i="7"/>
  <c r="U64" i="7"/>
  <c r="F56" i="46"/>
  <c r="R54" i="46"/>
  <c r="R30" i="46"/>
  <c r="R38" i="46"/>
  <c r="V64" i="7"/>
  <c r="Q225" i="43"/>
  <c r="F109" i="43"/>
  <c r="F152" i="43" s="1"/>
  <c r="F162" i="43" s="1"/>
  <c r="R45" i="43"/>
  <c r="T43" i="43"/>
  <c r="F18" i="33"/>
  <c r="F20" i="29"/>
  <c r="T20" i="29" s="1"/>
  <c r="F63" i="29"/>
  <c r="T63" i="29" s="1"/>
  <c r="F55" i="33"/>
  <c r="M19" i="33"/>
  <c r="M23" i="33"/>
  <c r="K19" i="33"/>
  <c r="K23" i="33"/>
  <c r="W64" i="7"/>
  <c r="AB63" i="7"/>
  <c r="F11" i="33" s="1"/>
  <c r="F64" i="33" s="1"/>
  <c r="F60" i="46" l="1"/>
  <c r="U86" i="7"/>
  <c r="T86" i="7"/>
  <c r="W86" i="7" s="1"/>
  <c r="F220" i="43"/>
  <c r="R220" i="43" s="1"/>
  <c r="T220" i="43" s="1"/>
  <c r="R87" i="7"/>
  <c r="F65" i="29"/>
  <c r="T88" i="7"/>
  <c r="W88" i="7" s="1"/>
  <c r="U88" i="7"/>
  <c r="S84" i="7"/>
  <c r="V84" i="7" s="1"/>
  <c r="V72" i="7"/>
  <c r="F58" i="46"/>
  <c r="R58" i="46" s="1"/>
  <c r="R56" i="46"/>
  <c r="U72" i="7"/>
  <c r="R84" i="7"/>
  <c r="U84" i="7" s="1"/>
  <c r="F71" i="29"/>
  <c r="U43" i="43"/>
  <c r="U227" i="43"/>
  <c r="U161" i="43"/>
  <c r="U221" i="43"/>
  <c r="U166" i="43"/>
  <c r="U186" i="43"/>
  <c r="U153" i="43"/>
  <c r="U193" i="43"/>
  <c r="U59" i="43"/>
  <c r="U101" i="43"/>
  <c r="U148" i="43"/>
  <c r="U146" i="43"/>
  <c r="U75" i="43"/>
  <c r="U17" i="43"/>
  <c r="U68" i="43"/>
  <c r="U157" i="43"/>
  <c r="U143" i="43"/>
  <c r="U22" i="43"/>
  <c r="U199" i="43"/>
  <c r="U229" i="43"/>
  <c r="U147" i="43"/>
  <c r="U192" i="43"/>
  <c r="U139" i="43"/>
  <c r="U83" i="43"/>
  <c r="U125" i="43"/>
  <c r="U74" i="43"/>
  <c r="U34" i="43"/>
  <c r="U197" i="43"/>
  <c r="U20" i="43"/>
  <c r="U113" i="43"/>
  <c r="U169" i="43"/>
  <c r="U222" i="43"/>
  <c r="U183" i="43"/>
  <c r="U209" i="43"/>
  <c r="U213" i="43"/>
  <c r="U115" i="43"/>
  <c r="U145" i="43"/>
  <c r="U63" i="43"/>
  <c r="U80" i="43"/>
  <c r="U134" i="43"/>
  <c r="U92" i="43"/>
  <c r="U42" i="43"/>
  <c r="U38" i="43"/>
  <c r="U88" i="43"/>
  <c r="R109" i="43"/>
  <c r="U28" i="43"/>
  <c r="U62" i="43"/>
  <c r="U224" i="43"/>
  <c r="U57" i="43"/>
  <c r="U230" i="43"/>
  <c r="U79" i="43"/>
  <c r="U112" i="43"/>
  <c r="U200" i="43"/>
  <c r="U167" i="43"/>
  <c r="U203" i="43"/>
  <c r="U191" i="43"/>
  <c r="U51" i="43"/>
  <c r="U65" i="43"/>
  <c r="U90" i="43"/>
  <c r="U82" i="43"/>
  <c r="U126" i="43"/>
  <c r="U127" i="43"/>
  <c r="U18" i="43"/>
  <c r="U39" i="43"/>
  <c r="U78" i="43"/>
  <c r="T45" i="43"/>
  <c r="W43" i="43" s="1"/>
  <c r="U56" i="43"/>
  <c r="U182" i="43"/>
  <c r="U160" i="43"/>
  <c r="U106" i="43"/>
  <c r="U52" i="43"/>
  <c r="U168" i="43"/>
  <c r="U135" i="43"/>
  <c r="U187" i="43"/>
  <c r="U228" i="43"/>
  <c r="U144" i="43"/>
  <c r="U150" i="43"/>
  <c r="U60" i="43"/>
  <c r="U54" i="43"/>
  <c r="U102" i="43"/>
  <c r="U111" i="43"/>
  <c r="U16" i="43"/>
  <c r="U188" i="43"/>
  <c r="U84" i="43"/>
  <c r="U128" i="43"/>
  <c r="U114" i="43"/>
  <c r="U21" i="43"/>
  <c r="U177" i="43"/>
  <c r="U58" i="43"/>
  <c r="U119" i="43"/>
  <c r="U155" i="43"/>
  <c r="U159" i="43"/>
  <c r="U212" i="43"/>
  <c r="U215" i="43"/>
  <c r="U95" i="43"/>
  <c r="U104" i="43"/>
  <c r="U89" i="43"/>
  <c r="U66" i="43"/>
  <c r="U27" i="43"/>
  <c r="U26" i="43"/>
  <c r="U121" i="43"/>
  <c r="U211" i="43"/>
  <c r="U71" i="43"/>
  <c r="U123" i="43"/>
  <c r="U47" i="43"/>
  <c r="U190" i="43"/>
  <c r="U96" i="43"/>
  <c r="U81" i="43"/>
  <c r="U94" i="43"/>
  <c r="U87" i="43"/>
  <c r="U133" i="43"/>
  <c r="U77" i="43"/>
  <c r="U205" i="43"/>
  <c r="U107" i="43"/>
  <c r="U158" i="43"/>
  <c r="U176" i="43"/>
  <c r="U120" i="43"/>
  <c r="U69" i="43"/>
  <c r="U117" i="43"/>
  <c r="U19" i="43"/>
  <c r="U179" i="43"/>
  <c r="U189" i="43"/>
  <c r="U210" i="43"/>
  <c r="U91" i="43"/>
  <c r="U110" i="43"/>
  <c r="U129" i="43"/>
  <c r="U86" i="43"/>
  <c r="U70" i="43"/>
  <c r="U137" i="43"/>
  <c r="U73" i="43"/>
  <c r="U15" i="43"/>
  <c r="U181" i="43"/>
  <c r="U173" i="43"/>
  <c r="U204" i="43"/>
  <c r="U219" i="43"/>
  <c r="U100" i="43"/>
  <c r="U217" i="43"/>
  <c r="U55" i="43"/>
  <c r="U53" i="43"/>
  <c r="U50" i="43"/>
  <c r="U136" i="43"/>
  <c r="U130" i="43"/>
  <c r="U208" i="43"/>
  <c r="U76" i="43"/>
  <c r="U97" i="43"/>
  <c r="U178" i="43"/>
  <c r="U93" i="43"/>
  <c r="U172" i="43"/>
  <c r="U223" i="43"/>
  <c r="U67" i="43"/>
  <c r="U64" i="43"/>
  <c r="U103" i="43"/>
  <c r="U85" i="43"/>
  <c r="U61" i="43"/>
  <c r="U33" i="43"/>
  <c r="U37" i="43"/>
  <c r="U116" i="43"/>
  <c r="U122" i="43"/>
  <c r="U45" i="43"/>
  <c r="U156" i="43"/>
  <c r="U149" i="43"/>
  <c r="U207" i="43"/>
  <c r="U231" i="43"/>
  <c r="U214" i="43"/>
  <c r="U118" i="43"/>
  <c r="U138" i="43"/>
  <c r="U105" i="43"/>
  <c r="U32" i="43"/>
  <c r="U201" i="43"/>
  <c r="U25" i="43"/>
  <c r="U29" i="43"/>
  <c r="U232" i="43"/>
  <c r="U124" i="43"/>
  <c r="U216" i="43"/>
  <c r="U140" i="43"/>
  <c r="U194" i="43"/>
  <c r="U198" i="43"/>
  <c r="U202" i="43"/>
  <c r="U72" i="43"/>
  <c r="U30" i="43"/>
  <c r="U31" i="43"/>
  <c r="U171" i="43"/>
  <c r="U170" i="43"/>
  <c r="U180" i="43"/>
  <c r="U46" i="43"/>
  <c r="U196" i="43"/>
  <c r="U195" i="43"/>
  <c r="U132" i="43"/>
  <c r="U164" i="43"/>
  <c r="U165" i="43"/>
  <c r="U49" i="43"/>
  <c r="U185" i="43"/>
  <c r="U99" i="43"/>
  <c r="U184" i="43"/>
  <c r="U131" i="43"/>
  <c r="U48" i="43"/>
  <c r="U142" i="43"/>
  <c r="U98" i="43"/>
  <c r="U108" i="43"/>
  <c r="U151" i="43"/>
  <c r="U141" i="43"/>
  <c r="U44" i="43"/>
  <c r="U24" i="43"/>
  <c r="U175" i="43"/>
  <c r="U35" i="43"/>
  <c r="U36" i="43"/>
  <c r="U174" i="43"/>
  <c r="U40" i="43"/>
  <c r="U41" i="43"/>
  <c r="U14" i="43"/>
  <c r="U23" i="43"/>
  <c r="U13" i="43"/>
  <c r="R162" i="43"/>
  <c r="F206" i="43"/>
  <c r="F10" i="33"/>
  <c r="F63" i="33" s="1"/>
  <c r="F57" i="33"/>
  <c r="S55" i="33"/>
  <c r="AB64" i="7"/>
  <c r="AB72" i="7" s="1"/>
  <c r="AB73" i="7" s="1"/>
  <c r="F14" i="33" s="1"/>
  <c r="F17" i="33" s="1"/>
  <c r="F13" i="29"/>
  <c r="F14" i="29" s="1"/>
  <c r="T71" i="29"/>
  <c r="U220" i="43" l="1"/>
  <c r="U87" i="7"/>
  <c r="T87" i="7"/>
  <c r="W87" i="7" s="1"/>
  <c r="T73" i="7"/>
  <c r="W73" i="7" s="1"/>
  <c r="W72" i="7"/>
  <c r="U109" i="43"/>
  <c r="R152" i="43"/>
  <c r="U152" i="43" s="1"/>
  <c r="R206" i="43"/>
  <c r="F218" i="43"/>
  <c r="T162" i="43"/>
  <c r="W162" i="43" s="1"/>
  <c r="U162" i="43"/>
  <c r="W161" i="43"/>
  <c r="W188" i="43"/>
  <c r="W197" i="43"/>
  <c r="W190" i="43"/>
  <c r="W186" i="43"/>
  <c r="W145" i="43"/>
  <c r="W91" i="43"/>
  <c r="W139" i="43"/>
  <c r="W106" i="43"/>
  <c r="W60" i="43"/>
  <c r="W42" i="43"/>
  <c r="W58" i="43"/>
  <c r="T109" i="43"/>
  <c r="W172" i="43"/>
  <c r="W209" i="43"/>
  <c r="W107" i="43"/>
  <c r="W100" i="43"/>
  <c r="W113" i="43"/>
  <c r="W136" i="43"/>
  <c r="W19" i="43"/>
  <c r="W125" i="43"/>
  <c r="W221" i="43"/>
  <c r="W101" i="43"/>
  <c r="W178" i="43"/>
  <c r="W103" i="43"/>
  <c r="W32" i="43"/>
  <c r="W201" i="43"/>
  <c r="W17" i="43"/>
  <c r="W146" i="43"/>
  <c r="W28" i="43"/>
  <c r="W169" i="43"/>
  <c r="W22" i="43"/>
  <c r="W96" i="43"/>
  <c r="W20" i="43"/>
  <c r="W228" i="43"/>
  <c r="W62" i="43"/>
  <c r="W187" i="43"/>
  <c r="W147" i="43"/>
  <c r="W158" i="43"/>
  <c r="W92" i="43"/>
  <c r="W198" i="43"/>
  <c r="W56" i="43"/>
  <c r="W69" i="43"/>
  <c r="W64" i="43"/>
  <c r="W219" i="43"/>
  <c r="W156" i="43"/>
  <c r="W229" i="43"/>
  <c r="W110" i="43"/>
  <c r="W208" i="43"/>
  <c r="W127" i="43"/>
  <c r="W137" i="43"/>
  <c r="W83" i="43"/>
  <c r="W66" i="43"/>
  <c r="W71" i="43"/>
  <c r="W29" i="43"/>
  <c r="W39" i="43"/>
  <c r="W121" i="43"/>
  <c r="W68" i="43"/>
  <c r="W177" i="43"/>
  <c r="W140" i="43"/>
  <c r="W105" i="43"/>
  <c r="W160" i="43"/>
  <c r="W51" i="43"/>
  <c r="W82" i="43"/>
  <c r="W220" i="43"/>
  <c r="W95" i="43"/>
  <c r="W222" i="43"/>
  <c r="W34" i="43"/>
  <c r="W166" i="43"/>
  <c r="W76" i="43"/>
  <c r="W15" i="43"/>
  <c r="W205" i="43"/>
  <c r="W53" i="43"/>
  <c r="W26" i="43"/>
  <c r="W155" i="43"/>
  <c r="W212" i="43"/>
  <c r="W179" i="43"/>
  <c r="W231" i="43"/>
  <c r="W213" i="43"/>
  <c r="W217" i="43"/>
  <c r="W202" i="43"/>
  <c r="W104" i="43"/>
  <c r="W114" i="43"/>
  <c r="W119" i="43"/>
  <c r="W150" i="43"/>
  <c r="W90" i="43"/>
  <c r="W33" i="43"/>
  <c r="W189" i="43"/>
  <c r="W79" i="43"/>
  <c r="W67" i="43"/>
  <c r="W54" i="43"/>
  <c r="W16" i="43"/>
  <c r="W45" i="43"/>
  <c r="W130" i="43"/>
  <c r="W18" i="43"/>
  <c r="W223" i="43"/>
  <c r="W144" i="43"/>
  <c r="W200" i="43"/>
  <c r="W148" i="43"/>
  <c r="W80" i="43"/>
  <c r="W181" i="43"/>
  <c r="W85" i="43"/>
  <c r="W192" i="43"/>
  <c r="W118" i="43"/>
  <c r="W55" i="43"/>
  <c r="W204" i="43"/>
  <c r="W232" i="43"/>
  <c r="W215" i="43"/>
  <c r="W191" i="43"/>
  <c r="W227" i="43"/>
  <c r="W203" i="43"/>
  <c r="W102" i="43"/>
  <c r="W70" i="43"/>
  <c r="W138" i="43"/>
  <c r="W63" i="43"/>
  <c r="W75" i="43"/>
  <c r="W27" i="43"/>
  <c r="W194" i="43"/>
  <c r="W37" i="43"/>
  <c r="W157" i="43"/>
  <c r="W57" i="43"/>
  <c r="W123" i="43"/>
  <c r="W128" i="43"/>
  <c r="W61" i="43"/>
  <c r="W74" i="43"/>
  <c r="W65" i="43"/>
  <c r="W59" i="43"/>
  <c r="W168" i="43"/>
  <c r="W120" i="43"/>
  <c r="W173" i="43"/>
  <c r="W129" i="43"/>
  <c r="W21" i="43"/>
  <c r="W112" i="43"/>
  <c r="W77" i="43"/>
  <c r="W216" i="43"/>
  <c r="W193" i="43"/>
  <c r="W211" i="43"/>
  <c r="W134" i="43"/>
  <c r="W50" i="43"/>
  <c r="W149" i="43"/>
  <c r="W86" i="43"/>
  <c r="W87" i="43"/>
  <c r="W88" i="43"/>
  <c r="W159" i="43"/>
  <c r="W52" i="43"/>
  <c r="W143" i="43"/>
  <c r="W182" i="43"/>
  <c r="W47" i="43"/>
  <c r="W81" i="43"/>
  <c r="W93" i="43"/>
  <c r="W115" i="43"/>
  <c r="W199" i="43"/>
  <c r="W133" i="43"/>
  <c r="W183" i="43"/>
  <c r="W89" i="43"/>
  <c r="W94" i="43"/>
  <c r="W72" i="43"/>
  <c r="W116" i="43"/>
  <c r="W176" i="43"/>
  <c r="W111" i="43"/>
  <c r="W97" i="43"/>
  <c r="W78" i="43"/>
  <c r="W124" i="43"/>
  <c r="W117" i="43"/>
  <c r="W73" i="43"/>
  <c r="W153" i="43"/>
  <c r="W126" i="43"/>
  <c r="W38" i="43"/>
  <c r="W84" i="43"/>
  <c r="W25" i="43"/>
  <c r="W167" i="43"/>
  <c r="W230" i="43"/>
  <c r="W135" i="43"/>
  <c r="W214" i="43"/>
  <c r="W122" i="43"/>
  <c r="W226" i="43"/>
  <c r="W210" i="43"/>
  <c r="W31" i="43"/>
  <c r="W30" i="43"/>
  <c r="W171" i="43"/>
  <c r="W170" i="43"/>
  <c r="W180" i="43"/>
  <c r="W207" i="43"/>
  <c r="W224" i="43"/>
  <c r="W196" i="43"/>
  <c r="W164" i="43"/>
  <c r="W195" i="43"/>
  <c r="W165" i="43"/>
  <c r="W132" i="43"/>
  <c r="W46" i="43"/>
  <c r="W99" i="43"/>
  <c r="W131" i="43"/>
  <c r="W185" i="43"/>
  <c r="W184" i="43"/>
  <c r="W49" i="43"/>
  <c r="W48" i="43"/>
  <c r="W98" i="43"/>
  <c r="W142" i="43"/>
  <c r="W108" i="43"/>
  <c r="W141" i="43"/>
  <c r="W151" i="43"/>
  <c r="W44" i="43"/>
  <c r="W24" i="43"/>
  <c r="W14" i="43"/>
  <c r="W40" i="43"/>
  <c r="W175" i="43"/>
  <c r="W36" i="43"/>
  <c r="W41" i="43"/>
  <c r="W174" i="43"/>
  <c r="W35" i="43"/>
  <c r="W23" i="43"/>
  <c r="W13" i="43"/>
  <c r="F23" i="33"/>
  <c r="F19" i="33"/>
  <c r="F12" i="33"/>
  <c r="F65" i="33" s="1"/>
  <c r="S10" i="33"/>
  <c r="S63" i="33" s="1"/>
  <c r="AB83" i="7"/>
  <c r="AB84" i="7" s="1"/>
  <c r="AB85" i="7" s="1"/>
  <c r="AB86" i="7" s="1"/>
  <c r="AB87" i="7" s="1"/>
  <c r="AB88" i="7" s="1"/>
  <c r="F72" i="29"/>
  <c r="F73" i="29"/>
  <c r="F11" i="14"/>
  <c r="H11" i="14" s="1"/>
  <c r="F16" i="29"/>
  <c r="T84" i="7"/>
  <c r="W84" i="7" s="1"/>
  <c r="F59" i="33" l="1"/>
  <c r="F67" i="33" s="1"/>
  <c r="F67" i="29"/>
  <c r="R218" i="43"/>
  <c r="T218" i="43" s="1"/>
  <c r="F225" i="43"/>
  <c r="R225" i="43" s="1"/>
  <c r="T206" i="43"/>
  <c r="W206" i="43" s="1"/>
  <c r="U206" i="43"/>
  <c r="W109" i="43"/>
  <c r="T152" i="43"/>
  <c r="W152" i="43" s="1"/>
  <c r="G11" i="14"/>
  <c r="F75" i="29"/>
  <c r="R11" i="14"/>
  <c r="Q11" i="14"/>
  <c r="N11" i="14"/>
  <c r="P11" i="14"/>
  <c r="O11" i="14"/>
  <c r="L11" i="14"/>
  <c r="M11" i="14"/>
  <c r="K11" i="14"/>
  <c r="J11" i="14"/>
  <c r="F19" i="29"/>
  <c r="F21" i="29" s="1"/>
  <c r="I11" i="14"/>
  <c r="U218" i="43" l="1"/>
  <c r="T225" i="43"/>
  <c r="W225" i="43" s="1"/>
  <c r="U225" i="43"/>
  <c r="W218" i="43"/>
  <c r="F25" i="29"/>
  <c r="F59" i="14"/>
  <c r="G18" i="31"/>
  <c r="L64" i="29" l="1"/>
  <c r="L72" i="29" s="1"/>
  <c r="L56" i="33"/>
  <c r="L64" i="33" s="1"/>
  <c r="L57" i="33" l="1"/>
  <c r="L65" i="33" s="1"/>
  <c r="T64" i="29"/>
  <c r="S56" i="33"/>
  <c r="L65" i="29"/>
  <c r="L73" i="29" s="1"/>
  <c r="T65" i="29" l="1"/>
  <c r="S57" i="33"/>
  <c r="F17" i="14"/>
  <c r="Q17" i="14" l="1"/>
  <c r="R17" i="14"/>
  <c r="M17" i="14"/>
  <c r="I17" i="14"/>
  <c r="N17" i="14"/>
  <c r="H17" i="14"/>
  <c r="J17" i="14"/>
  <c r="P17" i="14"/>
  <c r="O17" i="14"/>
  <c r="L17" i="14"/>
  <c r="K17" i="14"/>
  <c r="G17" i="14"/>
  <c r="F18" i="14" l="1"/>
  <c r="O18" i="14" s="1"/>
  <c r="O22" i="14" s="1"/>
  <c r="O32" i="14" s="1"/>
  <c r="O35" i="14" s="1"/>
  <c r="O73" i="14" s="1"/>
  <c r="J18" i="14" l="1"/>
  <c r="J22" i="14" s="1"/>
  <c r="J32" i="14" s="1"/>
  <c r="J35" i="14" s="1"/>
  <c r="J73" i="14" s="1"/>
  <c r="M18" i="14"/>
  <c r="M22" i="14" s="1"/>
  <c r="M32" i="14" s="1"/>
  <c r="M35" i="14" s="1"/>
  <c r="M73" i="14" s="1"/>
  <c r="F22" i="14"/>
  <c r="F32" i="14" s="1"/>
  <c r="F35" i="14" s="1"/>
  <c r="F73" i="14" s="1"/>
  <c r="F87" i="14" s="1"/>
  <c r="P18" i="14"/>
  <c r="P22" i="14" s="1"/>
  <c r="P32" i="14" s="1"/>
  <c r="P35" i="14" s="1"/>
  <c r="P73" i="14" s="1"/>
  <c r="I18" i="14"/>
  <c r="I22" i="14" s="1"/>
  <c r="I32" i="14" s="1"/>
  <c r="I35" i="14" s="1"/>
  <c r="I73" i="14" s="1"/>
  <c r="L18" i="14"/>
  <c r="L22" i="14" s="1"/>
  <c r="L32" i="14" s="1"/>
  <c r="L35" i="14" s="1"/>
  <c r="L73" i="14" s="1"/>
  <c r="Q18" i="14"/>
  <c r="Q22" i="14" s="1"/>
  <c r="Q32" i="14" s="1"/>
  <c r="Q35" i="14" s="1"/>
  <c r="Q73" i="14" s="1"/>
  <c r="N18" i="14"/>
  <c r="N22" i="14" s="1"/>
  <c r="N32" i="14" s="1"/>
  <c r="N35" i="14" s="1"/>
  <c r="N73" i="14" s="1"/>
  <c r="H18" i="14"/>
  <c r="H22" i="14" s="1"/>
  <c r="H32" i="14" s="1"/>
  <c r="H35" i="14" s="1"/>
  <c r="H73" i="14" s="1"/>
  <c r="G18" i="14"/>
  <c r="G22" i="14" s="1"/>
  <c r="G32" i="14" s="1"/>
  <c r="G35" i="14" s="1"/>
  <c r="G73" i="14" s="1"/>
  <c r="K18" i="14"/>
  <c r="K22" i="14" s="1"/>
  <c r="K32" i="14" s="1"/>
  <c r="K35" i="14" s="1"/>
  <c r="K73" i="14" s="1"/>
  <c r="R18" i="14"/>
  <c r="R22" i="14" s="1"/>
  <c r="R32" i="14" s="1"/>
  <c r="R35" i="14" s="1"/>
  <c r="R73" i="14" s="1"/>
  <c r="F19" i="31" l="1"/>
  <c r="S13" i="29" s="1"/>
  <c r="H13" i="31"/>
  <c r="K13" i="31"/>
  <c r="L13" i="31"/>
  <c r="Q13" i="31"/>
  <c r="J13" i="31"/>
  <c r="J19" i="31" s="1"/>
  <c r="N13" i="31"/>
  <c r="M13" i="31"/>
  <c r="M19" i="31" s="1"/>
  <c r="I13" i="31"/>
  <c r="R13" i="31"/>
  <c r="O13" i="31"/>
  <c r="P13" i="31"/>
  <c r="P19" i="31" s="1"/>
  <c r="L14" i="31"/>
  <c r="L19" i="31" s="1"/>
  <c r="O14" i="31"/>
  <c r="Q14" i="31"/>
  <c r="I14" i="31"/>
  <c r="P14" i="31"/>
  <c r="H14" i="31"/>
  <c r="N14" i="31"/>
  <c r="J14" i="31"/>
  <c r="R14" i="31"/>
  <c r="M14" i="31"/>
  <c r="G14" i="31"/>
  <c r="K14" i="31"/>
  <c r="H16" i="31"/>
  <c r="Q16" i="31"/>
  <c r="K16" i="31"/>
  <c r="I16" i="31"/>
  <c r="P16" i="31"/>
  <c r="J16" i="31"/>
  <c r="R16" i="31"/>
  <c r="O16" i="31"/>
  <c r="N16" i="31"/>
  <c r="L16" i="31"/>
  <c r="G16" i="31"/>
  <c r="M16" i="31"/>
  <c r="P15" i="31"/>
  <c r="M15" i="31"/>
  <c r="L15" i="31"/>
  <c r="Q15" i="31"/>
  <c r="R15" i="31"/>
  <c r="I15" i="31"/>
  <c r="O15" i="31"/>
  <c r="N15" i="31"/>
  <c r="K15" i="31"/>
  <c r="J15" i="31"/>
  <c r="G15" i="31"/>
  <c r="H15" i="31"/>
  <c r="G13" i="31"/>
  <c r="K19" i="31" l="1"/>
  <c r="O19" i="31"/>
  <c r="H19" i="31"/>
  <c r="Q19" i="31"/>
  <c r="R19" i="31"/>
  <c r="N19" i="31"/>
  <c r="R11" i="33"/>
  <c r="S11" i="33" s="1"/>
  <c r="S64" i="33" s="1"/>
  <c r="S14" i="29"/>
  <c r="S16" i="29" s="1"/>
  <c r="T13" i="29"/>
  <c r="R12" i="33" l="1"/>
  <c r="R14" i="33" s="1"/>
  <c r="S12" i="33"/>
  <c r="S65" i="33" s="1"/>
  <c r="S14" i="33"/>
  <c r="R17" i="33"/>
  <c r="S19" i="29"/>
  <c r="T16" i="29"/>
  <c r="T14" i="29"/>
  <c r="T73" i="29" s="1"/>
  <c r="T72" i="29"/>
  <c r="S25" i="29" l="1"/>
  <c r="S21" i="29"/>
  <c r="T21" i="29" s="1"/>
  <c r="T19" i="29"/>
  <c r="T25" i="29" s="1"/>
  <c r="T37" i="29" s="1"/>
  <c r="R23" i="33"/>
  <c r="S17" i="33"/>
  <c r="S23" i="33" s="1"/>
  <c r="S35" i="33" s="1"/>
  <c r="T55" i="29" l="1"/>
  <c r="T39" i="29"/>
  <c r="S40" i="33"/>
  <c r="S47" i="33" s="1"/>
  <c r="Z38" i="54" l="1"/>
  <c r="Z12" i="54" s="1"/>
  <c r="Z13" i="54" s="1"/>
  <c r="F38" i="54"/>
  <c r="R19" i="54" l="1"/>
  <c r="T19" i="54" s="1"/>
  <c r="R20" i="54"/>
  <c r="T20" i="54" s="1"/>
  <c r="R18" i="54"/>
  <c r="T18" i="54" s="1"/>
  <c r="F17" i="54"/>
  <c r="O38" i="54"/>
  <c r="O12" i="54" s="1"/>
  <c r="O13" i="54" s="1"/>
  <c r="F12" i="54"/>
  <c r="O40" i="54"/>
  <c r="N38" i="54"/>
  <c r="N12" i="54" s="1"/>
  <c r="N13" i="54" s="1"/>
  <c r="J38" i="54"/>
  <c r="J12" i="54" s="1"/>
  <c r="M38" i="54"/>
  <c r="M12" i="54" s="1"/>
  <c r="K38" i="54"/>
  <c r="K12" i="54" s="1"/>
  <c r="I38" i="54"/>
  <c r="I12" i="54" s="1"/>
  <c r="Q38" i="54"/>
  <c r="Q12" i="54" s="1"/>
  <c r="Q13" i="54" s="1"/>
  <c r="P38" i="54"/>
  <c r="P12" i="54" s="1"/>
  <c r="P13" i="54" s="1"/>
  <c r="H38" i="54"/>
  <c r="H12" i="54" s="1"/>
  <c r="L38" i="54"/>
  <c r="L12" i="54" s="1"/>
  <c r="F28" i="54" l="1"/>
  <c r="K17" i="54"/>
  <c r="K28" i="54" s="1"/>
  <c r="G17" i="54"/>
  <c r="G28" i="54" s="1"/>
  <c r="O17" i="54"/>
  <c r="O28" i="54" s="1"/>
  <c r="O33" i="53" s="1"/>
  <c r="P17" i="54"/>
  <c r="P28" i="54" s="1"/>
  <c r="L17" i="54"/>
  <c r="L28" i="54" s="1"/>
  <c r="L33" i="53" s="1"/>
  <c r="M17" i="54"/>
  <c r="M28" i="54" s="1"/>
  <c r="N17" i="54"/>
  <c r="N28" i="54" s="1"/>
  <c r="Q17" i="54"/>
  <c r="Q28" i="54" s="1"/>
  <c r="H17" i="54"/>
  <c r="H28" i="54" s="1"/>
  <c r="I17" i="54"/>
  <c r="I28" i="54" s="1"/>
  <c r="J17" i="54"/>
  <c r="J28" i="54" s="1"/>
  <c r="R13" i="54"/>
  <c r="R38" i="54"/>
  <c r="R41" i="54" s="1"/>
  <c r="R12" i="54"/>
  <c r="Q40" i="54"/>
  <c r="N40" i="54"/>
  <c r="T38" i="54"/>
  <c r="P40" i="54"/>
  <c r="L48" i="53" l="1"/>
  <c r="L25" i="53"/>
  <c r="L40" i="53" s="1"/>
  <c r="L77" i="53" s="1"/>
  <c r="L90" i="53" s="1"/>
  <c r="N33" i="53"/>
  <c r="N25" i="53" s="1"/>
  <c r="N40" i="53" s="1"/>
  <c r="N77" i="53" s="1"/>
  <c r="N90" i="53" s="1"/>
  <c r="I33" i="53"/>
  <c r="I25" i="53" s="1"/>
  <c r="I40" i="53" s="1"/>
  <c r="I77" i="53" s="1"/>
  <c r="I90" i="53" s="1"/>
  <c r="Q33" i="53"/>
  <c r="Q25" i="53" s="1"/>
  <c r="Q40" i="53" s="1"/>
  <c r="Q77" i="53" s="1"/>
  <c r="Q90" i="53" s="1"/>
  <c r="M33" i="53"/>
  <c r="M25" i="53" s="1"/>
  <c r="M40" i="53" s="1"/>
  <c r="M77" i="53" s="1"/>
  <c r="M90" i="53" s="1"/>
  <c r="P33" i="53"/>
  <c r="P25" i="53" s="1"/>
  <c r="P40" i="53" s="1"/>
  <c r="P77" i="53" s="1"/>
  <c r="P90" i="53" s="1"/>
  <c r="K33" i="53"/>
  <c r="K25" i="53" s="1"/>
  <c r="K40" i="53" s="1"/>
  <c r="K77" i="53" s="1"/>
  <c r="K90" i="53" s="1"/>
  <c r="J33" i="53"/>
  <c r="J25" i="53" s="1"/>
  <c r="J40" i="53" s="1"/>
  <c r="J77" i="53" s="1"/>
  <c r="J90" i="53" s="1"/>
  <c r="O48" i="53"/>
  <c r="O25" i="53"/>
  <c r="O40" i="53" s="1"/>
  <c r="O77" i="53" s="1"/>
  <c r="O90" i="53" s="1"/>
  <c r="G33" i="53"/>
  <c r="G25" i="53" s="1"/>
  <c r="O29" i="54"/>
  <c r="O34" i="54" s="1"/>
  <c r="O35" i="54" s="1"/>
  <c r="O36" i="54" s="1"/>
  <c r="H33" i="53"/>
  <c r="H25" i="53" s="1"/>
  <c r="H40" i="53" s="1"/>
  <c r="H77" i="53" s="1"/>
  <c r="H90" i="53" s="1"/>
  <c r="H101" i="53" s="1"/>
  <c r="R17" i="54"/>
  <c r="T17" i="54" s="1"/>
  <c r="P29" i="54"/>
  <c r="P34" i="54" s="1"/>
  <c r="P35" i="54" s="1"/>
  <c r="P36" i="54" s="1"/>
  <c r="N29" i="54"/>
  <c r="N34" i="54" s="1"/>
  <c r="Q29" i="54"/>
  <c r="Q34" i="54" s="1"/>
  <c r="Q35" i="54" s="1"/>
  <c r="Q36" i="54" s="1"/>
  <c r="R40" i="54"/>
  <c r="T12" i="54"/>
  <c r="U12" i="54"/>
  <c r="U32" i="54"/>
  <c r="U27" i="54"/>
  <c r="U20" i="54"/>
  <c r="U33" i="54"/>
  <c r="U26" i="54"/>
  <c r="U19" i="54"/>
  <c r="U30" i="54"/>
  <c r="U13" i="54"/>
  <c r="U14" i="54"/>
  <c r="T13" i="54"/>
  <c r="U15" i="54"/>
  <c r="U23" i="54"/>
  <c r="U31" i="54"/>
  <c r="U16" i="54"/>
  <c r="U18" i="54"/>
  <c r="U24" i="54"/>
  <c r="Z19" i="54"/>
  <c r="Z18" i="54"/>
  <c r="Z17" i="54"/>
  <c r="Z20" i="54"/>
  <c r="T40" i="54"/>
  <c r="R29" i="54" l="1"/>
  <c r="U29" i="54" s="1"/>
  <c r="I48" i="53"/>
  <c r="M48" i="53"/>
  <c r="H100" i="53"/>
  <c r="H48" i="53"/>
  <c r="G40" i="53"/>
  <c r="G77" i="53" s="1"/>
  <c r="R25" i="53"/>
  <c r="R40" i="53" s="1"/>
  <c r="G48" i="53"/>
  <c r="N48" i="53"/>
  <c r="J48" i="53"/>
  <c r="P48" i="53"/>
  <c r="U17" i="54"/>
  <c r="Q48" i="53"/>
  <c r="K48" i="53"/>
  <c r="W24" i="54"/>
  <c r="W23" i="54"/>
  <c r="W32" i="54"/>
  <c r="W30" i="54"/>
  <c r="W18" i="54"/>
  <c r="W26" i="54"/>
  <c r="W33" i="54"/>
  <c r="W13" i="54"/>
  <c r="W19" i="54"/>
  <c r="W17" i="54"/>
  <c r="W31" i="54"/>
  <c r="W16" i="54"/>
  <c r="W15" i="54"/>
  <c r="W27" i="54"/>
  <c r="W14" i="54"/>
  <c r="W20" i="54"/>
  <c r="W12" i="54"/>
  <c r="T41" i="54"/>
  <c r="N35" i="54"/>
  <c r="R34" i="54"/>
  <c r="Z29" i="54"/>
  <c r="T29" i="54" l="1"/>
  <c r="W29" i="54" s="1"/>
  <c r="G90" i="53"/>
  <c r="G101" i="53" s="1"/>
  <c r="R77" i="53"/>
  <c r="R90" i="53" s="1"/>
  <c r="R92" i="53" s="1"/>
  <c r="U34" i="54"/>
  <c r="T34" i="54"/>
  <c r="W34" i="54" s="1"/>
  <c r="Z34" i="54" s="1"/>
  <c r="N36" i="54"/>
  <c r="R36" i="54" s="1"/>
  <c r="R35" i="54"/>
  <c r="U35" i="54" l="1"/>
  <c r="T35" i="54"/>
  <c r="W35" i="54" s="1"/>
  <c r="U36" i="54"/>
  <c r="T36" i="54"/>
  <c r="W36" i="5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tc={B10CE46D-05E0-4901-BBB8-D28B34806210}</author>
    <author>tc={2FB192E7-89B6-4210-93DA-6E3F78409E09}</author>
    <author>tc={9A896647-9F46-4144-B73D-84536B723BC9}</author>
    <author>tc={8B7045FE-5257-4A5C-B0D3-FED075227226}</author>
    <author>tc={DCBFF6FE-8222-4ECB-81D0-0714E40613F5}</author>
    <author>tc={24B61BB8-7BEE-4ECF-9049-07B21139D837}</author>
  </authors>
  <commentList>
    <comment ref="E57" authorId="0" shapeId="0" xr:uid="{B10CE46D-05E0-4901-BBB8-D28B3480621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Găng tay, cồn sát khuẩn, bao đựng phim, phim khô</t>
        </r>
      </text>
    </comment>
    <comment ref="E58" authorId="1" shapeId="0" xr:uid="{2FB192E7-89B6-4210-93DA-6E3F78409E0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Chi phí đọc kết quả và chi phí đường truyền</t>
        </r>
      </text>
    </comment>
    <comment ref="E66" authorId="2" shapeId="0" xr:uid="{9A896647-9F46-4144-B73D-84536B723BC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Lương, lương dự chi T13, BHYT, BHXH, BHTN, thuê nhân viên vệ sinh, thuê bảo vệ, lương của bác sĩ và KTV đứng bằng.</t>
        </r>
      </text>
    </comment>
    <comment ref="E67" authorId="3" shapeId="0" xr:uid="{8B7045FE-5257-4A5C-B0D3-FED07522722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Năm 2025 dòng này bao gồm cả điện nước.</t>
        </r>
      </text>
    </comment>
    <comment ref="E69" authorId="4" shapeId="0" xr:uid="{DCBFF6FE-8222-4ECB-81D0-0714E40613F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Chi phí tháng nào cũng phát sinh như: Điện, nước, xử lý chất thải, internet, văn phòng phẩm, bảo hiểm tài sản/cháy nổ/rủi ro bên thứ 3...</t>
        </r>
      </text>
    </comment>
    <comment ref="E81" authorId="5" shapeId="0" xr:uid="{24B61BB8-7BEE-4ECF-9049-07B21139D83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Tài sản cố định khác không phải máy móc chẩn đoán hình ảnh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tc={42909E1A-92E6-471D-BE01-DEFF70B2AC18}</author>
  </authors>
  <commentList>
    <comment ref="C43" authorId="0" shapeId="0" xr:uid="{42909E1A-92E6-471D-BE01-DEFF70B2AC1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Anuual maintenance contract- AMC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tc={392F7228-3A48-4372-9430-D769FC27DE07}</author>
  </authors>
  <commentList>
    <comment ref="D21" authorId="0" shapeId="0" xr:uid="{392F7228-3A48-4372-9430-D769FC27DE0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Không kể lãi vay phải trả, thuế thu nhập doanh nghiệp phải nộp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tc={8ABDD9C3-E12C-4FD5-8DA1-599753B36D7A}</author>
    <author>tc={97AAE33A-4A52-4A8D-A5ED-3B019554FA44}</author>
    <author>tc={F7296631-DF8B-454B-BC9E-3FA6255E32DF}</author>
    <author>tc={532F494E-61E1-4D71-9FD1-F41AAA326081}</author>
    <author>tc={C4A096CF-C7DE-4BDD-BF07-F610116F3359}</author>
  </authors>
  <commentList>
    <comment ref="C45" authorId="0" shapeId="0" xr:uid="{8ABDD9C3-E12C-4FD5-8DA1-599753B36D7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Thêm bảo trì và thay thế linh kiên:</t>
        </r>
      </text>
    </comment>
    <comment ref="H53" authorId="1" shapeId="0" xr:uid="{97AAE33A-4A52-4A8D-A5ED-3B019554FA44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 triệu phân bổ công cụ dụng cụ </t>
        </r>
      </text>
    </comment>
    <comment ref="K58" authorId="2" shapeId="0" xr:uid="{F7296631-DF8B-454B-BC9E-3FA6255E32DF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Bao gồm tiền thuốc. Yết kiêu không tách riêng thuốc. 
200k có tiền thuốc.
80k không có tiền thuốc
</t>
        </r>
      </text>
    </comment>
    <comment ref="I59" authorId="3" shapeId="0" xr:uid="{532F494E-61E1-4D71-9FD1-F41AAA32608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Tháng 8/2025 TN mới có CT. Giả định chi phí vật tư tiêu hao cho CT giống Thanh Hóa</t>
        </r>
      </text>
    </comment>
    <comment ref="K61" authorId="4" shapeId="0" xr:uid="{C4A096CF-C7DE-4BDD-BF07-F610116F335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Vật tư tiêu hao cho máy đi mượn: 20353,2567901235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LINKRADKT</author>
  </authors>
  <commentList>
    <comment ref="B5" authorId="0" shapeId="0" xr:uid="{67E0A9AD-B6C6-440F-88E6-710D8FC365A8}">
      <text>
        <r>
          <rPr>
            <b/>
            <sz val="9"/>
            <color indexed="81"/>
            <rFont val="Tahoma"/>
            <family val="2"/>
          </rPr>
          <t>LINKRADKT:</t>
        </r>
        <r>
          <rPr>
            <sz val="9"/>
            <color indexed="81"/>
            <rFont val="Tahoma"/>
            <family val="2"/>
          </rPr>
          <t xml:space="preserve">
8,6 TỶ: 10/10/2024-10/04/2030
2,150 TỶ: 7/11/2024-10/4/2024
6.9% trong 12 tháng đầu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LINKRADKT</author>
  </authors>
  <commentList>
    <comment ref="B5" authorId="0" shapeId="0" xr:uid="{54C491DD-EC7E-4F3E-BBA5-8C3F32E21002}">
      <text>
        <r>
          <rPr>
            <b/>
            <sz val="9"/>
            <color indexed="81"/>
            <rFont val="Tahoma"/>
            <family val="2"/>
          </rPr>
          <t>LINKRADKT:</t>
        </r>
        <r>
          <rPr>
            <sz val="9"/>
            <color indexed="81"/>
            <rFont val="Tahoma"/>
            <family val="2"/>
          </rPr>
          <t xml:space="preserve">
8,150 TỶ: 21/03/2025-21/08/2030
2,030 TỶ: 11/04/2025-21/08/2025
7% trong 12 tháng đầu</t>
        </r>
      </text>
    </comment>
  </commentList>
</comments>
</file>

<file path=xl/sharedStrings.xml><?xml version="1.0" encoding="utf-8"?>
<sst xmlns="http://schemas.openxmlformats.org/spreadsheetml/2006/main" count="3380" uniqueCount="719">
  <si>
    <t>11B</t>
  </si>
  <si>
    <t>12B</t>
  </si>
  <si>
    <t>VNDm</t>
  </si>
  <si>
    <t>LATEST ESTIMATE</t>
  </si>
  <si>
    <t>Year to date</t>
  </si>
  <si>
    <t>Year to go</t>
  </si>
  <si>
    <t>MRI</t>
  </si>
  <si>
    <t>Mammo X-Quang</t>
  </si>
  <si>
    <t>CT</t>
  </si>
  <si>
    <t>X-Quang</t>
  </si>
  <si>
    <t>Siêu âm</t>
  </si>
  <si>
    <t>Doanh thu</t>
  </si>
  <si>
    <t>Chẩn đoán hình ảnh</t>
  </si>
  <si>
    <t>Tổng- Chẩn đoán hình ảnh</t>
  </si>
  <si>
    <t>Phim MRI</t>
  </si>
  <si>
    <t>Phim chụp CT</t>
  </si>
  <si>
    <t>Đo loãng xương</t>
  </si>
  <si>
    <t>Thủ thuật</t>
  </si>
  <si>
    <t>Khác</t>
  </si>
  <si>
    <t>Tổng- Khác</t>
  </si>
  <si>
    <t>Tổng- Doanh thu</t>
  </si>
  <si>
    <t>Giảm trừ doanh thu</t>
  </si>
  <si>
    <t xml:space="preserve">Giá vốn </t>
  </si>
  <si>
    <t>Vật tư tiêu hao</t>
  </si>
  <si>
    <t>Tiền thuốc</t>
  </si>
  <si>
    <t xml:space="preserve"> </t>
  </si>
  <si>
    <t>Chi phí bán hàng</t>
  </si>
  <si>
    <t>Bác sĩ chỉ định</t>
  </si>
  <si>
    <t>Đọc phim online</t>
  </si>
  <si>
    <t>Lương nhân viên</t>
  </si>
  <si>
    <t>Tổng- Chi phí bán hàng</t>
  </si>
  <si>
    <t>Chi phí marketing &amp; branding</t>
  </si>
  <si>
    <t>Chi phí bằng &amp; HSCC</t>
  </si>
  <si>
    <t>Chi phí hội nghị</t>
  </si>
  <si>
    <t>Chi phi quảng cáo</t>
  </si>
  <si>
    <t>Tổng- Chi phí marketing &amp; branding</t>
  </si>
  <si>
    <t>Chi phí Quản lý kinh doanh</t>
  </si>
  <si>
    <t xml:space="preserve">Chi phí nhân viên </t>
  </si>
  <si>
    <t>Chi phí thuê văn phòng</t>
  </si>
  <si>
    <t>Chi phi điện nước internet điện thoại</t>
  </si>
  <si>
    <t>Chi phí công cụ dụng cụ</t>
  </si>
  <si>
    <t>Chi phí khấu hao</t>
  </si>
  <si>
    <t>Tổng chi phí Quản lý kinh doanh</t>
  </si>
  <si>
    <t xml:space="preserve">Chi phí bảo hành trọn gói </t>
  </si>
  <si>
    <t>Doanh thu tài chính</t>
  </si>
  <si>
    <t>Chi phí lãi vay</t>
  </si>
  <si>
    <t xml:space="preserve">Thuế TNDN </t>
  </si>
  <si>
    <t>Lợi nhuận/(Lỗ) hoạt động (EBIT)</t>
  </si>
  <si>
    <t>Lợi nhuận/(Lỗ) trước thuế</t>
  </si>
  <si>
    <t>Lợi nhuận trước khấu hao, thuế TNDN và chi phí lãi vay(EBITDA)</t>
  </si>
  <si>
    <t>Lợi nhuận/ (Lỗ) thuần</t>
  </si>
  <si>
    <t>BÁO CÁO DÒNG TIỀN</t>
  </si>
  <si>
    <t>Tháng</t>
  </si>
  <si>
    <t xml:space="preserve">Tổng- Giá vốn </t>
  </si>
  <si>
    <t>Tổng- Chi phí bảo hành trọn gói</t>
  </si>
  <si>
    <t>Năm tài chính 2025</t>
  </si>
  <si>
    <t>Doanh thu Chẩn đoán hình ảnh</t>
  </si>
  <si>
    <t>Dòng thu từ hoạt động kinh doanh</t>
  </si>
  <si>
    <t>Tổng- Doanh thu từ hoạt động kinh doanh</t>
  </si>
  <si>
    <t>I. Lưu chuyển tiền từ hoạt động kinh doanh</t>
  </si>
  <si>
    <t>1. Lợi nhuận trước thuế</t>
  </si>
  <si>
    <t>2. Điều chỉnh cho các khoản</t>
  </si>
  <si>
    <t>- Các khoản dự phòng</t>
  </si>
  <si>
    <t>- Lãi, lỗ chênh lệch tỷ giá hối đoái do đánh giá lại các khoản mục tiền tệ có gốc ngoại tệ</t>
  </si>
  <si>
    <t>- Lãi, lỗ từ hoạt động đầu tư, tài chính</t>
  </si>
  <si>
    <t>- Chi phí đi vay</t>
  </si>
  <si>
    <t>- Các khoản điều chỉnh khác</t>
  </si>
  <si>
    <t>3. Lợi nhuận từ hoạt động kinh doanh trước thay đổi vốn lưu động</t>
  </si>
  <si>
    <t>- Tăng, giảm các khoản phải thu</t>
  </si>
  <si>
    <t>- Tăng, giảm hàng tồn kho</t>
  </si>
  <si>
    <t>- Tăng, giảm chi phí chờ phân bổ</t>
  </si>
  <si>
    <t>- Tăng, giảm chứng khoán kinh doanh</t>
  </si>
  <si>
    <t>- Chi phí đi vay đã trả</t>
  </si>
  <si>
    <t>- Thuế thu nhập doanh nghiệp đã nộp</t>
  </si>
  <si>
    <t>- Tiền thu khác từ hoạt động kinh doanh</t>
  </si>
  <si>
    <t>- Tiền chi khác cho hoạt động kinh doanh</t>
  </si>
  <si>
    <t>Lưu chuyển tiền thuần từ hoạt động kinh doanh</t>
  </si>
  <si>
    <t>II. Lưu chuyển tiền từ hoạt động đầu tư</t>
  </si>
  <si>
    <t>1. Tiền chi để mua sắm, xây dựng TSCĐ và các tài sản dài hạn khác</t>
  </si>
  <si>
    <t>2. Tiền thu từ thanh lý, nhượng bán TSCĐ và các tài sản dài hạn khác</t>
  </si>
  <si>
    <t>3. Tiền chi cho vay, mua các công cụ nợ của đơn vị khác</t>
  </si>
  <si>
    <t>4. Tiền thu hồi cho vay, bán lại các công cụ nợ của đơn vị khác</t>
  </si>
  <si>
    <t>5. Tiền chi đầu tư góp vốn vào đơn vị khác</t>
  </si>
  <si>
    <t>6. Tiền thu hồi đầu tư góp vốn vào đơn vị khác</t>
  </si>
  <si>
    <t>7. Tiền thu lãi cho vay, cổ tức và lợi nhuận được chia</t>
  </si>
  <si>
    <t>Lưu chuyển tiền thuần từ hoạt động đầu tư</t>
  </si>
  <si>
    <t>III. Lưu chuyển tiền từ hoạt động tài chính</t>
  </si>
  <si>
    <t>1. Tiền thu từ phát hành cổ phiếu, nhận vốn góp của chủ sở hữu</t>
  </si>
  <si>
    <t>2. Tiền trả lại vốn góp cho các chủ sở hữu, mua lại cổ phiếu đã phát hành</t>
  </si>
  <si>
    <t>3. Tiền thu từ đi vay</t>
  </si>
  <si>
    <t>4. Tiền trả nợ gốc vay</t>
  </si>
  <si>
    <t>5. Tiền trả nợ gốc thuê tài chính</t>
  </si>
  <si>
    <t>6. Cổ tức, lợi nhuận đã trả cho chủ sở hữu</t>
  </si>
  <si>
    <t>Lưu chuyển tiền thuần từ hoạt động tài chính</t>
  </si>
  <si>
    <t>Lưu chuyển tiền thuần trong kỳ (50 = 20+30+40)</t>
  </si>
  <si>
    <t>Tiền và tương đương tiền đầu kỳ</t>
  </si>
  <si>
    <t>Ảnh hưởng của thay đổi tỷ giá hối đoái quy đổi ngoại tệ</t>
  </si>
  <si>
    <t>Tiền và tương đương tiền cuối kỳ (70 = 50+60+61)</t>
  </si>
  <si>
    <t>Khấu hao</t>
  </si>
  <si>
    <t>CÁC CHỈ TIÊU HIỆU QUẢ HOẠT ĐỘNG</t>
  </si>
  <si>
    <t xml:space="preserve">- Tăng, giảm các khoản phải trả </t>
  </si>
  <si>
    <t>VND triệu</t>
  </si>
  <si>
    <t xml:space="preserve">Tại </t>
  </si>
  <si>
    <t>31.10.2025</t>
  </si>
  <si>
    <t>BÁO CÁO KẾT QUẢ HOẠT ĐỘNG KINH DOANH HỢP NHẤT</t>
  </si>
  <si>
    <t>Cuối tháng</t>
  </si>
  <si>
    <t>Tiền và tương đương tiền</t>
  </si>
  <si>
    <t>Phải thu khách hàng</t>
  </si>
  <si>
    <t>Ứng trước cho nhà cung cấp</t>
  </si>
  <si>
    <t>Thuế GTGT được khấu trừ</t>
  </si>
  <si>
    <t>Tài sản cố định</t>
  </si>
  <si>
    <t>Chi phí trả trước</t>
  </si>
  <si>
    <t>Tài sản ngắn hạn</t>
  </si>
  <si>
    <t>Tổng tài sản ngắn hạn</t>
  </si>
  <si>
    <t>TỔNG TÀI SẢN</t>
  </si>
  <si>
    <t>Nợ ngắn hạn</t>
  </si>
  <si>
    <t>Phải trả nhà cung cấp</t>
  </si>
  <si>
    <t>Thuế GTGT &amp; thuế khác phải trả</t>
  </si>
  <si>
    <t xml:space="preserve">Phải trả khác </t>
  </si>
  <si>
    <t>Vay và nợ ngắn hạn</t>
  </si>
  <si>
    <t>BẢNG CÂN ĐỐI KẾ TOÁN HỢP NHẤT</t>
  </si>
  <si>
    <t>Vay và nợ dài hạn</t>
  </si>
  <si>
    <t>Tổng nợ ngắn hạn</t>
  </si>
  <si>
    <t>Tài sản dài hạn</t>
  </si>
  <si>
    <t>Tổng nợ dài hạn</t>
  </si>
  <si>
    <t>TỔNG NỢ</t>
  </si>
  <si>
    <t>Vốn chủ sở hữu</t>
  </si>
  <si>
    <t>Thặng dư vốn góp</t>
  </si>
  <si>
    <t>Lợi nhuận giữ lại</t>
  </si>
  <si>
    <t>Lợi nhuận giữ lại các năm trước</t>
  </si>
  <si>
    <t>Lợi nhuận giữ lại năm hiện tại</t>
  </si>
  <si>
    <t>TỔNG VỐN CHỦ SỞ HỮU</t>
  </si>
  <si>
    <t>TỔNG NGUỒN VỐN</t>
  </si>
  <si>
    <t>Doanh thu TB/ngày/máy</t>
  </si>
  <si>
    <t>Toàn chi nhánh</t>
  </si>
  <si>
    <t>BÁO CÁO KẾT QUẢ HOẠT ĐỘNG KINH DOANH CHI NHÁNH</t>
  </si>
  <si>
    <t>HẢI DƯƠNG</t>
  </si>
  <si>
    <t>Số ca/tháng</t>
  </si>
  <si>
    <t>Số ngày làm việc/tháng</t>
  </si>
  <si>
    <t>Utilization rate (Công suất sử dụng)</t>
  </si>
  <si>
    <t>Maximum capacity (Công suất tối đa ca/ngày)</t>
  </si>
  <si>
    <t>A</t>
  </si>
  <si>
    <t>B</t>
  </si>
  <si>
    <t>Chi phí đọc kết quả online</t>
  </si>
  <si>
    <t>No.</t>
  </si>
  <si>
    <t>Site</t>
  </si>
  <si>
    <t>Thanh Hóa</t>
  </si>
  <si>
    <t>Hải Dương</t>
  </si>
  <si>
    <t>Thái Nguyên</t>
  </si>
  <si>
    <t xml:space="preserve">Thái Bình </t>
  </si>
  <si>
    <t>Cà Mau</t>
  </si>
  <si>
    <t>Yết Kiêu</t>
  </si>
  <si>
    <t>Radtech</t>
  </si>
  <si>
    <t>Nha Trang</t>
  </si>
  <si>
    <t>Thạch Thất</t>
  </si>
  <si>
    <t>Sóc Sơn</t>
  </si>
  <si>
    <t>Y tế Phúc Sơn
(Thái Bình)</t>
  </si>
  <si>
    <t>Chỉ gửi báo cáo và đối chiếu KQKD</t>
  </si>
  <si>
    <t>PK Trí Đức 
(Hà Giang)</t>
  </si>
  <si>
    <t>PK Hoàng Việt
(Tuyên Quang)</t>
  </si>
  <si>
    <t>Chỉ gửi báo cáo và đối chiếu KQKD theo quý</t>
  </si>
  <si>
    <t>PK Mạnh Hưng 
(Sơn Tây)</t>
  </si>
  <si>
    <t>PK An Việt (Thanh Hóa)</t>
  </si>
  <si>
    <t>PK Thiện Đức
(Ninh Bình)</t>
  </si>
  <si>
    <t>Thành An Tân Triều
(PK Ninh Bình)</t>
  </si>
  <si>
    <t>Hà Tĩnh</t>
  </si>
  <si>
    <t>Riêng, đang lắp máy</t>
  </si>
  <si>
    <t>Ghi chú</t>
  </si>
  <si>
    <t>Vay từ bank</t>
  </si>
  <si>
    <t>x</t>
  </si>
  <si>
    <t>BIDV</t>
  </si>
  <si>
    <t>Vietin</t>
  </si>
  <si>
    <t>Nợ NCC máy</t>
  </si>
  <si>
    <t>FAR</t>
  </si>
  <si>
    <t>v</t>
  </si>
  <si>
    <t>V</t>
  </si>
  <si>
    <t>Đô Lương</t>
  </si>
  <si>
    <t>Biến phí</t>
  </si>
  <si>
    <t>Hoa hồng cho bác sĩ</t>
  </si>
  <si>
    <t>Hoa hồng nhân viên</t>
  </si>
  <si>
    <t>Tổng- Biến phí</t>
  </si>
  <si>
    <t>Định phí</t>
  </si>
  <si>
    <t>Chi phí bảo dưỡng bảo trì máy</t>
  </si>
  <si>
    <t>Truyền thông marketing</t>
  </si>
  <si>
    <t>Chi phí bán hàng (bằng…)</t>
  </si>
  <si>
    <t xml:space="preserve">Chi phí khấu hao máy </t>
  </si>
  <si>
    <t>Chi phí nhân viên</t>
  </si>
  <si>
    <t>Lãi trên biến phí</t>
  </si>
  <si>
    <t>Chi phí khác</t>
  </si>
  <si>
    <t>Tổng- Định phí</t>
  </si>
  <si>
    <t>EBITDA</t>
  </si>
  <si>
    <t>Lợi nhuận khác</t>
  </si>
  <si>
    <t>Lợi nhuận trước thuế</t>
  </si>
  <si>
    <t>Chi phí thuế TNDN</t>
  </si>
  <si>
    <t>Lợi nhuận sau thuế</t>
  </si>
  <si>
    <t>Chi phí khấu hao khác</t>
  </si>
  <si>
    <t>Assumption</t>
  </si>
  <si>
    <t>Note</t>
  </si>
  <si>
    <t>2026F</t>
  </si>
  <si>
    <t>% doanh thu</t>
  </si>
  <si>
    <t>vs 2025</t>
  </si>
  <si>
    <t>Đề xuất PKT</t>
  </si>
  <si>
    <t>không đổi</t>
  </si>
  <si>
    <t>% EBITDA</t>
  </si>
  <si>
    <t>Cổ đông thiểu số</t>
  </si>
  <si>
    <t>Lợi nhuận về công ty mẹ</t>
  </si>
  <si>
    <t>TB t9-11/2025</t>
  </si>
  <si>
    <t>CÀ MAU</t>
  </si>
  <si>
    <t>Chi phí tài chính</t>
  </si>
  <si>
    <t>Hoa hồng + thưởng nhân viên</t>
  </si>
  <si>
    <t>THANH HÓA</t>
  </si>
  <si>
    <t>PHÂN TÍCH NHU CẦU VỐN</t>
  </si>
  <si>
    <t>Năm tài chính 2026</t>
  </si>
  <si>
    <t>EBITDA/(BÙ LỖ) TỪ CÁC SITES</t>
  </si>
  <si>
    <t xml:space="preserve">Tổng </t>
  </si>
  <si>
    <t>YẾT KIÊU</t>
  </si>
  <si>
    <t>Lợi nhuận/(Lỗ trước thuế)</t>
  </si>
  <si>
    <t>NHA TRANG</t>
  </si>
  <si>
    <t>THẠCH THẤT</t>
  </si>
  <si>
    <t>THÁI NGUYÊN</t>
  </si>
  <si>
    <t>Tổng- Site liên kết</t>
  </si>
  <si>
    <t>Tổng- Site sở hữu</t>
  </si>
  <si>
    <t>Sites sở hữu</t>
  </si>
  <si>
    <t>Sites liên kết</t>
  </si>
  <si>
    <t>Tổng- EBITDA/(BÙ LỖ) TỪ CÁC SITE</t>
  </si>
  <si>
    <t>Vay anh Tuấn</t>
  </si>
  <si>
    <t>NGÀY TRẢ</t>
  </si>
  <si>
    <t>SỐ TIỀN VAY</t>
  </si>
  <si>
    <t>SỐ TIỀN TRẢ GỐC</t>
  </si>
  <si>
    <t>SỐ TIỀN VAY ĐẾN NGÀY TÍNH LÃI</t>
  </si>
  <si>
    <t>LÃI SUẤT</t>
  </si>
  <si>
    <t>THỜI GIAN TÍNH LÃI</t>
  </si>
  <si>
    <t>TIỀN LÃI</t>
  </si>
  <si>
    <t>NGÀY BẮT ĐẦU</t>
  </si>
  <si>
    <t>NGÀY KẾT THÚC</t>
  </si>
  <si>
    <t>SỐ NGÀY</t>
  </si>
  <si>
    <t>Trả gốc sau 6 tháng từ khi giải ngân, trả cùng lãi, trả vào 20 kỳ liên tiếp</t>
  </si>
  <si>
    <t>Số tiền vay</t>
  </si>
  <si>
    <t>Dư nợ gốc</t>
  </si>
  <si>
    <t>Ngày trả nợ</t>
  </si>
  <si>
    <t>Số gốc cần thanh toán</t>
  </si>
  <si>
    <t>Gốc còn lại</t>
  </si>
  <si>
    <t>Gốc tính lãi đến ngày trả</t>
  </si>
  <si>
    <t>Lãi</t>
  </si>
  <si>
    <t xml:space="preserve">Lãi suất ưu đãi năm đầu </t>
  </si>
  <si>
    <t>Lãi suất các năm sau (tạm tính)</t>
  </si>
  <si>
    <t>Vay BIDV cho Thanh Hóa</t>
  </si>
  <si>
    <t>Vay Vietinbank cho Thái Bình</t>
  </si>
  <si>
    <t>Vay Vietinbank cho Thái Nguyên</t>
  </si>
  <si>
    <t>Vay Vietinbank cho Yết Kiêu</t>
  </si>
  <si>
    <t>Vay Vietinbank cho Nha Trang</t>
  </si>
  <si>
    <t>Tổng- Nợ gốc và lãi vay phải trả</t>
  </si>
  <si>
    <t>Chi phí tại hội sở Linkrad</t>
  </si>
  <si>
    <t>Chi phí tại hội sở Radtech</t>
  </si>
  <si>
    <t>Tổng- EBITDA/(BÙ LỖ)</t>
  </si>
  <si>
    <t>Chi phí đầu tư</t>
  </si>
  <si>
    <t>Chi phí đầu tư site Hà Tĩnh: cần trả gấp, đã quá hạn thanh toán</t>
  </si>
  <si>
    <t>Chi đầu tư Hà Tĩnh: chi theo vốn góp đợt 3 anh Vũ</t>
  </si>
  <si>
    <t>Chi phí đầu tư Sóc Sơn (nợ tiền máy 1.8 tỷ và sửa máy 2,1 tỷ)</t>
  </si>
  <si>
    <t>Chi phí mua H&amp;M (site TP HCM) - Giai đoạn 1</t>
  </si>
  <si>
    <t>Chi phí mua H&amp;M (site TP HCM) - Giai đoạn 2</t>
  </si>
  <si>
    <t>Chi phí đầu tư Công ty Cổ phần Công nghệ Radtek</t>
  </si>
  <si>
    <t>Chi phí đầu tư trung tâm Đô Lương</t>
  </si>
  <si>
    <t>Tổng- Chi phí đầu tư</t>
  </si>
  <si>
    <t>Tổng- Nhu cầu vốn</t>
  </si>
  <si>
    <t>THAI BINH</t>
  </si>
  <si>
    <t>Riêng, trả gốc vay và lãi vay theo tỷ lệ sở hữu</t>
  </si>
  <si>
    <t>BD CT</t>
  </si>
  <si>
    <t>BD MRI</t>
  </si>
  <si>
    <t>BD</t>
  </si>
  <si>
    <t>SÓC SƠN</t>
  </si>
  <si>
    <t xml:space="preserve">BÁO CÁO KẾT QUẢ HOẠT ĐỘNG KINH DOANH </t>
  </si>
  <si>
    <t>CÁC SITE LIÊN KẾT</t>
  </si>
  <si>
    <t xml:space="preserve">Chi phí bù lỗ dự kiến cho H&amp;M </t>
  </si>
  <si>
    <t>Trả tiền gốc cho cổ đông hợp tác kinh doanh</t>
  </si>
  <si>
    <t>EBITDA về công ty mẹ</t>
  </si>
  <si>
    <t>Tỷ lệ sở hưu</t>
  </si>
  <si>
    <t>Tỷ lệ sở hữu</t>
  </si>
  <si>
    <t>EBITDA chuyền về công ty</t>
  </si>
  <si>
    <t>Tổng- Phải trả cổ đông hợp tác kinh doanh</t>
  </si>
  <si>
    <t>Phải trả cổ đông hợp tác kinh doanh gốc</t>
  </si>
  <si>
    <t xml:space="preserve">Vốn góp </t>
  </si>
  <si>
    <t>BÁO CÁO KẾT QUẢ HOẠT ĐỘNG KINH DOANH CHI NHÁNH VÀ DỰ BÁO 2026</t>
  </si>
  <si>
    <t>LinkRAd</t>
  </si>
  <si>
    <t>Cổ đông khác</t>
  </si>
  <si>
    <t>Vay Vietinbank cho Cà Mau</t>
  </si>
  <si>
    <t>Trả nợ vay gốc và lãi khoản vay hiện có</t>
  </si>
  <si>
    <t>Lợi nhuận thuần từ</t>
  </si>
  <si>
    <t>Thiện Đức (Ninh Bình)</t>
  </si>
  <si>
    <t>Dự án CT Hà Giang - PKĐK Trí Đức</t>
  </si>
  <si>
    <t xml:space="preserve">
Công ty TNHH Thành An Tân Triều ( Ninh Bình )
</t>
  </si>
  <si>
    <t>Công ty CP DV TM TH Hoàng Việt( Tuyên Quang )</t>
  </si>
  <si>
    <t>Công ty TNHH bệnh viện Mạnh Hưng ( PK Sơn Tây)</t>
  </si>
  <si>
    <t>Phòng khám An Việt (Thanh Hóa)</t>
  </si>
  <si>
    <t>Phúc Sơn (Thái Bình)</t>
  </si>
  <si>
    <t>Hoàng Việt( Tuyên Quang )</t>
  </si>
  <si>
    <t>Mạnh Hưng ( PK Sơn Tây)</t>
  </si>
  <si>
    <t>An Việt (Thanh Hóa)</t>
  </si>
  <si>
    <t>Thành An Tân Triều Ninh Bình</t>
  </si>
  <si>
    <t>DỰ BÁO KẾT QUẢ HOẠT ĐỘNG KINH DOANH CHI NHÁNH</t>
  </si>
  <si>
    <t>Đơn giá bán</t>
  </si>
  <si>
    <t>Số ca</t>
  </si>
  <si>
    <t>Vật tư tiêu hao MRI/ca</t>
  </si>
  <si>
    <t>Giá vốn tiền thuốc MRI/ca</t>
  </si>
  <si>
    <t>Hoa hồng nhân viên/ca</t>
  </si>
  <si>
    <t>Hoa hồng bác sĩ/ca</t>
  </si>
  <si>
    <t>Đọc phim online/ca</t>
  </si>
  <si>
    <t>Chi phí</t>
  </si>
  <si>
    <t>Tổng chi phí</t>
  </si>
  <si>
    <t>Tổng</t>
  </si>
  <si>
    <t>Chi phí nhân sự</t>
  </si>
  <si>
    <t xml:space="preserve">Giá vốn tiền thuốc </t>
  </si>
  <si>
    <t>Hoa hồng bác sĩ</t>
  </si>
  <si>
    <t>Hải Dương 2025</t>
  </si>
  <si>
    <t>Đơn giá chi phí (VND)</t>
  </si>
  <si>
    <t>Các nguồn vốn</t>
  </si>
  <si>
    <t>Nguồn vốn đã cam kết</t>
  </si>
  <si>
    <t>Cổ đông LinkRad</t>
  </si>
  <si>
    <t>Cổ đông địa phương site Sóc Sơn</t>
  </si>
  <si>
    <t>Cổ đông địa phương site Hà Tĩnh</t>
  </si>
  <si>
    <t>Tổng Nguồn vốn đã cam kết</t>
  </si>
  <si>
    <t>Nguồn vay ngân hàng</t>
  </si>
  <si>
    <t>Vay cho site Hà Tĩnh</t>
  </si>
  <si>
    <t>Vay cho H&amp;M</t>
  </si>
  <si>
    <t>Vay vốn lưu động cho Hải Dương</t>
  </si>
  <si>
    <t>Tổng Nguồn vốn vay thêm từ ngân hàng</t>
  </si>
  <si>
    <t>Site Liên kết</t>
  </si>
  <si>
    <t>Thái Bình</t>
  </si>
  <si>
    <t>Chi phí hoạt động</t>
  </si>
  <si>
    <t>HO</t>
  </si>
  <si>
    <t>DỰ BÁO DÒNG TIỀN THEO CHI NHÁNH</t>
  </si>
  <si>
    <t>Trả gốc vay</t>
  </si>
  <si>
    <t>Trả gốc góp vốn kinh doanh</t>
  </si>
  <si>
    <t>Tổng 2026</t>
  </si>
  <si>
    <t>Gốc</t>
  </si>
  <si>
    <t>THÁI BÌNH</t>
  </si>
  <si>
    <t>Không đổi vs 2025</t>
  </si>
  <si>
    <t>Nguồn vốn cần bổ sung</t>
  </si>
  <si>
    <t>Tổng chi tiền</t>
  </si>
  <si>
    <t>Dòng tiền thuần theo các sites</t>
  </si>
  <si>
    <t>DỰ BÁO CHI PHÍ QUẢN LÝ TẠI HO</t>
  </si>
  <si>
    <t>VĂN PHÒNG CÔNG TY</t>
  </si>
  <si>
    <t>Dòng tiền đầu tư</t>
  </si>
  <si>
    <t>Chi phí lương Linkrad</t>
  </si>
  <si>
    <t>Chi phí thuê, điện nước</t>
  </si>
  <si>
    <t>Chi phí công cụ dụng văn phòng phẩm</t>
  </si>
  <si>
    <t xml:space="preserve">Chi phí dịch vụ </t>
  </si>
  <si>
    <t>Chi phí đối ngoại tiếp khách</t>
  </si>
  <si>
    <t>Chi phí tư vấn quản lý</t>
  </si>
  <si>
    <t>Chi phí branding</t>
  </si>
  <si>
    <t>Lợi nhuận kinh doanh (EBITDA)</t>
  </si>
  <si>
    <t>Dòng chi đầu tư</t>
  </si>
  <si>
    <t>TỔNG NHU CẦU VỐN</t>
  </si>
  <si>
    <t>Tổng doanh thu</t>
  </si>
  <si>
    <t>Phải trả nợ gốc</t>
  </si>
  <si>
    <t>Trả gốc góp vốn</t>
  </si>
  <si>
    <t>2026 vs 2025</t>
  </si>
  <si>
    <t>Đơn giá bán trung bình</t>
  </si>
  <si>
    <t xml:space="preserve">KẾ HOẠCH ĐẦU TƯ </t>
  </si>
  <si>
    <t>Công ty Cổ phần HM Imaging</t>
  </si>
  <si>
    <t>Công ty Cổ phần Đầu tư Thiết bị Y tế SG Nam Việt Nam</t>
  </si>
  <si>
    <t>Vốn điều lệ</t>
  </si>
  <si>
    <t xml:space="preserve">Tổng tài sản </t>
  </si>
  <si>
    <t>Tiền và các khoản tương đương tiền</t>
  </si>
  <si>
    <t>Đầu tư tài chính</t>
  </si>
  <si>
    <t>Các khoản phải thu</t>
  </si>
  <si>
    <t>Tổng nợ</t>
  </si>
  <si>
    <t>Vay/nợ</t>
  </si>
  <si>
    <t>Vốn đã góp</t>
  </si>
  <si>
    <t>Công ty SG Nam Việt Nam</t>
  </si>
  <si>
    <t>Công ty IMED</t>
  </si>
  <si>
    <t>Ông Trần Phúc Dương</t>
  </si>
  <si>
    <t xml:space="preserve">Góp thiếu </t>
  </si>
  <si>
    <t>Tổng tài sản</t>
  </si>
  <si>
    <t>Tổng nợ phải trả</t>
  </si>
  <si>
    <t>IMED</t>
  </si>
  <si>
    <t>Ông Trịnh Ngọc Phan</t>
  </si>
  <si>
    <t>Phương án đầu tư mua 100% SG để sở hữu 65% cổ phần HM</t>
  </si>
  <si>
    <t xml:space="preserve">Ông Trịnh Thanh Chương </t>
  </si>
  <si>
    <t>Lợi nhuận/(Lỗ) trước thuế &amp; Khấu hao</t>
  </si>
  <si>
    <t>: cần trả gấp, đã quá hạn thanh toán</t>
  </si>
  <si>
    <t>: chi theo vốn góp đợt 3 anh Vũ</t>
  </si>
  <si>
    <t>Chi đối ứng nhà đầu tư Hà Tĩnh</t>
  </si>
  <si>
    <t>(nợ tiền máy 1.8 tỷ và sửa máy 2,1 tỷ)</t>
  </si>
  <si>
    <t>Chi đầu tư Công ty CP Công nghệ Radtek</t>
  </si>
  <si>
    <t>Đầu tư máy site Hà Tĩnh</t>
  </si>
  <si>
    <t xml:space="preserve">Đầu tư máy tại Sóc Sơn </t>
  </si>
  <si>
    <t>Mua H&amp;M (TP HCM) - Giai đoạn 1</t>
  </si>
  <si>
    <t>Mở rông H&amp;M (TP HCM) - Giai đoạn 2</t>
  </si>
  <si>
    <t>Chi phí bù lỗ dự kiến cho H&amp;M 6 tháng đầu</t>
  </si>
  <si>
    <t>Tháng thứ 7</t>
  </si>
  <si>
    <t>Tháng thứ 13</t>
  </si>
  <si>
    <t>Tăng giá dịch vụ</t>
  </si>
  <si>
    <t>Mua H&amp;M (site TP HCM)</t>
  </si>
  <si>
    <t>Vietinbank cho vay Hà Tĩnh</t>
  </si>
  <si>
    <t>Lợi nhuận/(Lỗ) trước thuế &amp; khấu hao</t>
  </si>
  <si>
    <t xml:space="preserve">DỰ BÁO DÒNG TIỀN </t>
  </si>
  <si>
    <t>Tổng Nguồn vốn cần bổ sung</t>
  </si>
  <si>
    <t>Nợ trên sổ là 17.6 tỷ, đối trừ công nợ với HM 8 tỷ và trả lại 1 máy siêu âm 2.6 tỷ. Dư nợ còn lại 6.99 tỷ</t>
  </si>
  <si>
    <t>Tài sản thuần</t>
  </si>
  <si>
    <t>Giá trị tài sản thuần</t>
  </si>
  <si>
    <t>Tài sản khác</t>
  </si>
  <si>
    <t>Giảm giá trị khoản đầu tư</t>
  </si>
  <si>
    <t>Mua lại 15% cổ phần của ông Dương ở HM</t>
  </si>
  <si>
    <t>Trả nợ cá nhân cho ông Dương</t>
  </si>
  <si>
    <t>Góp vốn phần SG góp thiếu tại HM</t>
  </si>
  <si>
    <t xml:space="preserve">Chi tiết nợ cổ đông </t>
  </si>
  <si>
    <t>Bổ sung vốn hoạt động cho 6 tháng đầu tiên</t>
  </si>
  <si>
    <t>Chi phí thuê địa điểm</t>
  </si>
  <si>
    <t>Chi phí khấu hao máy móc</t>
  </si>
  <si>
    <t xml:space="preserve">Chi phí lãi vay </t>
  </si>
  <si>
    <t>Biến phí/ca</t>
  </si>
  <si>
    <t>Đơn giá</t>
  </si>
  <si>
    <t>Tỷ lệ ca</t>
  </si>
  <si>
    <t>TÍNH DIỂM HÒA VỐN</t>
  </si>
  <si>
    <t>Lãi tổng 2026</t>
  </si>
  <si>
    <t>Đơn giá chi phí trung bình</t>
  </si>
  <si>
    <t>Hoa hồng nhân viên kinh doanh</t>
  </si>
  <si>
    <t>Tiền thuốc tiêm</t>
  </si>
  <si>
    <t>Trung bình 11T2025</t>
  </si>
  <si>
    <t>Chi phí văn phòng (điện, nước, vpp, ccdc)</t>
  </si>
  <si>
    <t>Chi phí marketing</t>
  </si>
  <si>
    <t>EBT</t>
  </si>
  <si>
    <t>Tổng 2025</t>
  </si>
  <si>
    <t>Năm 2026</t>
  </si>
  <si>
    <t>Năm 2025</t>
  </si>
  <si>
    <t>Tăng từ 1,1 triệu lên 1,5 triệu</t>
  </si>
  <si>
    <t>Vật tư tiêu hao CT/ca</t>
  </si>
  <si>
    <t>Giá vốn tiền thuốc CT/ca</t>
  </si>
  <si>
    <t>Điểm hòa vốn từ tháng thứ 13</t>
  </si>
  <si>
    <t>Hoa hồng nhân viên/ca MRI</t>
  </si>
  <si>
    <t>Hoa hồng nhân viên/ca CT</t>
  </si>
  <si>
    <t>Đọc phim online/ca MRI</t>
  </si>
  <si>
    <t>Đọc phim online/ca CT</t>
  </si>
  <si>
    <t>Doanh thu hòa vốn từ tháng 13 trở đi</t>
  </si>
  <si>
    <t>Định phí từ tháng 7</t>
  </si>
  <si>
    <t>Định phí từ tháng 13</t>
  </si>
  <si>
    <t>Biến phí hòa vốn từ tháng 13 trở đi</t>
  </si>
  <si>
    <t>Capacity</t>
  </si>
  <si>
    <t>Utilisation</t>
  </si>
  <si>
    <t>Capacity (Số ca/tháng)</t>
  </si>
  <si>
    <t>Utilisation 2025</t>
  </si>
  <si>
    <t>Utilization</t>
  </si>
  <si>
    <t>Số ca 2025</t>
  </si>
  <si>
    <t>Giá trung bình</t>
  </si>
  <si>
    <t>cần trả gấp, đã quá hạn thanh toán</t>
  </si>
  <si>
    <t>chi theo vốn góp đợt 3 anh Vũ</t>
  </si>
  <si>
    <t>Maximum capacity (Công suất tối đa ca/tháng)</t>
  </si>
  <si>
    <t>X Quang</t>
  </si>
  <si>
    <t>Định phí (không bao gồm lãi vay và khấu hao)</t>
  </si>
  <si>
    <t>Sóc Sơn 2025</t>
  </si>
  <si>
    <t>EBITDA chuyển công ty mẹ</t>
  </si>
  <si>
    <t>Chi phí điện nước điện thoại vpp vệ sinh xử lý chất thải</t>
  </si>
  <si>
    <t>HMI TP Hồ Chí Minh</t>
  </si>
  <si>
    <t>HM</t>
  </si>
  <si>
    <t>KTV</t>
  </si>
  <si>
    <t>Chi phí đọc kết quả MRI</t>
  </si>
  <si>
    <t>Chi phí thuê văn mặt bằng</t>
  </si>
  <si>
    <t>Chi phí điện nước điện thoại internet xử lý rác thải</t>
  </si>
  <si>
    <t>Chi phí pháp lý</t>
  </si>
  <si>
    <t>a</t>
  </si>
  <si>
    <t>Chi phí trước hoạt động phân bổ</t>
  </si>
  <si>
    <t>Quy Nhơn</t>
  </si>
  <si>
    <t xml:space="preserve">DỰ BÁO KẾT QUẢ HOẠT ĐỘNG KINH DOANH </t>
  </si>
  <si>
    <t>HMI- TP HCM</t>
  </si>
  <si>
    <t>Xét nghiệm</t>
  </si>
  <si>
    <t>Hoa hồng bác sĩ/CTV</t>
  </si>
  <si>
    <t>Đọc kết quả siêu âm</t>
  </si>
  <si>
    <t xml:space="preserve">Đọc kết quả </t>
  </si>
  <si>
    <t>Siêu âm*</t>
  </si>
  <si>
    <t>Đọc kết quả</t>
  </si>
  <si>
    <t>Gốc vay ngân hàng</t>
  </si>
  <si>
    <t>Thừa/(Thiếu) tiền</t>
  </si>
  <si>
    <t>Chi phí tại HO</t>
  </si>
  <si>
    <t>Chi phí dịch vụ chuyên nghiệp</t>
  </si>
  <si>
    <t>EBITDA toàn công ty</t>
  </si>
  <si>
    <t>EBITDA tại chi nhánh</t>
  </si>
  <si>
    <t>Chi phí lãi vay (net)</t>
  </si>
  <si>
    <t>Chi phí khấu hao máy móc Chẩn đoán hình ảnh</t>
  </si>
  <si>
    <t>Phải trả cổ đông gốc góp vốn</t>
  </si>
  <si>
    <t>KẾT QUẢ HOẠT ĐỘNG KINH DOANH CHI NHÁNH</t>
  </si>
  <si>
    <t>Chi phí khấu hao máy</t>
  </si>
  <si>
    <t>Chi phí khấu hao XDCB</t>
  </si>
  <si>
    <t>EBIT</t>
  </si>
  <si>
    <t>YTD</t>
  </si>
  <si>
    <t>YTG</t>
  </si>
  <si>
    <t>LE</t>
  </si>
  <si>
    <t>------%Doanh thu-------</t>
  </si>
  <si>
    <t>Lợi nhuận từ site liên kết</t>
  </si>
  <si>
    <t>LINKRAD</t>
  </si>
  <si>
    <t>Y TẾ LINKRAD</t>
  </si>
  <si>
    <t>Chi phí điện nước</t>
  </si>
  <si>
    <t>Chi phí internet kết nối</t>
  </si>
  <si>
    <t>Phân bổ dụng cụ dài hạn</t>
  </si>
  <si>
    <t>Chi phí khấu hao &amp; phân bổ</t>
  </si>
  <si>
    <t>Chi phí văn phòng phẩm dụng cụ</t>
  </si>
  <si>
    <t>Chi phí thuê văn mặt bằng, điện nước, viễn thông</t>
  </si>
  <si>
    <t>Tổng - Chi phí HO</t>
  </si>
  <si>
    <t>Last month</t>
  </si>
  <si>
    <t>Last year</t>
  </si>
  <si>
    <t>-----------vs-------------</t>
  </si>
  <si>
    <t>-------------------------Tổng--------------------------</t>
  </si>
  <si>
    <t>Lợi nhuận/(Lỗ) sau thuế</t>
  </si>
  <si>
    <t>Số máy</t>
  </si>
  <si>
    <t>LATEST EST</t>
  </si>
  <si>
    <t>------------vs--------------</t>
  </si>
  <si>
    <t>----------------Forecast--------------------</t>
  </si>
  <si>
    <t>%</t>
  </si>
  <si>
    <t>%DT</t>
  </si>
  <si>
    <t>T.Nguyên</t>
  </si>
  <si>
    <t>T.Thất</t>
  </si>
  <si>
    <t>Giám trừ doanh thu</t>
  </si>
  <si>
    <t>Chi phí bảo dưỡng sửa chữa</t>
  </si>
  <si>
    <t>Doanh thu sales</t>
  </si>
  <si>
    <t>Doanh thu theo BOD</t>
  </si>
  <si>
    <t>Thay thế linh kiện</t>
  </si>
  <si>
    <t>Cold head</t>
  </si>
  <si>
    <t xml:space="preserve">Bóng </t>
  </si>
  <si>
    <t>2 tỷ/3 năm</t>
  </si>
  <si>
    <t>1 tỷ/3 năm</t>
  </si>
  <si>
    <t>Số ca hòa vốn/ngày (tháng thứ 7-12)</t>
  </si>
  <si>
    <t>Trung Bình/tháng</t>
  </si>
  <si>
    <t>Số ca thu đủ bù chi/ngày (tháng thứ 7-12)</t>
  </si>
  <si>
    <t>Số ca hòa vốn/ngày từ tháng 13 trở đi</t>
  </si>
  <si>
    <t>Có tiêm</t>
  </si>
  <si>
    <t>Có</t>
  </si>
  <si>
    <t>Không</t>
  </si>
  <si>
    <t>Thanh Hóa*</t>
  </si>
  <si>
    <t>Thái Nguyên*</t>
  </si>
  <si>
    <t>Hải Dương*</t>
  </si>
  <si>
    <t>Hà Tĩnh*</t>
  </si>
  <si>
    <t>Yết Kiêu**</t>
  </si>
  <si>
    <t>Doanh thu tối thiểu</t>
  </si>
  <si>
    <t>Nhân công bảo trì</t>
  </si>
  <si>
    <t>STT</t>
  </si>
  <si>
    <t>Link</t>
  </si>
  <si>
    <t>Báo cáo kết quả kinh doanh cộng ngang các site tính từ đầu năm đến tháng hiện tại, so sánh cùng kỳ năm trước</t>
  </si>
  <si>
    <t>Báo cáo kết quả kinh doanh hợp nhất từng tháng năm hiện tại, so sánh với budget và so sánh với năm trước</t>
  </si>
  <si>
    <t>Báo cáo Tình hình tài chính (Tài sản, Nợ, Vốn chủ sở hữu) từng tháng năm hiện tại</t>
  </si>
  <si>
    <t>Báo cáo kết quả kinh doanh site Hải Dương</t>
  </si>
  <si>
    <t>Báo cáo kết quả kinh doanh site Cà Mau</t>
  </si>
  <si>
    <t>Nội dung báo cáo</t>
  </si>
  <si>
    <t>Báo cáo kết quả kinh doanh site Thanh Hóa</t>
  </si>
  <si>
    <t>Báo cáo kết quả kinh doanh site Thaí Nguyên</t>
  </si>
  <si>
    <t>Báo cáo kết quả kinh doanh site Thaí Bình</t>
  </si>
  <si>
    <t>Báo cáo kết quả kinh doanh site Yết Kiêu</t>
  </si>
  <si>
    <t>Báo cáo kết quả kinh doanh site Nha Trang</t>
  </si>
  <si>
    <t>Tổng gốc vay chưa trả tính đến tháng 2/2026</t>
  </si>
  <si>
    <t>Điểm hòa vốn từng site</t>
  </si>
  <si>
    <t>Dự báo dòng tiền năm 2026</t>
  </si>
  <si>
    <t>Báo cáo kết quả kinh doanh các site liên kết</t>
  </si>
  <si>
    <t>Báo cáo kết quả kinh doanh HO</t>
  </si>
  <si>
    <t>Báo cáo kết quả kinh doanh site Thạch Thất</t>
  </si>
  <si>
    <t>Báo cáo kết quả kinh doanh site Sóc Sơn</t>
  </si>
  <si>
    <t>Dự báo kết quả kinh doanh site Hải Dương</t>
  </si>
  <si>
    <t>Dự báo kết quả kinh doanh site Cà Mau</t>
  </si>
  <si>
    <t>Dự báo kết quả kinh doanh site Thanh Hóa</t>
  </si>
  <si>
    <t>Dự báo kết quả kinh doanh site Thaí Nguyên</t>
  </si>
  <si>
    <t>Dự báo kết quả kinh doanh site Thaí Bình</t>
  </si>
  <si>
    <t>Dự báo kết quả kinh doanh site Yết Kiêu</t>
  </si>
  <si>
    <t>Dự báo kết quả kinh doanh site Nha Trang</t>
  </si>
  <si>
    <t>Dự báo kết quả kinh doanh site Thạch Thất</t>
  </si>
  <si>
    <t>Dự báo kết quả kinh doanh site Sóc Sơn</t>
  </si>
  <si>
    <t>Dự báo kết quả kinh doanh các site liên kết</t>
  </si>
  <si>
    <t>Dự báo kết quả kinh doanh HO</t>
  </si>
  <si>
    <t>DANH MỤC BÁO CÁO</t>
  </si>
  <si>
    <t>Báo cáo kết quả kinh doanh HM Saigon</t>
  </si>
  <si>
    <t>Dự báo kết quả kinh doanh HM Saigon</t>
  </si>
  <si>
    <t>Danh sách các site</t>
  </si>
  <si>
    <t>Báo cáo kết quả kinh doanh site Hà Tĩnh</t>
  </si>
  <si>
    <t>Dự báo kết quả kinh doanh site Hà Tĩnh</t>
  </si>
  <si>
    <t>Dự báo chị phí bảo trì sửa chữa thay thế máy móc</t>
  </si>
  <si>
    <t>Bảng tính lãi vay site Cà Mau</t>
  </si>
  <si>
    <t>Bảng tính lãi vay site Thanh Hóa</t>
  </si>
  <si>
    <t>Bảng tính lãi vay site Thái Nguyên</t>
  </si>
  <si>
    <t>Bảng tính lãi vay site Thái Bình</t>
  </si>
  <si>
    <t>Bảng tính lãi vay site Yết Kiêu</t>
  </si>
  <si>
    <t>Bảng tính lãi vay site Nha Trang</t>
  </si>
  <si>
    <t>HaiDuong</t>
  </si>
  <si>
    <t>Annual_PL conso'</t>
  </si>
  <si>
    <t>Monthly_PL conso'</t>
  </si>
  <si>
    <t>Site list'</t>
  </si>
  <si>
    <t>CaMau</t>
  </si>
  <si>
    <t>ThanhHoa</t>
  </si>
  <si>
    <t>ThaiNguyen</t>
  </si>
  <si>
    <t>ThaiBinh</t>
  </si>
  <si>
    <t>Dự báo kết quả kinh doanh toàn hệ thống</t>
  </si>
  <si>
    <t>YetKieu</t>
  </si>
  <si>
    <t>NhaTrang</t>
  </si>
  <si>
    <t>ThachThat</t>
  </si>
  <si>
    <t>SocSon-1'</t>
  </si>
  <si>
    <t>Site liên kết'</t>
  </si>
  <si>
    <t>HM-2'</t>
  </si>
  <si>
    <t>Điểm hòa vốn'</t>
  </si>
  <si>
    <t>CF forecast'</t>
  </si>
  <si>
    <t>ThaiNguyen2</t>
  </si>
  <si>
    <t>ThaiBinh2</t>
  </si>
  <si>
    <t>YetKieu-2'</t>
  </si>
  <si>
    <t>NhaTrang-2'</t>
  </si>
  <si>
    <t>SocSon</t>
  </si>
  <si>
    <t>HM-3'</t>
  </si>
  <si>
    <t>Hà Tĩnh'</t>
  </si>
  <si>
    <t>HO-2'</t>
  </si>
  <si>
    <t>Maintenance</t>
  </si>
  <si>
    <t>VTB_CaMau</t>
  </si>
  <si>
    <t>BIDV-THH'</t>
  </si>
  <si>
    <t>VTB_TNN</t>
  </si>
  <si>
    <t>VTB_TBH</t>
  </si>
  <si>
    <t>VTB_YẾT KIÊU'</t>
  </si>
  <si>
    <t>VTB_Nha trang.'</t>
  </si>
  <si>
    <t>BÁO CÁO TÌNH HÌNH TÀI CHÍNH HỢP NHẤT</t>
  </si>
  <si>
    <t>Conso BS'</t>
  </si>
  <si>
    <t>Tư vấn chuyên môn</t>
  </si>
  <si>
    <t>--------Tổng---------</t>
  </si>
  <si>
    <t>------vs last year-------</t>
  </si>
  <si>
    <t>Thuốc</t>
  </si>
  <si>
    <t>Hoa hồng và thưởng kinh doanh</t>
  </si>
  <si>
    <t>Đọc kết quả online</t>
  </si>
  <si>
    <t>Chi phí thường xuyên</t>
  </si>
  <si>
    <t xml:space="preserve">Lợi nhuận/Chi phí tài chính </t>
  </si>
  <si>
    <t>Chi phí thuế TNDN (ước tính)</t>
  </si>
  <si>
    <t>Chi phí khấu hao máy chẩn đoán</t>
  </si>
  <si>
    <t>------------------Tổng--------------------</t>
  </si>
  <si>
    <t>Chi phí bảo dưỡng bảo trì sửa chữa</t>
  </si>
  <si>
    <t>31.12.2025</t>
  </si>
  <si>
    <t>Chi phí thuê mặt bằng, điện nước, vpp</t>
  </si>
  <si>
    <t>Trong hạn thanh toán</t>
  </si>
  <si>
    <t>Quá hạn thanh toán</t>
  </si>
  <si>
    <t>Nợ dài hạn</t>
  </si>
  <si>
    <t>Chi phí chờ phân bổ</t>
  </si>
  <si>
    <t>Tổng tài sản dài hạn</t>
  </si>
  <si>
    <t>Chi phí vận hành thường xuyên</t>
  </si>
  <si>
    <t>THU NHẬP CHI PHÍ QUẢN LÝ TẠI HO</t>
  </si>
  <si>
    <t>Tổng thu nhập</t>
  </si>
  <si>
    <t xml:space="preserve">Thu nhập </t>
  </si>
  <si>
    <t>Từ phí quản lý</t>
  </si>
  <si>
    <t>Tài chính</t>
  </si>
  <si>
    <t>Tổng chi phí hoạt động</t>
  </si>
  <si>
    <t>Chi phí thuế TNDN (tạm tính)</t>
  </si>
  <si>
    <t>Cổ đông địa phương</t>
  </si>
  <si>
    <t>Thưởng hiệu quả kinh doanh nhân viên</t>
  </si>
  <si>
    <t>Chi phí khấu hao máy chẩn đoán hình ảnh</t>
  </si>
  <si>
    <t>Thưởng hiệu quả kinh doanh</t>
  </si>
  <si>
    <t>Chi phí KH khác</t>
  </si>
  <si>
    <t>Chi phí bảo trì sửa chữa máy</t>
  </si>
  <si>
    <t xml:space="preserve">Chỉ phí bảo trì sửa chữa </t>
  </si>
  <si>
    <t>Chi phí lãi vay net/(Thu nhập tài chính)</t>
  </si>
  <si>
    <t>(Lợi nhuận khác)/Lỗ khác</t>
  </si>
  <si>
    <t>Chi phí sửa chữa bảo dưỡng</t>
  </si>
  <si>
    <t>WIP</t>
  </si>
  <si>
    <t>Địa phương</t>
  </si>
  <si>
    <t>Hà Nội</t>
  </si>
  <si>
    <t>Ninh Bình</t>
  </si>
  <si>
    <t>Hà Giang</t>
  </si>
  <si>
    <t>Tuyên Quang</t>
  </si>
  <si>
    <t>Sài Gòn</t>
  </si>
  <si>
    <t xml:space="preserve">Quy Nhơn </t>
  </si>
  <si>
    <t>Site LK</t>
  </si>
  <si>
    <t>Lợi nhuận</t>
  </si>
  <si>
    <t>Hoa hồng chỉ định/ca MRI</t>
  </si>
  <si>
    <t>Hoa hồng chỉ định/ca CT</t>
  </si>
  <si>
    <t>Hoa hồng chỉ định</t>
  </si>
  <si>
    <t>Marketing &amp; Phí quản lý</t>
  </si>
  <si>
    <t>Thưởng hiệu quả kinh doanh (Quỹ 5% doanh thu)</t>
  </si>
  <si>
    <t>Chi phí hành chính</t>
  </si>
  <si>
    <t>Contribution Margin/unit (Lợi nhuận góp/ca)</t>
  </si>
  <si>
    <t>Weighted Average (Trung bình)</t>
  </si>
  <si>
    <t>Lãi/Lỗ trên biến phí</t>
  </si>
  <si>
    <t>Số ca thu đủ bù chi (tháng hoạt động thứ 7-12)</t>
  </si>
  <si>
    <t>Số ca hòa vốn từ tháng hoạt động thứ 13 trở đi</t>
  </si>
  <si>
    <t>Marketing &amp; phí quản lý</t>
  </si>
  <si>
    <t>Doanh thu thu đủ bù chi từ tháng 7 trở đi</t>
  </si>
  <si>
    <t>Cty CP Y tế Phúc Sơn
(Thái Bình)</t>
  </si>
  <si>
    <t>Tổng mức đầu tư (Triệu VND)</t>
  </si>
  <si>
    <t>Tong dau tu LinkRad</t>
  </si>
  <si>
    <t>Tháng bắt đầu</t>
  </si>
  <si>
    <t>Tỷ lệ SH Linkrad</t>
  </si>
  <si>
    <t>Vay bank @28.02.18</t>
  </si>
  <si>
    <t>Dòng tiền nhận từ cổ đông</t>
  </si>
  <si>
    <t>Dư/Thiếu tiền</t>
  </si>
  <si>
    <t>Giá bán mới</t>
  </si>
  <si>
    <t xml:space="preserve">Doanh thu </t>
  </si>
  <si>
    <t>Trả lãi vay</t>
  </si>
  <si>
    <t>Trả cổ đông hợp tác KD</t>
  </si>
  <si>
    <t>Thay cool head ở Hải Dương</t>
  </si>
  <si>
    <t>Cổ đông Hải Dương rút vốn</t>
  </si>
  <si>
    <t>Truyền thông marketing &amp; phí quản lý</t>
  </si>
  <si>
    <t>Tổng- Chi phí</t>
  </si>
  <si>
    <t>Có thể gọi vốn</t>
  </si>
  <si>
    <t xml:space="preserve">Trả tiền thu hộ ĐHY </t>
  </si>
  <si>
    <t>Thưởng kinh doanh</t>
  </si>
  <si>
    <t>Phí quản lý</t>
  </si>
  <si>
    <t xml:space="preserve">Chi phí marketing </t>
  </si>
  <si>
    <t>Chi phí quản lý</t>
  </si>
  <si>
    <t>A. Tuấn góp vốn</t>
  </si>
  <si>
    <t>Forincon góp vốn</t>
  </si>
  <si>
    <t>CTR góp vốn</t>
  </si>
  <si>
    <t>A Tuấn cho vay</t>
  </si>
  <si>
    <t>Dư tiền @5.3.26</t>
  </si>
  <si>
    <t>Thangs 4</t>
  </si>
  <si>
    <t>Thang4</t>
  </si>
  <si>
    <t>Thang 6</t>
  </si>
  <si>
    <t>Hoi lai a Tiep</t>
  </si>
  <si>
    <t>Hoi lai a Vu</t>
  </si>
  <si>
    <t>Thang 4</t>
  </si>
  <si>
    <t>Dòng tiền vay</t>
  </si>
  <si>
    <t>Bank cho site Hà Tĩnh</t>
  </si>
  <si>
    <t>A Linh</t>
  </si>
  <si>
    <t>Mượn sổ</t>
  </si>
  <si>
    <t>Doanh thu 2025</t>
  </si>
  <si>
    <t>Thay đổi 2025 vs 2026 budget</t>
  </si>
  <si>
    <t>Cấu trúc chi phí/doanh thu % tại điểm hòa vốn</t>
  </si>
  <si>
    <t>Nhân sự</t>
  </si>
  <si>
    <t>Bảo trì</t>
  </si>
  <si>
    <t>Thuê địa điểm</t>
  </si>
  <si>
    <t xml:space="preserve">Vận hành site </t>
  </si>
  <si>
    <t>Lãi vay</t>
  </si>
  <si>
    <t xml:space="preserve">Thưởng hiệu quả kinh doanh </t>
  </si>
  <si>
    <t>DỰ BÁO DÒNG TIỀN THEO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</si>
</sst>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??_-;_-@"/>
    <numFmt numFmtId="165" formatCode="_(* #,##0_);_(* \(#,##0\);_(* &quot;-&quot;??_);_(@_)"/>
    <numFmt numFmtId="166" formatCode="0.0%"/>
    <numFmt numFmtId="167" formatCode="0.0"/>
    <numFmt numFmtId="168" formatCode="_(* #,##0.0_);_(* \(#,##0.0\);_(* &quot;-&quot;??_);_(@_)"/>
    <numFmt numFmtId="169" formatCode="_(* #,##0.0_);_(* \(#,##0.0\);_(* &quot;-&quot;?_);_(@_)"/>
    <numFmt numFmtId="170" formatCode="dd/mm/yyyy;@"/>
    <numFmt numFmtId="171" formatCode="0_);\(0\)"/>
    <numFmt numFmtId="172" formatCode="_(* #,##0.000_);_(* \(#,##0.000\);_(* &quot;-&quot;??_);_(@_)"/>
    <numFmt numFmtId="173" formatCode="_-* #,##0_-;\-* #,##0_-;_-* &quot;-&quot;??_-;_-@_-"/>
  </numFmts>
  <fonts count="50" x14ac:knownFonts="1"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name val="Arial"/>
      <family val="2"/>
    </font>
    <font>
      <sz val="10"/>
      <color rgb="FF000000"/>
      <name val="Cambria"/>
      <family val="1"/>
    </font>
    <font>
      <b/>
      <sz val="10"/>
      <color rgb="FF000000"/>
      <name val="Arial"/>
      <family val="2"/>
    </font>
    <font>
      <b/>
      <sz val="1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Cambria"/>
      <family val="1"/>
    </font>
    <font>
      <i/>
      <sz val="10"/>
      <color rgb="FF000000"/>
      <name val="Cambria"/>
      <family val="1"/>
    </font>
    <font>
      <sz val="10"/>
      <name val="Cambria"/>
      <family val="1"/>
    </font>
    <font>
      <b/>
      <sz val="10"/>
      <name val="Cambria"/>
      <family val="1"/>
    </font>
    <font>
      <b/>
      <i/>
      <sz val="10"/>
      <color rgb="FF000000"/>
      <name val="Cambria"/>
      <family val="1"/>
    </font>
    <font>
      <b/>
      <sz val="10"/>
      <color theme="0"/>
      <name val="Cambria"/>
      <family val="1"/>
    </font>
    <font>
      <b/>
      <sz val="10"/>
      <color rgb="FF194BCF"/>
      <name val="Cambria"/>
      <family val="1"/>
    </font>
    <font>
      <b/>
      <sz val="10"/>
      <color rgb="FF194CD0"/>
      <name val="Cambria"/>
      <family val="1"/>
    </font>
    <font>
      <b/>
      <sz val="10"/>
      <color rgb="FF2596BE"/>
      <name val="Cambria"/>
      <family val="1"/>
    </font>
    <font>
      <b/>
      <i/>
      <sz val="10"/>
      <color rgb="FF194BCF"/>
      <name val="Cambria"/>
      <family val="1"/>
    </font>
    <font>
      <b/>
      <sz val="11"/>
      <color rgb="FF2596BE"/>
      <name val="Cambria"/>
      <family val="1"/>
    </font>
    <font>
      <b/>
      <i/>
      <sz val="10"/>
      <color theme="1"/>
      <name val="Cambria"/>
      <family val="1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94BCF"/>
      <name val="Calibri"/>
      <family val="2"/>
      <scheme val="minor"/>
    </font>
    <font>
      <i/>
      <sz val="9"/>
      <color theme="4" tint="-0.249977111117893"/>
      <name val="Cambria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0"/>
      <color rgb="FF194BCF"/>
      <name val="Cambria"/>
      <family val="1"/>
    </font>
    <font>
      <b/>
      <i/>
      <sz val="10"/>
      <color rgb="FF2596BE"/>
      <name val="Cambria"/>
      <family val="1"/>
    </font>
    <font>
      <sz val="10"/>
      <color rgb="FF194BCF"/>
      <name val="Cambria"/>
      <family val="1"/>
    </font>
    <font>
      <i/>
      <sz val="10"/>
      <color rgb="FF194CD0"/>
      <name val="Cambria"/>
      <family val="1"/>
    </font>
    <font>
      <i/>
      <sz val="9"/>
      <color rgb="FF194CD0"/>
      <name val="Cambria"/>
      <family val="1"/>
    </font>
    <font>
      <sz val="10"/>
      <color rgb="FFFF0000"/>
      <name val="Cambria"/>
      <family val="1"/>
    </font>
    <font>
      <b/>
      <sz val="10"/>
      <color rgb="FFFF0000"/>
      <name val="Cambria"/>
      <family val="1"/>
    </font>
    <font>
      <i/>
      <sz val="9"/>
      <color rgb="FF194BCF"/>
      <name val="Cambria"/>
      <family val="1"/>
    </font>
    <font>
      <i/>
      <sz val="10"/>
      <color rgb="FF2596BE"/>
      <name val="Cambria"/>
      <family val="1"/>
    </font>
    <font>
      <i/>
      <sz val="9"/>
      <color rgb="FF2596BE"/>
      <name val="Cambria"/>
      <family val="1"/>
    </font>
    <font>
      <i/>
      <sz val="10"/>
      <name val="Cambria"/>
      <family val="1"/>
    </font>
    <font>
      <sz val="11"/>
      <color theme="1"/>
      <name val="Cambria"/>
      <family val="1"/>
    </font>
    <font>
      <u/>
      <sz val="11"/>
      <color theme="10"/>
      <name val="Calibri"/>
      <family val="2"/>
      <scheme val="minor"/>
    </font>
    <font>
      <sz val="11"/>
      <color rgb="FF2596BE"/>
      <name val="Cambria"/>
      <family val="1"/>
    </font>
    <font>
      <u/>
      <sz val="11"/>
      <color theme="10"/>
      <name val="Cambria"/>
      <family val="1"/>
    </font>
    <font>
      <b/>
      <sz val="11"/>
      <color theme="0"/>
      <name val="Cambria"/>
      <family val="1"/>
    </font>
    <font>
      <sz val="11"/>
      <name val="Calibri"/>
      <family val="2"/>
      <scheme val="minor"/>
    </font>
    <font>
      <sz val="10"/>
      <color theme="0"/>
      <name val="Cambria"/>
      <family val="1"/>
    </font>
    <font>
      <b/>
      <i/>
      <sz val="10"/>
      <name val="Cambria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rgb="FFFFE598"/>
      </patternFill>
    </fill>
    <fill>
      <patternFill patternType="solid">
        <fgColor rgb="FFFFFFFF"/>
        <bgColor indexed="64"/>
      </patternFill>
    </fill>
    <fill>
      <patternFill patternType="solid">
        <fgColor rgb="FF2596BE"/>
        <bgColor rgb="FFFFE598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596BE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194CD0"/>
      </bottom>
      <diagonal/>
    </border>
    <border>
      <left/>
      <right/>
      <top style="medium">
        <color rgb="FF194BCF"/>
      </top>
      <bottom/>
      <diagonal/>
    </border>
    <border>
      <left/>
      <right/>
      <top style="thin">
        <color rgb="FF194BCF"/>
      </top>
      <bottom style="thick">
        <color rgb="FF194BCF"/>
      </bottom>
      <diagonal/>
    </border>
    <border>
      <left/>
      <right/>
      <top style="medium">
        <color rgb="FF194CD0"/>
      </top>
      <bottom/>
      <diagonal/>
    </border>
    <border>
      <left/>
      <right/>
      <top style="thin">
        <color rgb="FF194CD0"/>
      </top>
      <bottom style="medium">
        <color rgb="FF194CD0"/>
      </bottom>
      <diagonal/>
    </border>
    <border>
      <left/>
      <right/>
      <top style="thin">
        <color rgb="FF194BCF"/>
      </top>
      <bottom/>
      <diagonal/>
    </border>
    <border>
      <left/>
      <right/>
      <top style="thin">
        <color rgb="FF194CD0"/>
      </top>
      <bottom/>
      <diagonal/>
    </border>
    <border>
      <left/>
      <right/>
      <top style="thin">
        <color rgb="FF194BCF"/>
      </top>
      <bottom style="medium">
        <color rgb="FF194BC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194CD0"/>
      </bottom>
      <diagonal/>
    </border>
    <border>
      <left/>
      <right/>
      <top/>
      <bottom style="thin">
        <color rgb="FF194BCF"/>
      </bottom>
      <diagonal/>
    </border>
    <border>
      <left/>
      <right/>
      <top style="medium">
        <color rgb="FF194BCF"/>
      </top>
      <bottom style="medium">
        <color rgb="FF194BCF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/>
      <top style="thin">
        <color rgb="FF194BCF"/>
      </top>
      <bottom style="thin">
        <color rgb="FF194CD0"/>
      </bottom>
      <diagonal/>
    </border>
    <border>
      <left style="dashed">
        <color theme="1"/>
      </left>
      <right/>
      <top style="dashed">
        <color theme="1"/>
      </top>
      <bottom/>
      <diagonal/>
    </border>
    <border>
      <left/>
      <right/>
      <top style="dashed">
        <color theme="1"/>
      </top>
      <bottom/>
      <diagonal/>
    </border>
    <border>
      <left/>
      <right style="dashed">
        <color theme="1"/>
      </right>
      <top style="dashed">
        <color theme="1"/>
      </top>
      <bottom/>
      <diagonal/>
    </border>
    <border>
      <left style="dashed">
        <color theme="1"/>
      </left>
      <right/>
      <top/>
      <bottom/>
      <diagonal/>
    </border>
    <border>
      <left/>
      <right style="dashed">
        <color theme="1"/>
      </right>
      <top/>
      <bottom/>
      <diagonal/>
    </border>
    <border>
      <left style="dashed">
        <color theme="1"/>
      </left>
      <right/>
      <top/>
      <bottom style="thin">
        <color rgb="FF194CD0"/>
      </bottom>
      <diagonal/>
    </border>
    <border>
      <left/>
      <right style="dashed">
        <color theme="1"/>
      </right>
      <top/>
      <bottom style="thin">
        <color rgb="FF194CD0"/>
      </bottom>
      <diagonal/>
    </border>
    <border>
      <left style="dashed">
        <color auto="1"/>
      </left>
      <right/>
      <top/>
      <bottom style="thin">
        <color rgb="FF194CD0"/>
      </bottom>
      <diagonal/>
    </border>
    <border>
      <left/>
      <right style="dashed">
        <color auto="1"/>
      </right>
      <top/>
      <bottom style="thin">
        <color rgb="FF194CD0"/>
      </bottom>
      <diagonal/>
    </border>
    <border>
      <left/>
      <right/>
      <top style="thin">
        <color rgb="FF194CD0"/>
      </top>
      <bottom style="thin">
        <color rgb="FF194CD0"/>
      </bottom>
      <diagonal/>
    </border>
    <border>
      <left style="dashed">
        <color auto="1"/>
      </left>
      <right/>
      <top/>
      <bottom style="medium">
        <color rgb="FF194BCF"/>
      </bottom>
      <diagonal/>
    </border>
    <border>
      <left/>
      <right/>
      <top/>
      <bottom style="medium">
        <color rgb="FF194BCF"/>
      </bottom>
      <diagonal/>
    </border>
    <border>
      <left/>
      <right style="dashed">
        <color auto="1"/>
      </right>
      <top/>
      <bottom style="medium">
        <color rgb="FF194BCF"/>
      </bottom>
      <diagonal/>
    </border>
    <border>
      <left style="dashed">
        <color rgb="FF194BCF"/>
      </left>
      <right/>
      <top style="dashed">
        <color rgb="FF194BCF"/>
      </top>
      <bottom/>
      <diagonal/>
    </border>
    <border>
      <left/>
      <right/>
      <top style="dashed">
        <color rgb="FF194BCF"/>
      </top>
      <bottom/>
      <diagonal/>
    </border>
    <border>
      <left/>
      <right style="dashed">
        <color rgb="FF194BCF"/>
      </right>
      <top style="dashed">
        <color rgb="FF194BCF"/>
      </top>
      <bottom/>
      <diagonal/>
    </border>
    <border>
      <left style="dashed">
        <color rgb="FF194BCF"/>
      </left>
      <right/>
      <top/>
      <bottom style="dashed">
        <color rgb="FF194BCF"/>
      </bottom>
      <diagonal/>
    </border>
    <border>
      <left/>
      <right/>
      <top/>
      <bottom style="dashed">
        <color rgb="FF194BCF"/>
      </bottom>
      <diagonal/>
    </border>
    <border>
      <left/>
      <right style="dashed">
        <color rgb="FF194BCF"/>
      </right>
      <top/>
      <bottom style="dashed">
        <color rgb="FF194BCF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medium">
        <color rgb="FF194CD0"/>
      </bottom>
      <diagonal/>
    </border>
    <border>
      <left style="dashed">
        <color rgb="FF194CD0"/>
      </left>
      <right/>
      <top style="dashed">
        <color rgb="FF194CD0"/>
      </top>
      <bottom/>
      <diagonal/>
    </border>
    <border>
      <left/>
      <right/>
      <top style="dashed">
        <color rgb="FF194CD0"/>
      </top>
      <bottom/>
      <diagonal/>
    </border>
    <border>
      <left/>
      <right style="dashed">
        <color rgb="FF194CD0"/>
      </right>
      <top style="dashed">
        <color rgb="FF194CD0"/>
      </top>
      <bottom/>
      <diagonal/>
    </border>
    <border>
      <left style="dashed">
        <color rgb="FF194CD0"/>
      </left>
      <right/>
      <top/>
      <bottom style="medium">
        <color rgb="FF194CD0"/>
      </bottom>
      <diagonal/>
    </border>
    <border>
      <left/>
      <right style="dashed">
        <color rgb="FF194CD0"/>
      </right>
      <top/>
      <bottom style="medium">
        <color rgb="FF194CD0"/>
      </bottom>
      <diagonal/>
    </border>
    <border>
      <left style="dashed">
        <color rgb="FF194BCF"/>
      </left>
      <right/>
      <top/>
      <bottom/>
      <diagonal/>
    </border>
    <border>
      <left/>
      <right style="dashed">
        <color rgb="FF194BCF"/>
      </right>
      <top/>
      <bottom/>
      <diagonal/>
    </border>
    <border>
      <left style="dashed">
        <color rgb="FF194BCF"/>
      </left>
      <right style="dashed">
        <color rgb="FF194BCF"/>
      </right>
      <top style="dashed">
        <color rgb="FF194BCF"/>
      </top>
      <bottom style="dashed">
        <color rgb="FF194BCF"/>
      </bottom>
      <diagonal/>
    </border>
    <border>
      <left style="dashed">
        <color rgb="FF194CD0"/>
      </left>
      <right style="dashed">
        <color rgb="FF194CD0"/>
      </right>
      <top style="dashed">
        <color rgb="FF194CD0"/>
      </top>
      <bottom style="dashed">
        <color rgb="FF194CD0"/>
      </bottom>
      <diagonal/>
    </border>
  </borders>
  <cellStyleXfs count="6">
    <xf numFmtId="0" fontId="0" fillId="0" borderId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43" fillId="0" borderId="0" applyNumberFormat="0" applyFill="0" applyBorder="0" applyAlignment="0" applyProtection="0"/>
  </cellStyleXfs>
  <cellXfs count="641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3" borderId="0" xfId="0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2" fillId="2" borderId="0" xfId="0" applyFont="1" applyFill="1"/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5" fillId="5" borderId="0" xfId="0" applyFont="1" applyFill="1" applyAlignment="1">
      <alignment vertical="center"/>
    </xf>
    <xf numFmtId="0" fontId="2" fillId="2" borderId="1" xfId="0" applyFont="1" applyFill="1" applyBorder="1"/>
    <xf numFmtId="0" fontId="1" fillId="2" borderId="1" xfId="0" applyFont="1" applyFill="1" applyBorder="1"/>
    <xf numFmtId="0" fontId="6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vertical="center"/>
    </xf>
    <xf numFmtId="0" fontId="11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vertical="center"/>
    </xf>
    <xf numFmtId="0" fontId="12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/>
    </xf>
    <xf numFmtId="0" fontId="15" fillId="2" borderId="0" xfId="0" applyFont="1" applyFill="1"/>
    <xf numFmtId="0" fontId="16" fillId="2" borderId="0" xfId="0" applyFont="1" applyFill="1"/>
    <xf numFmtId="0" fontId="1" fillId="2" borderId="2" xfId="0" applyFont="1" applyFill="1" applyBorder="1"/>
    <xf numFmtId="164" fontId="17" fillId="4" borderId="0" xfId="0" applyNumberFormat="1" applyFont="1" applyFill="1" applyAlignment="1">
      <alignment horizontal="center"/>
    </xf>
    <xf numFmtId="0" fontId="17" fillId="4" borderId="0" xfId="0" applyFont="1" applyFill="1" applyAlignment="1">
      <alignment horizontal="right"/>
    </xf>
    <xf numFmtId="0" fontId="17" fillId="2" borderId="0" xfId="0" applyFont="1" applyFill="1"/>
    <xf numFmtId="0" fontId="5" fillId="5" borderId="0" xfId="0" quotePrefix="1" applyFont="1" applyFill="1" applyAlignment="1">
      <alignment vertical="center"/>
    </xf>
    <xf numFmtId="0" fontId="15" fillId="5" borderId="0" xfId="0" applyFont="1" applyFill="1" applyAlignment="1">
      <alignment vertical="center"/>
    </xf>
    <xf numFmtId="0" fontId="18" fillId="5" borderId="3" xfId="0" applyFont="1" applyFill="1" applyBorder="1" applyAlignment="1">
      <alignment vertical="center"/>
    </xf>
    <xf numFmtId="0" fontId="13" fillId="5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2" borderId="3" xfId="0" applyFill="1" applyBorder="1"/>
    <xf numFmtId="0" fontId="9" fillId="5" borderId="4" xfId="0" applyFont="1" applyFill="1" applyBorder="1" applyAlignment="1">
      <alignment vertical="center"/>
    </xf>
    <xf numFmtId="0" fontId="9" fillId="5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2" borderId="4" xfId="0" applyFill="1" applyBorder="1"/>
    <xf numFmtId="0" fontId="19" fillId="2" borderId="0" xfId="0" applyFont="1" applyFill="1"/>
    <xf numFmtId="0" fontId="14" fillId="4" borderId="0" xfId="0" applyFont="1" applyFill="1" applyAlignment="1">
      <alignment horizontal="center"/>
    </xf>
    <xf numFmtId="0" fontId="20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2" borderId="0" xfId="0" quotePrefix="1" applyFont="1" applyFill="1"/>
    <xf numFmtId="0" fontId="15" fillId="2" borderId="5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 vertical="center"/>
    </xf>
    <xf numFmtId="0" fontId="1" fillId="2" borderId="5" xfId="0" applyFont="1" applyFill="1" applyBorder="1"/>
    <xf numFmtId="0" fontId="15" fillId="2" borderId="6" xfId="0" applyFont="1" applyFill="1" applyBorder="1" applyAlignment="1">
      <alignment horizontal="left"/>
    </xf>
    <xf numFmtId="0" fontId="1" fillId="2" borderId="6" xfId="0" applyFont="1" applyFill="1" applyBorder="1"/>
    <xf numFmtId="0" fontId="20" fillId="2" borderId="0" xfId="0" applyFont="1" applyFill="1"/>
    <xf numFmtId="0" fontId="1" fillId="2" borderId="0" xfId="0" applyFont="1" applyFill="1" applyAlignment="1">
      <alignment horizontal="right"/>
    </xf>
    <xf numFmtId="165" fontId="1" fillId="2" borderId="0" xfId="0" applyNumberFormat="1" applyFont="1" applyFill="1" applyAlignment="1">
      <alignment horizontal="right" wrapText="1"/>
    </xf>
    <xf numFmtId="0" fontId="1" fillId="2" borderId="0" xfId="0" applyFont="1" applyFill="1" applyAlignment="1">
      <alignment horizontal="right" wrapText="1"/>
    </xf>
    <xf numFmtId="165" fontId="20" fillId="2" borderId="0" xfId="0" applyNumberFormat="1" applyFont="1" applyFill="1" applyAlignment="1">
      <alignment horizontal="right" wrapText="1"/>
    </xf>
    <xf numFmtId="165" fontId="1" fillId="2" borderId="0" xfId="1" applyNumberFormat="1" applyFont="1" applyFill="1"/>
    <xf numFmtId="0" fontId="14" fillId="6" borderId="0" xfId="0" applyFont="1" applyFill="1" applyAlignment="1">
      <alignment horizontal="right"/>
    </xf>
    <xf numFmtId="165" fontId="1" fillId="2" borderId="0" xfId="1" applyNumberFormat="1" applyFont="1" applyFill="1" applyAlignment="1">
      <alignment horizontal="right" wrapText="1"/>
    </xf>
    <xf numFmtId="165" fontId="0" fillId="0" borderId="0" xfId="0" applyNumberFormat="1" applyAlignment="1">
      <alignment horizontal="right" wrapText="1"/>
    </xf>
    <xf numFmtId="0" fontId="0" fillId="0" borderId="0" xfId="0" applyAlignment="1">
      <alignment horizontal="right"/>
    </xf>
    <xf numFmtId="0" fontId="20" fillId="2" borderId="7" xfId="0" applyFont="1" applyFill="1" applyBorder="1"/>
    <xf numFmtId="0" fontId="1" fillId="2" borderId="7" xfId="0" applyFont="1" applyFill="1" applyBorder="1"/>
    <xf numFmtId="165" fontId="20" fillId="2" borderId="7" xfId="0" applyNumberFormat="1" applyFont="1" applyFill="1" applyBorder="1" applyAlignment="1">
      <alignment horizontal="right" wrapText="1"/>
    </xf>
    <xf numFmtId="0" fontId="20" fillId="2" borderId="6" xfId="0" applyFont="1" applyFill="1" applyBorder="1"/>
    <xf numFmtId="165" fontId="1" fillId="2" borderId="6" xfId="1" applyNumberFormat="1" applyFont="1" applyFill="1" applyBorder="1" applyAlignment="1">
      <alignment horizontal="right" wrapText="1"/>
    </xf>
    <xf numFmtId="0" fontId="1" fillId="2" borderId="8" xfId="0" applyFont="1" applyFill="1" applyBorder="1"/>
    <xf numFmtId="165" fontId="15" fillId="2" borderId="0" xfId="0" applyNumberFormat="1" applyFont="1" applyFill="1" applyAlignment="1">
      <alignment horizontal="right" wrapText="1"/>
    </xf>
    <xf numFmtId="165" fontId="20" fillId="2" borderId="8" xfId="0" applyNumberFormat="1" applyFont="1" applyFill="1" applyBorder="1" applyAlignment="1">
      <alignment horizontal="right" wrapText="1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right" wrapText="1"/>
    </xf>
    <xf numFmtId="0" fontId="23" fillId="2" borderId="0" xfId="0" applyFont="1" applyFill="1"/>
    <xf numFmtId="166" fontId="0" fillId="2" borderId="0" xfId="0" applyNumberFormat="1" applyFill="1"/>
    <xf numFmtId="0" fontId="22" fillId="2" borderId="0" xfId="0" applyFont="1" applyFill="1"/>
    <xf numFmtId="9" fontId="0" fillId="2" borderId="0" xfId="0" applyNumberFormat="1" applyFill="1"/>
    <xf numFmtId="0" fontId="2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7" fontId="0" fillId="2" borderId="0" xfId="0" applyNumberFormat="1" applyFill="1"/>
    <xf numFmtId="17" fontId="0" fillId="2" borderId="0" xfId="0" applyNumberFormat="1" applyFill="1"/>
    <xf numFmtId="0" fontId="24" fillId="2" borderId="0" xfId="0" applyFont="1" applyFill="1"/>
    <xf numFmtId="165" fontId="1" fillId="2" borderId="0" xfId="0" applyNumberFormat="1" applyFont="1" applyFill="1"/>
    <xf numFmtId="165" fontId="2" fillId="2" borderId="0" xfId="0" applyNumberFormat="1" applyFont="1" applyFill="1" applyAlignment="1">
      <alignment horizontal="right" wrapText="1"/>
    </xf>
    <xf numFmtId="0" fontId="15" fillId="2" borderId="8" xfId="0" applyFont="1" applyFill="1" applyBorder="1"/>
    <xf numFmtId="0" fontId="2" fillId="2" borderId="8" xfId="0" applyFont="1" applyFill="1" applyBorder="1"/>
    <xf numFmtId="165" fontId="2" fillId="2" borderId="8" xfId="0" applyNumberFormat="1" applyFont="1" applyFill="1" applyBorder="1" applyAlignment="1">
      <alignment horizontal="right" wrapText="1"/>
    </xf>
    <xf numFmtId="0" fontId="15" fillId="2" borderId="3" xfId="0" applyFont="1" applyFill="1" applyBorder="1"/>
    <xf numFmtId="0" fontId="2" fillId="2" borderId="3" xfId="0" applyFont="1" applyFill="1" applyBorder="1"/>
    <xf numFmtId="0" fontId="1" fillId="2" borderId="3" xfId="0" applyFont="1" applyFill="1" applyBorder="1"/>
    <xf numFmtId="165" fontId="2" fillId="2" borderId="3" xfId="0" applyNumberFormat="1" applyFont="1" applyFill="1" applyBorder="1" applyAlignment="1">
      <alignment horizontal="right" wrapText="1"/>
    </xf>
    <xf numFmtId="0" fontId="25" fillId="2" borderId="0" xfId="0" applyFont="1" applyFill="1"/>
    <xf numFmtId="165" fontId="25" fillId="2" borderId="0" xfId="1" applyNumberFormat="1" applyFont="1" applyFill="1" applyAlignment="1">
      <alignment horizontal="right" wrapText="1"/>
    </xf>
    <xf numFmtId="165" fontId="25" fillId="2" borderId="0" xfId="0" applyNumberFormat="1" applyFont="1" applyFill="1" applyAlignment="1">
      <alignment horizontal="right" wrapText="1"/>
    </xf>
    <xf numFmtId="9" fontId="1" fillId="2" borderId="0" xfId="2" applyFont="1" applyFill="1" applyAlignment="1">
      <alignment horizontal="right" wrapText="1"/>
    </xf>
    <xf numFmtId="9" fontId="1" fillId="2" borderId="0" xfId="0" applyNumberFormat="1" applyFont="1" applyFill="1"/>
    <xf numFmtId="9" fontId="1" fillId="2" borderId="8" xfId="2" applyFont="1" applyFill="1" applyBorder="1" applyAlignment="1">
      <alignment horizontal="right" wrapText="1"/>
    </xf>
    <xf numFmtId="165" fontId="1" fillId="2" borderId="9" xfId="1" applyNumberFormat="1" applyFont="1" applyFill="1" applyBorder="1" applyAlignment="1">
      <alignment horizontal="right" wrapText="1"/>
    </xf>
    <xf numFmtId="0" fontId="1" fillId="2" borderId="9" xfId="0" applyFont="1" applyFill="1" applyBorder="1"/>
    <xf numFmtId="9" fontId="2" fillId="2" borderId="8" xfId="2" applyFont="1" applyFill="1" applyBorder="1" applyAlignment="1">
      <alignment horizontal="right" wrapText="1"/>
    </xf>
    <xf numFmtId="168" fontId="1" fillId="2" borderId="0" xfId="0" applyNumberFormat="1" applyFont="1" applyFill="1" applyAlignment="1">
      <alignment horizontal="right" wrapText="1"/>
    </xf>
    <xf numFmtId="165" fontId="11" fillId="2" borderId="0" xfId="1" applyNumberFormat="1" applyFont="1" applyFill="1" applyAlignment="1">
      <alignment horizontal="right" wrapText="1"/>
    </xf>
    <xf numFmtId="9" fontId="2" fillId="2" borderId="3" xfId="2" applyFont="1" applyFill="1" applyBorder="1" applyAlignment="1">
      <alignment horizontal="right" wrapText="1"/>
    </xf>
    <xf numFmtId="9" fontId="2" fillId="2" borderId="0" xfId="2" applyFont="1" applyFill="1" applyBorder="1" applyAlignment="1">
      <alignment horizontal="right" wrapText="1"/>
    </xf>
    <xf numFmtId="168" fontId="1" fillId="2" borderId="9" xfId="1" applyNumberFormat="1" applyFont="1" applyFill="1" applyBorder="1" applyAlignment="1">
      <alignment horizontal="right" wrapText="1"/>
    </xf>
    <xf numFmtId="166" fontId="20" fillId="2" borderId="0" xfId="2" applyNumberFormat="1" applyFont="1" applyFill="1" applyBorder="1" applyAlignment="1">
      <alignment horizontal="right" wrapText="1"/>
    </xf>
    <xf numFmtId="166" fontId="1" fillId="2" borderId="0" xfId="2" applyNumberFormat="1" applyFont="1" applyFill="1" applyAlignment="1">
      <alignment horizontal="right" wrapText="1"/>
    </xf>
    <xf numFmtId="37" fontId="11" fillId="2" borderId="0" xfId="1" applyNumberFormat="1" applyFont="1" applyFill="1" applyAlignment="1">
      <alignment horizontal="right" wrapText="1"/>
    </xf>
    <xf numFmtId="166" fontId="20" fillId="7" borderId="0" xfId="2" applyNumberFormat="1" applyFont="1" applyFill="1" applyBorder="1" applyAlignment="1">
      <alignment horizontal="right" wrapText="1"/>
    </xf>
    <xf numFmtId="165" fontId="20" fillId="7" borderId="0" xfId="0" applyNumberFormat="1" applyFont="1" applyFill="1" applyAlignment="1">
      <alignment horizontal="right" wrapText="1"/>
    </xf>
    <xf numFmtId="165" fontId="20" fillId="2" borderId="8" xfId="1" applyNumberFormat="1" applyFont="1" applyFill="1" applyBorder="1" applyAlignment="1">
      <alignment horizontal="right" wrapText="1"/>
    </xf>
    <xf numFmtId="0" fontId="17" fillId="2" borderId="0" xfId="0" applyFont="1" applyFill="1" applyAlignment="1">
      <alignment horizontal="right"/>
    </xf>
    <xf numFmtId="0" fontId="17" fillId="2" borderId="0" xfId="0" applyFont="1" applyFill="1" applyAlignment="1">
      <alignment horizontal="right" wrapText="1"/>
    </xf>
    <xf numFmtId="165" fontId="2" fillId="2" borderId="7" xfId="1" applyNumberFormat="1" applyFont="1" applyFill="1" applyBorder="1"/>
    <xf numFmtId="165" fontId="2" fillId="2" borderId="7" xfId="1" applyNumberFormat="1" applyFont="1" applyFill="1" applyBorder="1" applyAlignment="1">
      <alignment horizontal="right" wrapText="1"/>
    </xf>
    <xf numFmtId="165" fontId="0" fillId="2" borderId="0" xfId="1" applyNumberFormat="1" applyFont="1" applyFill="1"/>
    <xf numFmtId="9" fontId="1" fillId="2" borderId="0" xfId="2" applyFont="1" applyFill="1" applyBorder="1" applyAlignment="1">
      <alignment horizontal="right" wrapText="1"/>
    </xf>
    <xf numFmtId="14" fontId="26" fillId="0" borderId="0" xfId="0" applyNumberFormat="1" applyFont="1"/>
    <xf numFmtId="165" fontId="26" fillId="0" borderId="0" xfId="1" applyNumberFormat="1" applyFont="1"/>
    <xf numFmtId="9" fontId="26" fillId="0" borderId="0" xfId="2" applyFont="1"/>
    <xf numFmtId="0" fontId="26" fillId="0" borderId="0" xfId="0" applyFont="1"/>
    <xf numFmtId="165" fontId="27" fillId="0" borderId="10" xfId="1" applyNumberFormat="1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14" fontId="28" fillId="0" borderId="15" xfId="0" applyNumberFormat="1" applyFont="1" applyBorder="1" applyAlignment="1">
      <alignment horizontal="center" vertical="center"/>
    </xf>
    <xf numFmtId="165" fontId="26" fillId="0" borderId="15" xfId="1" applyNumberFormat="1" applyFont="1" applyBorder="1"/>
    <xf numFmtId="166" fontId="26" fillId="0" borderId="15" xfId="2" applyNumberFormat="1" applyFont="1" applyBorder="1"/>
    <xf numFmtId="14" fontId="26" fillId="0" borderId="15" xfId="0" applyNumberFormat="1" applyFont="1" applyBorder="1"/>
    <xf numFmtId="14" fontId="26" fillId="0" borderId="15" xfId="0" applyNumberFormat="1" applyFont="1" applyBorder="1" applyAlignment="1">
      <alignment horizontal="right"/>
    </xf>
    <xf numFmtId="165" fontId="27" fillId="0" borderId="15" xfId="1" applyNumberFormat="1" applyFont="1" applyBorder="1"/>
    <xf numFmtId="169" fontId="27" fillId="0" borderId="0" xfId="0" applyNumberFormat="1" applyFont="1"/>
    <xf numFmtId="165" fontId="27" fillId="0" borderId="0" xfId="1" applyNumberFormat="1" applyFont="1"/>
    <xf numFmtId="0" fontId="27" fillId="0" borderId="0" xfId="0" applyFont="1"/>
    <xf numFmtId="43" fontId="26" fillId="0" borderId="0" xfId="0" applyNumberFormat="1" applyFont="1"/>
    <xf numFmtId="0" fontId="27" fillId="0" borderId="15" xfId="0" applyFont="1" applyBorder="1" applyAlignment="1">
      <alignment vertical="center"/>
    </xf>
    <xf numFmtId="170" fontId="28" fillId="0" borderId="15" xfId="0" applyNumberFormat="1" applyFont="1" applyBorder="1" applyAlignment="1">
      <alignment horizontal="center"/>
    </xf>
    <xf numFmtId="0" fontId="26" fillId="0" borderId="15" xfId="0" applyFont="1" applyBorder="1"/>
    <xf numFmtId="169" fontId="26" fillId="0" borderId="15" xfId="0" applyNumberFormat="1" applyFont="1" applyBorder="1"/>
    <xf numFmtId="165" fontId="28" fillId="0" borderId="15" xfId="1" applyNumberFormat="1" applyFont="1" applyBorder="1"/>
    <xf numFmtId="170" fontId="26" fillId="0" borderId="15" xfId="0" applyNumberFormat="1" applyFont="1" applyBorder="1"/>
    <xf numFmtId="169" fontId="26" fillId="0" borderId="0" xfId="0" applyNumberFormat="1" applyFont="1"/>
    <xf numFmtId="165" fontId="26" fillId="0" borderId="0" xfId="0" applyNumberFormat="1" applyFont="1"/>
    <xf numFmtId="0" fontId="0" fillId="0" borderId="15" xfId="0" applyBorder="1"/>
    <xf numFmtId="9" fontId="0" fillId="0" borderId="13" xfId="0" applyNumberFormat="1" applyBorder="1"/>
    <xf numFmtId="165" fontId="0" fillId="0" borderId="15" xfId="1" applyNumberFormat="1" applyFont="1" applyBorder="1"/>
    <xf numFmtId="0" fontId="23" fillId="0" borderId="15" xfId="0" applyFont="1" applyBorder="1" applyAlignment="1">
      <alignment horizontal="center"/>
    </xf>
    <xf numFmtId="0" fontId="0" fillId="0" borderId="13" xfId="0" applyBorder="1"/>
    <xf numFmtId="9" fontId="0" fillId="0" borderId="15" xfId="0" applyNumberFormat="1" applyBorder="1"/>
    <xf numFmtId="43" fontId="0" fillId="0" borderId="15" xfId="1" applyFont="1" applyBorder="1"/>
    <xf numFmtId="14" fontId="0" fillId="0" borderId="15" xfId="0" applyNumberFormat="1" applyBorder="1"/>
    <xf numFmtId="43" fontId="0" fillId="0" borderId="15" xfId="0" applyNumberFormat="1" applyBorder="1"/>
    <xf numFmtId="166" fontId="0" fillId="0" borderId="15" xfId="0" applyNumberFormat="1" applyBorder="1"/>
    <xf numFmtId="170" fontId="0" fillId="0" borderId="15" xfId="0" applyNumberFormat="1" applyBorder="1"/>
    <xf numFmtId="14" fontId="0" fillId="0" borderId="0" xfId="0" applyNumberFormat="1"/>
    <xf numFmtId="165" fontId="0" fillId="0" borderId="15" xfId="0" applyNumberFormat="1" applyBorder="1"/>
    <xf numFmtId="170" fontId="0" fillId="0" borderId="0" xfId="0" applyNumberFormat="1"/>
    <xf numFmtId="0" fontId="22" fillId="0" borderId="15" xfId="0" applyFont="1" applyBorder="1"/>
    <xf numFmtId="170" fontId="22" fillId="0" borderId="15" xfId="0" applyNumberFormat="1" applyFont="1" applyBorder="1"/>
    <xf numFmtId="43" fontId="22" fillId="0" borderId="15" xfId="0" applyNumberFormat="1" applyFont="1" applyBorder="1"/>
    <xf numFmtId="165" fontId="22" fillId="0" borderId="15" xfId="1" applyNumberFormat="1" applyFont="1" applyBorder="1"/>
    <xf numFmtId="165" fontId="22" fillId="0" borderId="0" xfId="0" applyNumberFormat="1" applyFont="1"/>
    <xf numFmtId="0" fontId="22" fillId="0" borderId="0" xfId="0" applyFont="1"/>
    <xf numFmtId="171" fontId="0" fillId="0" borderId="0" xfId="0" applyNumberFormat="1"/>
    <xf numFmtId="43" fontId="0" fillId="0" borderId="0" xfId="0" applyNumberFormat="1"/>
    <xf numFmtId="165" fontId="0" fillId="0" borderId="0" xfId="0" applyNumberFormat="1"/>
    <xf numFmtId="169" fontId="0" fillId="0" borderId="0" xfId="0" applyNumberFormat="1"/>
    <xf numFmtId="169" fontId="22" fillId="0" borderId="0" xfId="0" applyNumberFormat="1" applyFont="1"/>
    <xf numFmtId="3" fontId="0" fillId="0" borderId="0" xfId="0" applyNumberFormat="1"/>
    <xf numFmtId="3" fontId="0" fillId="0" borderId="15" xfId="0" applyNumberFormat="1" applyBorder="1" applyAlignment="1">
      <alignment horizontal="center"/>
    </xf>
    <xf numFmtId="3" fontId="23" fillId="0" borderId="15" xfId="0" applyNumberFormat="1" applyFont="1" applyBorder="1" applyAlignment="1">
      <alignment horizontal="center"/>
    </xf>
    <xf numFmtId="10" fontId="0" fillId="0" borderId="0" xfId="0" applyNumberFormat="1"/>
    <xf numFmtId="3" fontId="0" fillId="0" borderId="15" xfId="0" applyNumberFormat="1" applyBorder="1"/>
    <xf numFmtId="3" fontId="22" fillId="0" borderId="15" xfId="0" applyNumberFormat="1" applyFont="1" applyBorder="1" applyAlignment="1">
      <alignment horizontal="center"/>
    </xf>
    <xf numFmtId="165" fontId="22" fillId="0" borderId="15" xfId="0" applyNumberFormat="1" applyFont="1" applyBorder="1"/>
    <xf numFmtId="43" fontId="22" fillId="0" borderId="0" xfId="0" applyNumberFormat="1" applyFont="1"/>
    <xf numFmtId="3" fontId="22" fillId="0" borderId="0" xfId="0" applyNumberFormat="1" applyFont="1"/>
    <xf numFmtId="170" fontId="0" fillId="0" borderId="15" xfId="0" quotePrefix="1" applyNumberFormat="1" applyBorder="1" applyAlignment="1">
      <alignment horizontal="right"/>
    </xf>
    <xf numFmtId="2" fontId="0" fillId="0" borderId="0" xfId="0" applyNumberFormat="1"/>
    <xf numFmtId="3" fontId="0" fillId="0" borderId="0" xfId="0" applyNumberFormat="1" applyAlignment="1">
      <alignment horizontal="center"/>
    </xf>
    <xf numFmtId="170" fontId="26" fillId="0" borderId="15" xfId="0" applyNumberFormat="1" applyFont="1" applyBorder="1" applyAlignment="1">
      <alignment horizontal="right"/>
    </xf>
    <xf numFmtId="14" fontId="28" fillId="7" borderId="15" xfId="0" applyNumberFormat="1" applyFont="1" applyFill="1" applyBorder="1" applyAlignment="1">
      <alignment horizontal="center" vertical="center"/>
    </xf>
    <xf numFmtId="165" fontId="26" fillId="7" borderId="15" xfId="1" applyNumberFormat="1" applyFont="1" applyFill="1" applyBorder="1"/>
    <xf numFmtId="166" fontId="26" fillId="7" borderId="15" xfId="2" applyNumberFormat="1" applyFont="1" applyFill="1" applyBorder="1"/>
    <xf numFmtId="14" fontId="26" fillId="7" borderId="15" xfId="0" applyNumberFormat="1" applyFont="1" applyFill="1" applyBorder="1" applyAlignment="1">
      <alignment horizontal="right"/>
    </xf>
    <xf numFmtId="170" fontId="26" fillId="7" borderId="15" xfId="0" applyNumberFormat="1" applyFont="1" applyFill="1" applyBorder="1"/>
    <xf numFmtId="170" fontId="28" fillId="7" borderId="15" xfId="0" applyNumberFormat="1" applyFont="1" applyFill="1" applyBorder="1" applyAlignment="1">
      <alignment horizontal="center"/>
    </xf>
    <xf numFmtId="165" fontId="28" fillId="7" borderId="15" xfId="1" applyNumberFormat="1" applyFont="1" applyFill="1" applyBorder="1"/>
    <xf numFmtId="0" fontId="26" fillId="7" borderId="15" xfId="0" applyFont="1" applyFill="1" applyBorder="1"/>
    <xf numFmtId="170" fontId="0" fillId="7" borderId="15" xfId="0" applyNumberFormat="1" applyFill="1" applyBorder="1"/>
    <xf numFmtId="43" fontId="0" fillId="7" borderId="15" xfId="0" applyNumberFormat="1" applyFill="1" applyBorder="1"/>
    <xf numFmtId="165" fontId="0" fillId="7" borderId="15" xfId="1" applyNumberFormat="1" applyFont="1" applyFill="1" applyBorder="1"/>
    <xf numFmtId="165" fontId="22" fillId="7" borderId="15" xfId="1" applyNumberFormat="1" applyFont="1" applyFill="1" applyBorder="1"/>
    <xf numFmtId="165" fontId="0" fillId="7" borderId="15" xfId="0" applyNumberFormat="1" applyFill="1" applyBorder="1"/>
    <xf numFmtId="3" fontId="0" fillId="7" borderId="15" xfId="0" applyNumberFormat="1" applyFill="1" applyBorder="1" applyAlignment="1">
      <alignment horizontal="center"/>
    </xf>
    <xf numFmtId="165" fontId="1" fillId="2" borderId="0" xfId="1" applyNumberFormat="1" applyFont="1" applyFill="1" applyBorder="1" applyAlignment="1">
      <alignment horizontal="right" wrapText="1"/>
    </xf>
    <xf numFmtId="165" fontId="1" fillId="2" borderId="0" xfId="1" applyNumberFormat="1" applyFont="1" applyFill="1" applyAlignment="1">
      <alignment horizontal="right"/>
    </xf>
    <xf numFmtId="0" fontId="23" fillId="2" borderId="0" xfId="0" applyFont="1" applyFill="1" applyAlignment="1">
      <alignment horizontal="right" wrapText="1"/>
    </xf>
    <xf numFmtId="165" fontId="1" fillId="7" borderId="0" xfId="0" applyNumberFormat="1" applyFont="1" applyFill="1" applyAlignment="1">
      <alignment horizontal="right" wrapText="1"/>
    </xf>
    <xf numFmtId="10" fontId="0" fillId="2" borderId="0" xfId="0" applyNumberFormat="1" applyFill="1"/>
    <xf numFmtId="41" fontId="1" fillId="2" borderId="0" xfId="0" applyNumberFormat="1" applyFont="1" applyFill="1"/>
    <xf numFmtId="9" fontId="1" fillId="2" borderId="0" xfId="2" applyFont="1" applyFill="1"/>
    <xf numFmtId="41" fontId="1" fillId="2" borderId="0" xfId="0" applyNumberFormat="1" applyFont="1" applyFill="1" applyAlignment="1">
      <alignment horizontal="right"/>
    </xf>
    <xf numFmtId="10" fontId="1" fillId="2" borderId="0" xfId="0" applyNumberFormat="1" applyFont="1" applyFill="1"/>
    <xf numFmtId="166" fontId="1" fillId="2" borderId="0" xfId="0" applyNumberFormat="1" applyFont="1" applyFill="1"/>
    <xf numFmtId="168" fontId="2" fillId="2" borderId="8" xfId="0" applyNumberFormat="1" applyFont="1" applyFill="1" applyBorder="1" applyAlignment="1">
      <alignment horizontal="right" wrapText="1"/>
    </xf>
    <xf numFmtId="168" fontId="20" fillId="2" borderId="0" xfId="0" applyNumberFormat="1" applyFont="1" applyFill="1" applyAlignment="1">
      <alignment horizontal="right" wrapText="1"/>
    </xf>
    <xf numFmtId="168" fontId="2" fillId="2" borderId="3" xfId="0" applyNumberFormat="1" applyFont="1" applyFill="1" applyBorder="1" applyAlignment="1">
      <alignment horizontal="right" wrapText="1"/>
    </xf>
    <xf numFmtId="41" fontId="1" fillId="2" borderId="0" xfId="0" applyNumberFormat="1" applyFont="1" applyFill="1" applyAlignment="1">
      <alignment horizontal="right" wrapText="1"/>
    </xf>
    <xf numFmtId="0" fontId="23" fillId="0" borderId="13" xfId="0" applyFont="1" applyBorder="1" applyAlignment="1">
      <alignment horizontal="center"/>
    </xf>
    <xf numFmtId="165" fontId="0" fillId="0" borderId="13" xfId="1" applyNumberFormat="1" applyFont="1" applyBorder="1"/>
    <xf numFmtId="165" fontId="0" fillId="0" borderId="0" xfId="1" applyNumberFormat="1" applyFont="1" applyBorder="1"/>
    <xf numFmtId="165" fontId="0" fillId="7" borderId="0" xfId="0" applyNumberFormat="1" applyFill="1"/>
    <xf numFmtId="9" fontId="23" fillId="0" borderId="13" xfId="2" applyFont="1" applyBorder="1" applyAlignment="1">
      <alignment horizontal="center"/>
    </xf>
    <xf numFmtId="9" fontId="23" fillId="0" borderId="13" xfId="0" applyNumberFormat="1" applyFont="1" applyBorder="1" applyAlignment="1">
      <alignment horizontal="center"/>
    </xf>
    <xf numFmtId="9" fontId="25" fillId="2" borderId="0" xfId="2" applyFont="1" applyFill="1"/>
    <xf numFmtId="0" fontId="14" fillId="4" borderId="0" xfId="0" applyFont="1" applyFill="1" applyAlignment="1">
      <alignment horizontal="right"/>
    </xf>
    <xf numFmtId="3" fontId="1" fillId="2" borderId="0" xfId="0" applyNumberFormat="1" applyFont="1" applyFill="1"/>
    <xf numFmtId="165" fontId="2" fillId="2" borderId="0" xfId="1" applyNumberFormat="1" applyFont="1" applyFill="1" applyAlignment="1">
      <alignment horizontal="right" wrapText="1"/>
    </xf>
    <xf numFmtId="165" fontId="20" fillId="2" borderId="6" xfId="0" applyNumberFormat="1" applyFont="1" applyFill="1" applyBorder="1" applyAlignment="1">
      <alignment horizontal="right" wrapText="1"/>
    </xf>
    <xf numFmtId="165" fontId="2" fillId="2" borderId="6" xfId="1" applyNumberFormat="1" applyFont="1" applyFill="1" applyBorder="1" applyAlignment="1">
      <alignment horizontal="right" wrapText="1"/>
    </xf>
    <xf numFmtId="0" fontId="1" fillId="2" borderId="0" xfId="0" applyFont="1" applyFill="1" applyAlignment="1">
      <alignment wrapText="1"/>
    </xf>
    <xf numFmtId="165" fontId="2" fillId="2" borderId="0" xfId="1" applyNumberFormat="1" applyFont="1" applyFill="1" applyBorder="1" applyAlignment="1">
      <alignment horizontal="right" wrapText="1"/>
    </xf>
    <xf numFmtId="0" fontId="31" fillId="2" borderId="9" xfId="0" applyFont="1" applyFill="1" applyBorder="1"/>
    <xf numFmtId="0" fontId="11" fillId="2" borderId="0" xfId="0" applyFont="1" applyFill="1" applyAlignment="1">
      <alignment vertical="center"/>
    </xf>
    <xf numFmtId="43" fontId="1" fillId="2" borderId="0" xfId="0" applyNumberFormat="1" applyFont="1" applyFill="1" applyAlignment="1">
      <alignment horizontal="right" wrapText="1"/>
    </xf>
    <xf numFmtId="165" fontId="2" fillId="2" borderId="9" xfId="1" applyNumberFormat="1" applyFont="1" applyFill="1" applyBorder="1" applyAlignment="1">
      <alignment horizontal="right" wrapText="1"/>
    </xf>
    <xf numFmtId="165" fontId="1" fillId="2" borderId="9" xfId="0" applyNumberFormat="1" applyFont="1" applyFill="1" applyBorder="1" applyAlignment="1">
      <alignment horizontal="right" wrapText="1"/>
    </xf>
    <xf numFmtId="165" fontId="1" fillId="2" borderId="3" xfId="0" applyNumberFormat="1" applyFont="1" applyFill="1" applyBorder="1" applyAlignment="1">
      <alignment horizontal="right" wrapText="1"/>
    </xf>
    <xf numFmtId="165" fontId="2" fillId="2" borderId="7" xfId="0" applyNumberFormat="1" applyFont="1" applyFill="1" applyBorder="1" applyAlignment="1">
      <alignment horizontal="right" wrapText="1"/>
    </xf>
    <xf numFmtId="0" fontId="32" fillId="2" borderId="0" xfId="0" applyFont="1" applyFill="1"/>
    <xf numFmtId="0" fontId="20" fillId="2" borderId="8" xfId="0" applyFont="1" applyFill="1" applyBorder="1"/>
    <xf numFmtId="0" fontId="18" fillId="2" borderId="3" xfId="0" applyFont="1" applyFill="1" applyBorder="1"/>
    <xf numFmtId="0" fontId="15" fillId="2" borderId="4" xfId="0" applyFont="1" applyFill="1" applyBorder="1"/>
    <xf numFmtId="0" fontId="1" fillId="2" borderId="4" xfId="0" applyFont="1" applyFill="1" applyBorder="1"/>
    <xf numFmtId="165" fontId="23" fillId="0" borderId="0" xfId="0" applyNumberFormat="1" applyFont="1"/>
    <xf numFmtId="165" fontId="2" fillId="2" borderId="4" xfId="0" applyNumberFormat="1" applyFont="1" applyFill="1" applyBorder="1" applyAlignment="1">
      <alignment horizontal="right" wrapText="1"/>
    </xf>
    <xf numFmtId="172" fontId="1" fillId="2" borderId="0" xfId="0" applyNumberFormat="1" applyFont="1" applyFill="1" applyAlignment="1">
      <alignment horizontal="right" wrapText="1"/>
    </xf>
    <xf numFmtId="38" fontId="1" fillId="2" borderId="0" xfId="0" applyNumberFormat="1" applyFont="1" applyFill="1" applyAlignment="1">
      <alignment horizontal="right" wrapText="1"/>
    </xf>
    <xf numFmtId="40" fontId="1" fillId="2" borderId="0" xfId="0" applyNumberFormat="1" applyFont="1" applyFill="1" applyAlignment="1">
      <alignment horizontal="right" wrapText="1"/>
    </xf>
    <xf numFmtId="38" fontId="1" fillId="2" borderId="0" xfId="0" applyNumberFormat="1" applyFont="1" applyFill="1"/>
    <xf numFmtId="165" fontId="2" fillId="2" borderId="17" xfId="0" applyNumberFormat="1" applyFont="1" applyFill="1" applyBorder="1"/>
    <xf numFmtId="165" fontId="0" fillId="0" borderId="0" xfId="1" applyNumberFormat="1" applyFont="1" applyAlignment="1">
      <alignment horizontal="center"/>
    </xf>
    <xf numFmtId="165" fontId="2" fillId="2" borderId="9" xfId="0" applyNumberFormat="1" applyFont="1" applyFill="1" applyBorder="1" applyAlignment="1">
      <alignment horizontal="right" wrapText="1"/>
    </xf>
    <xf numFmtId="0" fontId="33" fillId="2" borderId="9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7" fillId="8" borderId="0" xfId="0" applyFont="1" applyFill="1" applyAlignment="1">
      <alignment horizontal="right" wrapText="1"/>
    </xf>
    <xf numFmtId="0" fontId="1" fillId="8" borderId="0" xfId="0" applyFont="1" applyFill="1"/>
    <xf numFmtId="165" fontId="1" fillId="8" borderId="0" xfId="0" applyNumberFormat="1" applyFont="1" applyFill="1" applyAlignment="1">
      <alignment horizontal="right" wrapText="1"/>
    </xf>
    <xf numFmtId="165" fontId="2" fillId="8" borderId="9" xfId="1" applyNumberFormat="1" applyFont="1" applyFill="1" applyBorder="1" applyAlignment="1">
      <alignment horizontal="right" wrapText="1"/>
    </xf>
    <xf numFmtId="165" fontId="2" fillId="8" borderId="3" xfId="0" applyNumberFormat="1" applyFont="1" applyFill="1" applyBorder="1" applyAlignment="1">
      <alignment horizontal="right" wrapText="1"/>
    </xf>
    <xf numFmtId="165" fontId="1" fillId="8" borderId="0" xfId="0" applyNumberFormat="1" applyFont="1" applyFill="1"/>
    <xf numFmtId="165" fontId="1" fillId="8" borderId="0" xfId="1" applyNumberFormat="1" applyFont="1" applyFill="1" applyAlignment="1">
      <alignment horizontal="right" wrapText="1"/>
    </xf>
    <xf numFmtId="165" fontId="2" fillId="8" borderId="4" xfId="0" applyNumberFormat="1" applyFont="1" applyFill="1" applyBorder="1" applyAlignment="1">
      <alignment horizontal="right" wrapText="1"/>
    </xf>
    <xf numFmtId="165" fontId="2" fillId="8" borderId="0" xfId="0" applyNumberFormat="1" applyFont="1" applyFill="1"/>
    <xf numFmtId="0" fontId="1" fillId="8" borderId="19" xfId="0" applyFont="1" applyFill="1" applyBorder="1"/>
    <xf numFmtId="165" fontId="2" fillId="8" borderId="0" xfId="0" applyNumberFormat="1" applyFont="1" applyFill="1" applyAlignment="1">
      <alignment horizontal="right" wrapText="1"/>
    </xf>
    <xf numFmtId="165" fontId="2" fillId="8" borderId="17" xfId="0" applyNumberFormat="1" applyFont="1" applyFill="1" applyBorder="1"/>
    <xf numFmtId="0" fontId="34" fillId="2" borderId="7" xfId="0" applyFont="1" applyFill="1" applyBorder="1"/>
    <xf numFmtId="165" fontId="1" fillId="2" borderId="7" xfId="0" applyNumberFormat="1" applyFont="1" applyFill="1" applyBorder="1" applyAlignment="1">
      <alignment horizontal="right" wrapText="1"/>
    </xf>
    <xf numFmtId="0" fontId="18" fillId="2" borderId="20" xfId="0" applyFont="1" applyFill="1" applyBorder="1"/>
    <xf numFmtId="9" fontId="1" fillId="2" borderId="9" xfId="2" applyFont="1" applyFill="1" applyBorder="1"/>
    <xf numFmtId="0" fontId="1" fillId="8" borderId="18" xfId="0" applyFont="1" applyFill="1" applyBorder="1"/>
    <xf numFmtId="9" fontId="1" fillId="8" borderId="0" xfId="2" applyFont="1" applyFill="1"/>
    <xf numFmtId="9" fontId="1" fillId="8" borderId="9" xfId="2" applyFont="1" applyFill="1" applyBorder="1"/>
    <xf numFmtId="0" fontId="1" fillId="9" borderId="0" xfId="0" applyFont="1" applyFill="1"/>
    <xf numFmtId="0" fontId="15" fillId="9" borderId="0" xfId="0" applyFont="1" applyFill="1"/>
    <xf numFmtId="165" fontId="2" fillId="9" borderId="0" xfId="1" applyNumberFormat="1" applyFont="1" applyFill="1" applyAlignment="1">
      <alignment horizontal="right" wrapText="1"/>
    </xf>
    <xf numFmtId="165" fontId="2" fillId="9" borderId="0" xfId="0" applyNumberFormat="1" applyFont="1" applyFill="1"/>
    <xf numFmtId="165" fontId="2" fillId="9" borderId="4" xfId="0" applyNumberFormat="1" applyFont="1" applyFill="1" applyBorder="1" applyAlignment="1">
      <alignment horizontal="right" wrapText="1"/>
    </xf>
    <xf numFmtId="165" fontId="1" fillId="8" borderId="18" xfId="0" applyNumberFormat="1" applyFont="1" applyFill="1" applyBorder="1" applyAlignment="1">
      <alignment horizontal="right" wrapText="1"/>
    </xf>
    <xf numFmtId="9" fontId="1" fillId="10" borderId="0" xfId="2" applyFont="1" applyFill="1"/>
    <xf numFmtId="0" fontId="1" fillId="10" borderId="0" xfId="0" applyFont="1" applyFill="1"/>
    <xf numFmtId="165" fontId="2" fillId="11" borderId="0" xfId="0" applyNumberFormat="1" applyFont="1" applyFill="1" applyAlignment="1">
      <alignment horizontal="right" wrapText="1"/>
    </xf>
    <xf numFmtId="165" fontId="1" fillId="11" borderId="0" xfId="0" applyNumberFormat="1" applyFont="1" applyFill="1" applyAlignment="1">
      <alignment horizontal="right" wrapText="1"/>
    </xf>
    <xf numFmtId="165" fontId="1" fillId="4" borderId="0" xfId="1" applyNumberFormat="1" applyFont="1" applyFill="1" applyAlignment="1">
      <alignment horizontal="right" wrapText="1"/>
    </xf>
    <xf numFmtId="0" fontId="12" fillId="4" borderId="0" xfId="0" applyFont="1" applyFill="1" applyAlignment="1">
      <alignment horizontal="right"/>
    </xf>
    <xf numFmtId="1" fontId="11" fillId="4" borderId="0" xfId="0" applyNumberFormat="1" applyFont="1" applyFill="1" applyAlignment="1">
      <alignment horizontal="right"/>
    </xf>
    <xf numFmtId="165" fontId="1" fillId="2" borderId="0" xfId="4" applyNumberFormat="1" applyFont="1" applyFill="1" applyBorder="1" applyAlignment="1">
      <alignment horizontal="left" vertical="center"/>
    </xf>
    <xf numFmtId="165" fontId="2" fillId="2" borderId="0" xfId="4" applyNumberFormat="1" applyFont="1" applyFill="1" applyBorder="1" applyAlignment="1">
      <alignment horizontal="left" vertical="center"/>
    </xf>
    <xf numFmtId="165" fontId="1" fillId="2" borderId="0" xfId="4" applyNumberFormat="1" applyFont="1" applyFill="1" applyBorder="1" applyAlignment="1">
      <alignment horizontal="right" wrapText="1"/>
    </xf>
    <xf numFmtId="165" fontId="2" fillId="2" borderId="0" xfId="4" applyNumberFormat="1" applyFont="1" applyFill="1" applyBorder="1" applyAlignment="1">
      <alignment horizontal="right" wrapText="1"/>
    </xf>
    <xf numFmtId="0" fontId="1" fillId="2" borderId="0" xfId="0" applyFont="1" applyFill="1" applyAlignment="1">
      <alignment horizontal="left"/>
    </xf>
    <xf numFmtId="38" fontId="1" fillId="2" borderId="0" xfId="1" applyNumberFormat="1" applyFont="1" applyFill="1" applyAlignment="1">
      <alignment horizontal="right" wrapText="1"/>
    </xf>
    <xf numFmtId="38" fontId="25" fillId="2" borderId="0" xfId="1" applyNumberFormat="1" applyFont="1" applyFill="1" applyAlignment="1">
      <alignment horizontal="right" wrapText="1"/>
    </xf>
    <xf numFmtId="38" fontId="35" fillId="2" borderId="0" xfId="1" applyNumberFormat="1" applyFont="1" applyFill="1" applyAlignment="1">
      <alignment horizontal="right" wrapText="1"/>
    </xf>
    <xf numFmtId="165" fontId="35" fillId="2" borderId="0" xfId="1" applyNumberFormat="1" applyFont="1" applyFill="1" applyAlignment="1">
      <alignment horizontal="right" wrapText="1"/>
    </xf>
    <xf numFmtId="38" fontId="11" fillId="2" borderId="0" xfId="1" applyNumberFormat="1" applyFont="1" applyFill="1" applyAlignment="1">
      <alignment horizontal="right" wrapText="1"/>
    </xf>
    <xf numFmtId="9" fontId="17" fillId="2" borderId="0" xfId="0" applyNumberFormat="1" applyFont="1" applyFill="1"/>
    <xf numFmtId="165" fontId="1" fillId="8" borderId="0" xfId="0" applyNumberFormat="1" applyFont="1" applyFill="1" applyAlignment="1">
      <alignment wrapText="1"/>
    </xf>
    <xf numFmtId="165" fontId="36" fillId="2" borderId="0" xfId="4" applyNumberFormat="1" applyFont="1" applyFill="1" applyBorder="1" applyAlignment="1">
      <alignment horizontal="left" vertical="center"/>
    </xf>
    <xf numFmtId="0" fontId="37" fillId="2" borderId="0" xfId="0" applyFont="1" applyFill="1"/>
    <xf numFmtId="0" fontId="36" fillId="2" borderId="0" xfId="0" applyFont="1" applyFill="1"/>
    <xf numFmtId="165" fontId="37" fillId="2" borderId="0" xfId="4" applyNumberFormat="1" applyFont="1" applyFill="1" applyBorder="1" applyAlignment="1">
      <alignment horizontal="right" wrapText="1"/>
    </xf>
    <xf numFmtId="173" fontId="1" fillId="2" borderId="0" xfId="1" applyNumberFormat="1" applyFont="1" applyFill="1" applyAlignment="1">
      <alignment horizontal="right" wrapText="1"/>
    </xf>
    <xf numFmtId="165" fontId="0" fillId="2" borderId="0" xfId="0" applyNumberFormat="1" applyFill="1"/>
    <xf numFmtId="165" fontId="38" fillId="2" borderId="0" xfId="1" applyNumberFormat="1" applyFont="1" applyFill="1" applyAlignment="1">
      <alignment horizontal="right" wrapText="1"/>
    </xf>
    <xf numFmtId="38" fontId="38" fillId="2" borderId="0" xfId="1" applyNumberFormat="1" applyFont="1" applyFill="1" applyAlignment="1">
      <alignment horizontal="right" wrapText="1"/>
    </xf>
    <xf numFmtId="37" fontId="38" fillId="2" borderId="0" xfId="1" applyNumberFormat="1" applyFont="1" applyFill="1" applyAlignment="1">
      <alignment horizontal="right" wrapText="1"/>
    </xf>
    <xf numFmtId="38" fontId="11" fillId="4" borderId="0" xfId="0" applyNumberFormat="1" applyFont="1" applyFill="1" applyAlignment="1">
      <alignment horizontal="right" wrapText="1"/>
    </xf>
    <xf numFmtId="38" fontId="11" fillId="2" borderId="0" xfId="0" applyNumberFormat="1" applyFont="1" applyFill="1" applyAlignment="1">
      <alignment horizontal="right" wrapText="1"/>
    </xf>
    <xf numFmtId="9" fontId="1" fillId="2" borderId="0" xfId="1" applyNumberFormat="1" applyFont="1" applyFill="1" applyAlignment="1">
      <alignment horizontal="right" wrapText="1"/>
    </xf>
    <xf numFmtId="3" fontId="1" fillId="2" borderId="0" xfId="1" applyNumberFormat="1" applyFont="1" applyFill="1" applyAlignment="1">
      <alignment horizontal="right" wrapText="1"/>
    </xf>
    <xf numFmtId="165" fontId="11" fillId="0" borderId="0" xfId="0" applyNumberFormat="1" applyFont="1" applyAlignment="1">
      <alignment horizontal="right" wrapText="1"/>
    </xf>
    <xf numFmtId="1" fontId="1" fillId="2" borderId="0" xfId="0" applyNumberFormat="1" applyFont="1" applyFill="1"/>
    <xf numFmtId="3" fontId="1" fillId="2" borderId="0" xfId="0" applyNumberFormat="1" applyFont="1" applyFill="1" applyAlignment="1">
      <alignment horizontal="right"/>
    </xf>
    <xf numFmtId="1" fontId="1" fillId="2" borderId="0" xfId="0" applyNumberFormat="1" applyFont="1" applyFill="1" applyAlignment="1">
      <alignment horizontal="right" wrapText="1"/>
    </xf>
    <xf numFmtId="0" fontId="2" fillId="2" borderId="7" xfId="0" applyFont="1" applyFill="1" applyBorder="1"/>
    <xf numFmtId="0" fontId="16" fillId="2" borderId="7" xfId="0" applyFont="1" applyFill="1" applyBorder="1"/>
    <xf numFmtId="165" fontId="16" fillId="2" borderId="7" xfId="0" applyNumberFormat="1" applyFont="1" applyFill="1" applyBorder="1" applyAlignment="1">
      <alignment horizontal="right" wrapText="1"/>
    </xf>
    <xf numFmtId="43" fontId="1" fillId="2" borderId="0" xfId="1" applyFont="1" applyFill="1" applyAlignment="1">
      <alignment horizontal="right" wrapText="1"/>
    </xf>
    <xf numFmtId="0" fontId="1" fillId="12" borderId="0" xfId="0" applyFont="1" applyFill="1"/>
    <xf numFmtId="165" fontId="1" fillId="13" borderId="0" xfId="0" applyNumberFormat="1" applyFont="1" applyFill="1"/>
    <xf numFmtId="0" fontId="1" fillId="13" borderId="0" xfId="0" applyFont="1" applyFill="1"/>
    <xf numFmtId="166" fontId="1" fillId="2" borderId="0" xfId="2" applyNumberFormat="1" applyFont="1" applyFill="1"/>
    <xf numFmtId="38" fontId="20" fillId="2" borderId="7" xfId="0" applyNumberFormat="1" applyFont="1" applyFill="1" applyBorder="1" applyAlignment="1">
      <alignment horizontal="right" wrapText="1"/>
    </xf>
    <xf numFmtId="165" fontId="2" fillId="2" borderId="0" xfId="1" applyNumberFormat="1" applyFont="1" applyFill="1" applyBorder="1"/>
    <xf numFmtId="0" fontId="2" fillId="2" borderId="4" xfId="0" applyFont="1" applyFill="1" applyBorder="1"/>
    <xf numFmtId="165" fontId="2" fillId="2" borderId="4" xfId="1" applyNumberFormat="1" applyFont="1" applyFill="1" applyBorder="1" applyAlignment="1">
      <alignment horizontal="right" wrapText="1"/>
    </xf>
    <xf numFmtId="165" fontId="2" fillId="2" borderId="4" xfId="1" applyNumberFormat="1" applyFont="1" applyFill="1" applyBorder="1"/>
    <xf numFmtId="9" fontId="2" fillId="2" borderId="4" xfId="2" applyFont="1" applyFill="1" applyBorder="1" applyAlignment="1">
      <alignment horizontal="right" wrapText="1"/>
    </xf>
    <xf numFmtId="9" fontId="2" fillId="2" borderId="4" xfId="0" applyNumberFormat="1" applyFont="1" applyFill="1" applyBorder="1"/>
    <xf numFmtId="165" fontId="20" fillId="2" borderId="0" xfId="1" applyNumberFormat="1" applyFont="1" applyFill="1" applyBorder="1"/>
    <xf numFmtId="38" fontId="20" fillId="2" borderId="0" xfId="0" applyNumberFormat="1" applyFont="1" applyFill="1" applyAlignment="1">
      <alignment horizontal="right" wrapText="1"/>
    </xf>
    <xf numFmtId="3" fontId="1" fillId="2" borderId="0" xfId="0" applyNumberFormat="1" applyFont="1" applyFill="1" applyAlignment="1">
      <alignment horizontal="right" wrapText="1"/>
    </xf>
    <xf numFmtId="165" fontId="20" fillId="2" borderId="7" xfId="1" applyNumberFormat="1" applyFont="1" applyFill="1" applyBorder="1" applyAlignment="1">
      <alignment horizontal="right" wrapText="1"/>
    </xf>
    <xf numFmtId="0" fontId="11" fillId="2" borderId="0" xfId="0" applyFont="1" applyFill="1"/>
    <xf numFmtId="165" fontId="2" fillId="2" borderId="8" xfId="1" applyNumberFormat="1" applyFont="1" applyFill="1" applyBorder="1" applyAlignment="1">
      <alignment horizontal="right" wrapText="1"/>
    </xf>
    <xf numFmtId="0" fontId="1" fillId="2" borderId="0" xfId="1" applyNumberFormat="1" applyFont="1" applyFill="1" applyBorder="1" applyAlignment="1">
      <alignment horizontal="right" wrapText="1"/>
    </xf>
    <xf numFmtId="165" fontId="1" fillId="12" borderId="0" xfId="1" applyNumberFormat="1" applyFont="1" applyFill="1" applyAlignment="1">
      <alignment horizontal="right" wrapText="1"/>
    </xf>
    <xf numFmtId="165" fontId="2" fillId="12" borderId="7" xfId="1" applyNumberFormat="1" applyFont="1" applyFill="1" applyBorder="1" applyAlignment="1">
      <alignment horizontal="right" wrapText="1"/>
    </xf>
    <xf numFmtId="165" fontId="2" fillId="12" borderId="0" xfId="1" applyNumberFormat="1" applyFont="1" applyFill="1" applyBorder="1" applyAlignment="1">
      <alignment horizontal="right" wrapText="1"/>
    </xf>
    <xf numFmtId="165" fontId="2" fillId="12" borderId="3" xfId="0" applyNumberFormat="1" applyFont="1" applyFill="1" applyBorder="1" applyAlignment="1">
      <alignment horizontal="right" wrapText="1"/>
    </xf>
    <xf numFmtId="165" fontId="36" fillId="8" borderId="0" xfId="0" applyNumberFormat="1" applyFont="1" applyFill="1" applyAlignment="1">
      <alignment horizontal="right" wrapText="1"/>
    </xf>
    <xf numFmtId="165" fontId="36" fillId="8" borderId="18" xfId="0" applyNumberFormat="1" applyFont="1" applyFill="1" applyBorder="1" applyAlignment="1">
      <alignment horizontal="right" wrapText="1"/>
    </xf>
    <xf numFmtId="165" fontId="0" fillId="0" borderId="0" xfId="1" applyNumberFormat="1" applyFont="1"/>
    <xf numFmtId="165" fontId="2" fillId="2" borderId="0" xfId="0" applyNumberFormat="1" applyFont="1" applyFill="1"/>
    <xf numFmtId="0" fontId="1" fillId="4" borderId="0" xfId="0" applyFont="1" applyFill="1" applyAlignment="1">
      <alignment horizontal="left"/>
    </xf>
    <xf numFmtId="0" fontId="15" fillId="2" borderId="6" xfId="0" applyFont="1" applyFill="1" applyBorder="1"/>
    <xf numFmtId="0" fontId="2" fillId="2" borderId="6" xfId="0" applyFont="1" applyFill="1" applyBorder="1"/>
    <xf numFmtId="0" fontId="1" fillId="4" borderId="21" xfId="0" applyFont="1" applyFill="1" applyBorder="1" applyAlignment="1">
      <alignment horizontal="left"/>
    </xf>
    <xf numFmtId="165" fontId="3" fillId="2" borderId="22" xfId="1" applyNumberFormat="1" applyFont="1" applyFill="1" applyBorder="1" applyAlignment="1">
      <alignment horizontal="right" wrapText="1"/>
    </xf>
    <xf numFmtId="165" fontId="1" fillId="2" borderId="22" xfId="1" applyNumberFormat="1" applyFont="1" applyFill="1" applyBorder="1" applyAlignment="1">
      <alignment horizontal="right" wrapText="1"/>
    </xf>
    <xf numFmtId="165" fontId="1" fillId="2" borderId="23" xfId="0" applyNumberFormat="1" applyFont="1" applyFill="1" applyBorder="1" applyAlignment="1">
      <alignment horizontal="right" wrapText="1"/>
    </xf>
    <xf numFmtId="0" fontId="1" fillId="4" borderId="24" xfId="0" applyFont="1" applyFill="1" applyBorder="1" applyAlignment="1">
      <alignment horizontal="left"/>
    </xf>
    <xf numFmtId="165" fontId="1" fillId="2" borderId="25" xfId="0" applyNumberFormat="1" applyFont="1" applyFill="1" applyBorder="1" applyAlignment="1">
      <alignment horizontal="right" wrapText="1"/>
    </xf>
    <xf numFmtId="0" fontId="1" fillId="4" borderId="26" xfId="0" applyFont="1" applyFill="1" applyBorder="1" applyAlignment="1">
      <alignment horizontal="left"/>
    </xf>
    <xf numFmtId="165" fontId="1" fillId="2" borderId="27" xfId="1" applyNumberFormat="1" applyFont="1" applyFill="1" applyBorder="1" applyAlignment="1">
      <alignment horizontal="right" wrapText="1"/>
    </xf>
    <xf numFmtId="165" fontId="1" fillId="2" borderId="28" xfId="0" applyNumberFormat="1" applyFont="1" applyFill="1" applyBorder="1" applyAlignment="1">
      <alignment horizontal="right" wrapText="1"/>
    </xf>
    <xf numFmtId="165" fontId="3" fillId="2" borderId="0" xfId="1" applyNumberFormat="1" applyFont="1" applyFill="1" applyAlignment="1">
      <alignment horizontal="right" wrapText="1"/>
    </xf>
    <xf numFmtId="165" fontId="3" fillId="2" borderId="0" xfId="1" applyNumberFormat="1" applyFont="1" applyFill="1" applyBorder="1" applyAlignment="1">
      <alignment horizontal="right" wrapText="1"/>
    </xf>
    <xf numFmtId="165" fontId="3" fillId="2" borderId="27" xfId="1" applyNumberFormat="1" applyFont="1" applyFill="1" applyBorder="1" applyAlignment="1">
      <alignment horizontal="right" wrapText="1"/>
    </xf>
    <xf numFmtId="165" fontId="1" fillId="2" borderId="22" xfId="0" applyNumberFormat="1" applyFont="1" applyFill="1" applyBorder="1" applyAlignment="1">
      <alignment horizontal="right" wrapText="1"/>
    </xf>
    <xf numFmtId="165" fontId="1" fillId="2" borderId="27" xfId="0" applyNumberFormat="1" applyFont="1" applyFill="1" applyBorder="1" applyAlignment="1">
      <alignment horizontal="right" wrapText="1"/>
    </xf>
    <xf numFmtId="165" fontId="3" fillId="2" borderId="22" xfId="0" applyNumberFormat="1" applyFont="1" applyFill="1" applyBorder="1" applyAlignment="1">
      <alignment horizontal="right" wrapText="1"/>
    </xf>
    <xf numFmtId="165" fontId="3" fillId="2" borderId="0" xfId="0" applyNumberFormat="1" applyFont="1" applyFill="1" applyAlignment="1">
      <alignment horizontal="right" wrapText="1"/>
    </xf>
    <xf numFmtId="165" fontId="3" fillId="2" borderId="27" xfId="0" applyNumberFormat="1" applyFont="1" applyFill="1" applyBorder="1" applyAlignment="1">
      <alignment horizontal="right" wrapText="1"/>
    </xf>
    <xf numFmtId="165" fontId="3" fillId="2" borderId="23" xfId="0" applyNumberFormat="1" applyFont="1" applyFill="1" applyBorder="1" applyAlignment="1">
      <alignment horizontal="right" wrapText="1"/>
    </xf>
    <xf numFmtId="165" fontId="3" fillId="2" borderId="25" xfId="0" applyNumberFormat="1" applyFont="1" applyFill="1" applyBorder="1" applyAlignment="1">
      <alignment horizontal="right" wrapText="1"/>
    </xf>
    <xf numFmtId="165" fontId="3" fillId="2" borderId="28" xfId="0" applyNumberFormat="1" applyFont="1" applyFill="1" applyBorder="1" applyAlignment="1">
      <alignment horizontal="right" wrapText="1"/>
    </xf>
    <xf numFmtId="0" fontId="1" fillId="2" borderId="26" xfId="0" applyFont="1" applyFill="1" applyBorder="1"/>
    <xf numFmtId="0" fontId="2" fillId="2" borderId="29" xfId="0" applyFont="1" applyFill="1" applyBorder="1"/>
    <xf numFmtId="0" fontId="20" fillId="2" borderId="29" xfId="0" applyFont="1" applyFill="1" applyBorder="1"/>
    <xf numFmtId="0" fontId="1" fillId="2" borderId="24" xfId="0" applyFont="1" applyFill="1" applyBorder="1"/>
    <xf numFmtId="0" fontId="1" fillId="2" borderId="29" xfId="0" applyFont="1" applyFill="1" applyBorder="1"/>
    <xf numFmtId="165" fontId="20" fillId="2" borderId="29" xfId="0" applyNumberFormat="1" applyFont="1" applyFill="1" applyBorder="1" applyAlignment="1">
      <alignment horizontal="right" wrapText="1"/>
    </xf>
    <xf numFmtId="0" fontId="1" fillId="2" borderId="22" xfId="0" applyFont="1" applyFill="1" applyBorder="1"/>
    <xf numFmtId="0" fontId="1" fillId="2" borderId="27" xfId="0" applyFont="1" applyFill="1" applyBorder="1"/>
    <xf numFmtId="0" fontId="1" fillId="4" borderId="30" xfId="0" applyFont="1" applyFill="1" applyBorder="1" applyAlignment="1">
      <alignment horizontal="left"/>
    </xf>
    <xf numFmtId="0" fontId="1" fillId="2" borderId="31" xfId="0" applyFont="1" applyFill="1" applyBorder="1"/>
    <xf numFmtId="0" fontId="1" fillId="4" borderId="33" xfId="0" applyFont="1" applyFill="1" applyBorder="1" applyAlignment="1">
      <alignment horizontal="left"/>
    </xf>
    <xf numFmtId="0" fontId="1" fillId="4" borderId="35" xfId="0" applyFont="1" applyFill="1" applyBorder="1" applyAlignment="1">
      <alignment horizontal="left"/>
    </xf>
    <xf numFmtId="165" fontId="3" fillId="2" borderId="31" xfId="0" applyNumberFormat="1" applyFont="1" applyFill="1" applyBorder="1" applyAlignment="1">
      <alignment horizontal="right" wrapText="1"/>
    </xf>
    <xf numFmtId="165" fontId="3" fillId="2" borderId="18" xfId="0" applyNumberFormat="1" applyFont="1" applyFill="1" applyBorder="1" applyAlignment="1">
      <alignment horizontal="right" wrapText="1"/>
    </xf>
    <xf numFmtId="165" fontId="3" fillId="2" borderId="31" xfId="1" applyNumberFormat="1" applyFont="1" applyFill="1" applyBorder="1" applyAlignment="1">
      <alignment horizontal="right" wrapText="1"/>
    </xf>
    <xf numFmtId="165" fontId="3" fillId="2" borderId="32" xfId="0" applyNumberFormat="1" applyFont="1" applyFill="1" applyBorder="1" applyAlignment="1">
      <alignment horizontal="right" wrapText="1"/>
    </xf>
    <xf numFmtId="165" fontId="3" fillId="2" borderId="34" xfId="0" applyNumberFormat="1" applyFont="1" applyFill="1" applyBorder="1" applyAlignment="1">
      <alignment horizontal="right" wrapText="1"/>
    </xf>
    <xf numFmtId="165" fontId="3" fillId="2" borderId="18" xfId="1" applyNumberFormat="1" applyFont="1" applyFill="1" applyBorder="1" applyAlignment="1">
      <alignment horizontal="right" wrapText="1"/>
    </xf>
    <xf numFmtId="165" fontId="3" fillId="2" borderId="36" xfId="0" applyNumberFormat="1" applyFont="1" applyFill="1" applyBorder="1" applyAlignment="1">
      <alignment horizontal="right" wrapText="1"/>
    </xf>
    <xf numFmtId="0" fontId="1" fillId="2" borderId="0" xfId="0" applyFont="1" applyFill="1" applyAlignment="1">
      <alignment horizontal="centerContinuous"/>
    </xf>
    <xf numFmtId="0" fontId="17" fillId="2" borderId="0" xfId="0" quotePrefix="1" applyFont="1" applyFill="1" applyAlignment="1">
      <alignment horizontal="centerContinuous"/>
    </xf>
    <xf numFmtId="9" fontId="39" fillId="2" borderId="0" xfId="2" applyFont="1" applyFill="1" applyAlignment="1">
      <alignment horizontal="right" wrapText="1"/>
    </xf>
    <xf numFmtId="9" fontId="32" fillId="2" borderId="8" xfId="0" applyNumberFormat="1" applyFont="1" applyFill="1" applyBorder="1" applyAlignment="1">
      <alignment horizontal="right" wrapText="1"/>
    </xf>
    <xf numFmtId="9" fontId="40" fillId="2" borderId="0" xfId="0" applyNumberFormat="1" applyFont="1" applyFill="1" applyAlignment="1">
      <alignment horizontal="right" wrapText="1"/>
    </xf>
    <xf numFmtId="9" fontId="32" fillId="2" borderId="0" xfId="0" applyNumberFormat="1" applyFont="1" applyFill="1" applyAlignment="1">
      <alignment horizontal="right" wrapText="1"/>
    </xf>
    <xf numFmtId="9" fontId="39" fillId="2" borderId="0" xfId="0" applyNumberFormat="1" applyFont="1" applyFill="1" applyAlignment="1">
      <alignment horizontal="right" wrapText="1"/>
    </xf>
    <xf numFmtId="9" fontId="39" fillId="2" borderId="0" xfId="0" applyNumberFormat="1" applyFont="1" applyFill="1"/>
    <xf numFmtId="9" fontId="39" fillId="2" borderId="9" xfId="1" applyNumberFormat="1" applyFont="1" applyFill="1" applyBorder="1" applyAlignment="1">
      <alignment horizontal="right" wrapText="1"/>
    </xf>
    <xf numFmtId="9" fontId="39" fillId="2" borderId="0" xfId="1" applyNumberFormat="1" applyFont="1" applyFill="1" applyAlignment="1">
      <alignment horizontal="right" wrapText="1"/>
    </xf>
    <xf numFmtId="9" fontId="32" fillId="2" borderId="3" xfId="0" applyNumberFormat="1" applyFont="1" applyFill="1" applyBorder="1" applyAlignment="1">
      <alignment horizontal="right" wrapText="1"/>
    </xf>
    <xf numFmtId="9" fontId="39" fillId="2" borderId="6" xfId="0" applyNumberFormat="1" applyFont="1" applyFill="1" applyBorder="1" applyAlignment="1">
      <alignment horizontal="right" wrapText="1"/>
    </xf>
    <xf numFmtId="0" fontId="1" fillId="4" borderId="37" xfId="0" applyFont="1" applyFill="1" applyBorder="1" applyAlignment="1">
      <alignment horizontal="left"/>
    </xf>
    <xf numFmtId="165" fontId="3" fillId="2" borderId="38" xfId="0" applyNumberFormat="1" applyFont="1" applyFill="1" applyBorder="1" applyAlignment="1">
      <alignment horizontal="right" wrapText="1"/>
    </xf>
    <xf numFmtId="0" fontId="2" fillId="2" borderId="39" xfId="0" applyFont="1" applyFill="1" applyBorder="1"/>
    <xf numFmtId="0" fontId="1" fillId="2" borderId="39" xfId="0" applyFont="1" applyFill="1" applyBorder="1"/>
    <xf numFmtId="0" fontId="18" fillId="2" borderId="39" xfId="0" applyFont="1" applyFill="1" applyBorder="1"/>
    <xf numFmtId="0" fontId="18" fillId="2" borderId="8" xfId="0" applyFont="1" applyFill="1" applyBorder="1"/>
    <xf numFmtId="165" fontId="2" fillId="2" borderId="39" xfId="0" applyNumberFormat="1" applyFont="1" applyFill="1" applyBorder="1" applyAlignment="1">
      <alignment horizontal="right" wrapText="1"/>
    </xf>
    <xf numFmtId="165" fontId="2" fillId="2" borderId="6" xfId="0" applyNumberFormat="1" applyFont="1" applyFill="1" applyBorder="1" applyAlignment="1">
      <alignment horizontal="right" wrapText="1"/>
    </xf>
    <xf numFmtId="165" fontId="25" fillId="2" borderId="0" xfId="1" applyNumberFormat="1" applyFont="1" applyFill="1" applyBorder="1" applyAlignment="1">
      <alignment horizontal="right" wrapText="1"/>
    </xf>
    <xf numFmtId="165" fontId="25" fillId="2" borderId="25" xfId="0" applyNumberFormat="1" applyFont="1" applyFill="1" applyBorder="1" applyAlignment="1">
      <alignment horizontal="right" wrapText="1"/>
    </xf>
    <xf numFmtId="0" fontId="25" fillId="2" borderId="27" xfId="0" applyFont="1" applyFill="1" applyBorder="1"/>
    <xf numFmtId="165" fontId="25" fillId="2" borderId="27" xfId="1" applyNumberFormat="1" applyFont="1" applyFill="1" applyBorder="1" applyAlignment="1">
      <alignment horizontal="right" wrapText="1"/>
    </xf>
    <xf numFmtId="165" fontId="25" fillId="2" borderId="28" xfId="0" applyNumberFormat="1" applyFont="1" applyFill="1" applyBorder="1" applyAlignment="1">
      <alignment horizontal="right" wrapText="1"/>
    </xf>
    <xf numFmtId="165" fontId="41" fillId="2" borderId="22" xfId="0" applyNumberFormat="1" applyFont="1" applyFill="1" applyBorder="1" applyAlignment="1">
      <alignment horizontal="right" wrapText="1"/>
    </xf>
    <xf numFmtId="165" fontId="11" fillId="2" borderId="0" xfId="0" applyNumberFormat="1" applyFont="1" applyFill="1" applyAlignment="1">
      <alignment horizontal="right" wrapText="1"/>
    </xf>
    <xf numFmtId="165" fontId="41" fillId="2" borderId="0" xfId="1" applyNumberFormat="1" applyFont="1" applyFill="1" applyBorder="1" applyAlignment="1">
      <alignment horizontal="right" wrapText="1"/>
    </xf>
    <xf numFmtId="165" fontId="41" fillId="2" borderId="27" xfId="1" applyNumberFormat="1" applyFont="1" applyFill="1" applyBorder="1" applyAlignment="1">
      <alignment horizontal="right" wrapText="1"/>
    </xf>
    <xf numFmtId="0" fontId="3" fillId="4" borderId="21" xfId="0" applyFont="1" applyFill="1" applyBorder="1" applyAlignment="1">
      <alignment horizontal="left"/>
    </xf>
    <xf numFmtId="0" fontId="25" fillId="2" borderId="22" xfId="0" applyFont="1" applyFill="1" applyBorder="1"/>
    <xf numFmtId="165" fontId="41" fillId="2" borderId="22" xfId="1" applyNumberFormat="1" applyFont="1" applyFill="1" applyBorder="1" applyAlignment="1">
      <alignment horizontal="right" wrapText="1"/>
    </xf>
    <xf numFmtId="0" fontId="3" fillId="4" borderId="24" xfId="0" applyFont="1" applyFill="1" applyBorder="1" applyAlignment="1">
      <alignment horizontal="left"/>
    </xf>
    <xf numFmtId="0" fontId="3" fillId="4" borderId="26" xfId="0" applyFont="1" applyFill="1" applyBorder="1" applyAlignment="1">
      <alignment horizontal="left"/>
    </xf>
    <xf numFmtId="165" fontId="20" fillId="2" borderId="25" xfId="0" applyNumberFormat="1" applyFont="1" applyFill="1" applyBorder="1" applyAlignment="1">
      <alignment horizontal="right" wrapText="1"/>
    </xf>
    <xf numFmtId="0" fontId="1" fillId="4" borderId="40" xfId="0" applyFont="1" applyFill="1" applyBorder="1" applyAlignment="1">
      <alignment horizontal="left"/>
    </xf>
    <xf numFmtId="0" fontId="1" fillId="2" borderId="41" xfId="0" applyFont="1" applyFill="1" applyBorder="1"/>
    <xf numFmtId="165" fontId="20" fillId="2" borderId="41" xfId="0" applyNumberFormat="1" applyFont="1" applyFill="1" applyBorder="1" applyAlignment="1">
      <alignment horizontal="right" wrapText="1"/>
    </xf>
    <xf numFmtId="165" fontId="20" fillId="2" borderId="42" xfId="0" applyNumberFormat="1" applyFont="1" applyFill="1" applyBorder="1" applyAlignment="1">
      <alignment horizontal="right" wrapText="1"/>
    </xf>
    <xf numFmtId="165" fontId="3" fillId="2" borderId="41" xfId="0" applyNumberFormat="1" applyFont="1" applyFill="1" applyBorder="1" applyAlignment="1">
      <alignment horizontal="right" wrapText="1"/>
    </xf>
    <xf numFmtId="166" fontId="39" fillId="2" borderId="0" xfId="1" applyNumberFormat="1" applyFont="1" applyFill="1" applyAlignment="1">
      <alignment horizontal="right" wrapText="1"/>
    </xf>
    <xf numFmtId="0" fontId="17" fillId="2" borderId="0" xfId="0" applyFont="1" applyFill="1" applyAlignment="1">
      <alignment horizontal="center"/>
    </xf>
    <xf numFmtId="9" fontId="1" fillId="2" borderId="9" xfId="2" applyFont="1" applyFill="1" applyBorder="1" applyAlignment="1">
      <alignment horizontal="right" wrapText="1"/>
    </xf>
    <xf numFmtId="9" fontId="2" fillId="2" borderId="0" xfId="2" applyFont="1" applyFill="1" applyAlignment="1">
      <alignment horizontal="right" wrapText="1"/>
    </xf>
    <xf numFmtId="9" fontId="20" fillId="2" borderId="0" xfId="2" applyFont="1" applyFill="1" applyAlignment="1">
      <alignment horizontal="right" wrapText="1"/>
    </xf>
    <xf numFmtId="1" fontId="1" fillId="2" borderId="6" xfId="1" applyNumberFormat="1" applyFont="1" applyFill="1" applyBorder="1" applyAlignment="1">
      <alignment horizontal="right" wrapText="1"/>
    </xf>
    <xf numFmtId="165" fontId="20" fillId="2" borderId="0" xfId="1" applyNumberFormat="1" applyFont="1" applyFill="1" applyBorder="1" applyAlignment="1">
      <alignment horizontal="right" wrapText="1"/>
    </xf>
    <xf numFmtId="165" fontId="20" fillId="2" borderId="0" xfId="1" applyNumberFormat="1" applyFont="1" applyFill="1" applyAlignment="1">
      <alignment horizontal="right" wrapText="1"/>
    </xf>
    <xf numFmtId="165" fontId="2" fillId="2" borderId="3" xfId="1" applyNumberFormat="1" applyFont="1" applyFill="1" applyBorder="1" applyAlignment="1">
      <alignment horizontal="right" wrapText="1"/>
    </xf>
    <xf numFmtId="165" fontId="2" fillId="2" borderId="0" xfId="1" applyNumberFormat="1" applyFont="1" applyFill="1"/>
    <xf numFmtId="165" fontId="1" fillId="14" borderId="0" xfId="1" applyNumberFormat="1" applyFont="1" applyFill="1" applyAlignment="1">
      <alignment horizontal="right" wrapText="1"/>
    </xf>
    <xf numFmtId="0" fontId="23" fillId="0" borderId="0" xfId="0" applyFont="1"/>
    <xf numFmtId="165" fontId="0" fillId="0" borderId="0" xfId="1" applyNumberFormat="1" applyFont="1" applyAlignment="1">
      <alignment horizontal="right" wrapText="1"/>
    </xf>
    <xf numFmtId="0" fontId="42" fillId="2" borderId="0" xfId="0" applyFont="1" applyFill="1"/>
    <xf numFmtId="3" fontId="0" fillId="0" borderId="0" xfId="0" applyNumberFormat="1" applyAlignment="1">
      <alignment horizontal="left"/>
    </xf>
    <xf numFmtId="0" fontId="44" fillId="2" borderId="0" xfId="0" applyFont="1" applyFill="1"/>
    <xf numFmtId="0" fontId="45" fillId="2" borderId="0" xfId="5" quotePrefix="1" applyFont="1" applyFill="1"/>
    <xf numFmtId="0" fontId="45" fillId="2" borderId="0" xfId="5" applyFont="1" applyFill="1"/>
    <xf numFmtId="0" fontId="42" fillId="2" borderId="0" xfId="0" applyFont="1" applyFill="1" applyAlignment="1">
      <alignment horizontal="center" wrapText="1"/>
    </xf>
    <xf numFmtId="0" fontId="42" fillId="2" borderId="0" xfId="0" applyFont="1" applyFill="1" applyAlignment="1">
      <alignment horizontal="center"/>
    </xf>
    <xf numFmtId="0" fontId="46" fillId="15" borderId="0" xfId="0" applyFont="1" applyFill="1" applyAlignment="1">
      <alignment horizontal="center" wrapText="1"/>
    </xf>
    <xf numFmtId="0" fontId="46" fillId="15" borderId="0" xfId="0" applyFont="1" applyFill="1"/>
    <xf numFmtId="0" fontId="31" fillId="2" borderId="0" xfId="0" applyFont="1" applyFill="1"/>
    <xf numFmtId="0" fontId="31" fillId="2" borderId="43" xfId="0" applyFont="1" applyFill="1" applyBorder="1" applyAlignment="1">
      <alignment horizontal="left" indent="2"/>
    </xf>
    <xf numFmtId="0" fontId="33" fillId="2" borderId="44" xfId="0" applyFont="1" applyFill="1" applyBorder="1" applyAlignment="1">
      <alignment horizontal="left" vertical="center"/>
    </xf>
    <xf numFmtId="0" fontId="33" fillId="2" borderId="44" xfId="0" applyFont="1" applyFill="1" applyBorder="1"/>
    <xf numFmtId="0" fontId="33" fillId="2" borderId="45" xfId="0" applyFont="1" applyFill="1" applyBorder="1"/>
    <xf numFmtId="0" fontId="31" fillId="2" borderId="46" xfId="0" applyFont="1" applyFill="1" applyBorder="1" applyAlignment="1">
      <alignment horizontal="left" indent="2"/>
    </xf>
    <xf numFmtId="0" fontId="33" fillId="2" borderId="47" xfId="0" applyFont="1" applyFill="1" applyBorder="1" applyAlignment="1">
      <alignment horizontal="left" vertical="center"/>
    </xf>
    <xf numFmtId="0" fontId="33" fillId="2" borderId="47" xfId="0" applyFont="1" applyFill="1" applyBorder="1"/>
    <xf numFmtId="0" fontId="33" fillId="2" borderId="48" xfId="0" applyFont="1" applyFill="1" applyBorder="1"/>
    <xf numFmtId="0" fontId="20" fillId="2" borderId="49" xfId="0" applyFont="1" applyFill="1" applyBorder="1" applyAlignment="1">
      <alignment horizontal="left" vertical="center"/>
    </xf>
    <xf numFmtId="0" fontId="1" fillId="2" borderId="49" xfId="0" applyFont="1" applyFill="1" applyBorder="1"/>
    <xf numFmtId="165" fontId="15" fillId="2" borderId="5" xfId="1" applyNumberFormat="1" applyFont="1" applyFill="1" applyBorder="1" applyAlignment="1">
      <alignment horizontal="right" wrapText="1"/>
    </xf>
    <xf numFmtId="165" fontId="20" fillId="2" borderId="49" xfId="1" applyNumberFormat="1" applyFont="1" applyFill="1" applyBorder="1" applyAlignment="1">
      <alignment horizontal="right" wrapText="1"/>
    </xf>
    <xf numFmtId="0" fontId="20" fillId="2" borderId="50" xfId="0" applyFont="1" applyFill="1" applyBorder="1" applyAlignment="1">
      <alignment horizontal="left" vertical="center"/>
    </xf>
    <xf numFmtId="0" fontId="1" fillId="2" borderId="50" xfId="0" applyFont="1" applyFill="1" applyBorder="1"/>
    <xf numFmtId="0" fontId="1" fillId="2" borderId="50" xfId="0" applyFont="1" applyFill="1" applyBorder="1" applyAlignment="1">
      <alignment horizontal="left" vertical="center"/>
    </xf>
    <xf numFmtId="165" fontId="1" fillId="2" borderId="50" xfId="1" applyNumberFormat="1" applyFont="1" applyFill="1" applyBorder="1" applyAlignment="1">
      <alignment horizontal="right" wrapText="1"/>
    </xf>
    <xf numFmtId="0" fontId="1" fillId="2" borderId="52" xfId="0" applyFont="1" applyFill="1" applyBorder="1" applyAlignment="1">
      <alignment horizontal="left" vertical="center"/>
    </xf>
    <xf numFmtId="0" fontId="1" fillId="2" borderId="52" xfId="0" applyFont="1" applyFill="1" applyBorder="1"/>
    <xf numFmtId="0" fontId="1" fillId="2" borderId="53" xfId="0" applyFont="1" applyFill="1" applyBorder="1"/>
    <xf numFmtId="0" fontId="3" fillId="2" borderId="51" xfId="0" quotePrefix="1" applyFont="1" applyFill="1" applyBorder="1"/>
    <xf numFmtId="0" fontId="3" fillId="2" borderId="54" xfId="0" quotePrefix="1" applyFont="1" applyFill="1" applyBorder="1"/>
    <xf numFmtId="0" fontId="1" fillId="2" borderId="2" xfId="0" applyFont="1" applyFill="1" applyBorder="1" applyAlignment="1">
      <alignment horizontal="left" vertical="center"/>
    </xf>
    <xf numFmtId="0" fontId="1" fillId="2" borderId="55" xfId="0" applyFont="1" applyFill="1" applyBorder="1"/>
    <xf numFmtId="168" fontId="15" fillId="2" borderId="5" xfId="1" applyNumberFormat="1" applyFont="1" applyFill="1" applyBorder="1" applyAlignment="1">
      <alignment horizontal="right" wrapText="1"/>
    </xf>
    <xf numFmtId="165" fontId="15" fillId="2" borderId="6" xfId="1" applyNumberFormat="1" applyFont="1" applyFill="1" applyBorder="1" applyAlignment="1">
      <alignment horizontal="right" wrapText="1"/>
    </xf>
    <xf numFmtId="165" fontId="18" fillId="2" borderId="0" xfId="1" applyNumberFormat="1" applyFont="1" applyFill="1" applyAlignment="1">
      <alignment horizontal="right" wrapText="1"/>
    </xf>
    <xf numFmtId="165" fontId="18" fillId="2" borderId="0" xfId="0" applyNumberFormat="1" applyFont="1" applyFill="1" applyAlignment="1">
      <alignment horizontal="right" wrapText="1"/>
    </xf>
    <xf numFmtId="0" fontId="18" fillId="2" borderId="0" xfId="0" applyFont="1" applyFill="1" applyAlignment="1">
      <alignment horizontal="right" wrapText="1"/>
    </xf>
    <xf numFmtId="9" fontId="18" fillId="2" borderId="0" xfId="2" applyFont="1" applyFill="1" applyAlignment="1">
      <alignment horizontal="right" wrapText="1"/>
    </xf>
    <xf numFmtId="0" fontId="18" fillId="2" borderId="0" xfId="0" applyFont="1" applyFill="1" applyAlignment="1">
      <alignment horizontal="left"/>
    </xf>
    <xf numFmtId="165" fontId="1" fillId="2" borderId="0" xfId="0" quotePrefix="1" applyNumberFormat="1" applyFont="1" applyFill="1" applyAlignment="1">
      <alignment horizontal="right" wrapText="1"/>
    </xf>
    <xf numFmtId="0" fontId="1" fillId="2" borderId="7" xfId="0" applyFont="1" applyFill="1" applyBorder="1" applyAlignment="1">
      <alignment horizontal="right" wrapText="1"/>
    </xf>
    <xf numFmtId="168" fontId="1" fillId="2" borderId="0" xfId="1" applyNumberFormat="1" applyFont="1" applyFill="1" applyAlignment="1">
      <alignment horizontal="right" wrapText="1"/>
    </xf>
    <xf numFmtId="0" fontId="18" fillId="2" borderId="7" xfId="0" applyFont="1" applyFill="1" applyBorder="1"/>
    <xf numFmtId="0" fontId="18" fillId="2" borderId="9" xfId="0" applyFont="1" applyFill="1" applyBorder="1"/>
    <xf numFmtId="0" fontId="18" fillId="2" borderId="0" xfId="0" applyFont="1" applyFill="1"/>
    <xf numFmtId="0" fontId="1" fillId="2" borderId="43" xfId="0" applyFont="1" applyFill="1" applyBorder="1"/>
    <xf numFmtId="0" fontId="2" fillId="2" borderId="44" xfId="0" applyFont="1" applyFill="1" applyBorder="1"/>
    <xf numFmtId="0" fontId="25" fillId="2" borderId="44" xfId="0" applyFont="1" applyFill="1" applyBorder="1"/>
    <xf numFmtId="165" fontId="1" fillId="2" borderId="44" xfId="1" applyNumberFormat="1" applyFont="1" applyFill="1" applyBorder="1" applyAlignment="1">
      <alignment horizontal="right" wrapText="1"/>
    </xf>
    <xf numFmtId="165" fontId="25" fillId="2" borderId="44" xfId="1" applyNumberFormat="1" applyFont="1" applyFill="1" applyBorder="1" applyAlignment="1">
      <alignment horizontal="right" wrapText="1"/>
    </xf>
    <xf numFmtId="165" fontId="25" fillId="2" borderId="45" xfId="0" applyNumberFormat="1" applyFont="1" applyFill="1" applyBorder="1" applyAlignment="1">
      <alignment horizontal="right" wrapText="1"/>
    </xf>
    <xf numFmtId="0" fontId="1" fillId="2" borderId="56" xfId="0" applyFont="1" applyFill="1" applyBorder="1"/>
    <xf numFmtId="165" fontId="25" fillId="2" borderId="57" xfId="0" applyNumberFormat="1" applyFont="1" applyFill="1" applyBorder="1" applyAlignment="1">
      <alignment horizontal="right" wrapText="1"/>
    </xf>
    <xf numFmtId="0" fontId="1" fillId="2" borderId="46" xfId="0" applyFont="1" applyFill="1" applyBorder="1"/>
    <xf numFmtId="0" fontId="2" fillId="2" borderId="47" xfId="0" applyFont="1" applyFill="1" applyBorder="1"/>
    <xf numFmtId="0" fontId="25" fillId="2" borderId="47" xfId="0" applyFont="1" applyFill="1" applyBorder="1"/>
    <xf numFmtId="165" fontId="1" fillId="2" borderId="47" xfId="1" applyNumberFormat="1" applyFont="1" applyFill="1" applyBorder="1" applyAlignment="1">
      <alignment horizontal="right" wrapText="1"/>
    </xf>
    <xf numFmtId="165" fontId="25" fillId="2" borderId="47" xfId="1" applyNumberFormat="1" applyFont="1" applyFill="1" applyBorder="1" applyAlignment="1">
      <alignment horizontal="right" wrapText="1"/>
    </xf>
    <xf numFmtId="165" fontId="25" fillId="2" borderId="48" xfId="0" applyNumberFormat="1" applyFont="1" applyFill="1" applyBorder="1" applyAlignment="1">
      <alignment horizontal="right" wrapText="1"/>
    </xf>
    <xf numFmtId="0" fontId="31" fillId="2" borderId="43" xfId="0" applyFont="1" applyFill="1" applyBorder="1"/>
    <xf numFmtId="0" fontId="31" fillId="2" borderId="44" xfId="0" applyFont="1" applyFill="1" applyBorder="1"/>
    <xf numFmtId="165" fontId="31" fillId="2" borderId="44" xfId="1" applyNumberFormat="1" applyFont="1" applyFill="1" applyBorder="1" applyAlignment="1">
      <alignment horizontal="right" wrapText="1"/>
    </xf>
    <xf numFmtId="0" fontId="31" fillId="2" borderId="44" xfId="0" applyFont="1" applyFill="1" applyBorder="1" applyAlignment="1">
      <alignment horizontal="right" wrapText="1"/>
    </xf>
    <xf numFmtId="165" fontId="31" fillId="2" borderId="44" xfId="0" applyNumberFormat="1" applyFont="1" applyFill="1" applyBorder="1" applyAlignment="1">
      <alignment horizontal="right" wrapText="1"/>
    </xf>
    <xf numFmtId="9" fontId="31" fillId="2" borderId="44" xfId="2" applyFont="1" applyFill="1" applyBorder="1"/>
    <xf numFmtId="0" fontId="31" fillId="2" borderId="45" xfId="0" applyFont="1" applyFill="1" applyBorder="1"/>
    <xf numFmtId="0" fontId="31" fillId="2" borderId="56" xfId="0" applyFont="1" applyFill="1" applyBorder="1"/>
    <xf numFmtId="165" fontId="31" fillId="2" borderId="0" xfId="1" applyNumberFormat="1" applyFont="1" applyFill="1" applyBorder="1" applyAlignment="1">
      <alignment horizontal="right" wrapText="1"/>
    </xf>
    <xf numFmtId="0" fontId="31" fillId="2" borderId="0" xfId="0" applyFont="1" applyFill="1" applyAlignment="1">
      <alignment horizontal="right" wrapText="1"/>
    </xf>
    <xf numFmtId="165" fontId="31" fillId="2" borderId="0" xfId="0" applyNumberFormat="1" applyFont="1" applyFill="1" applyAlignment="1">
      <alignment horizontal="right" wrapText="1"/>
    </xf>
    <xf numFmtId="9" fontId="31" fillId="2" borderId="0" xfId="2" applyFont="1" applyFill="1" applyBorder="1"/>
    <xf numFmtId="0" fontId="31" fillId="2" borderId="57" xfId="0" applyFont="1" applyFill="1" applyBorder="1"/>
    <xf numFmtId="0" fontId="31" fillId="2" borderId="46" xfId="0" applyFont="1" applyFill="1" applyBorder="1"/>
    <xf numFmtId="0" fontId="31" fillId="2" borderId="47" xfId="0" applyFont="1" applyFill="1" applyBorder="1"/>
    <xf numFmtId="165" fontId="31" fillId="2" borderId="47" xfId="1" applyNumberFormat="1" applyFont="1" applyFill="1" applyBorder="1" applyAlignment="1">
      <alignment horizontal="right" wrapText="1"/>
    </xf>
    <xf numFmtId="0" fontId="31" fillId="2" borderId="47" xfId="0" applyFont="1" applyFill="1" applyBorder="1" applyAlignment="1">
      <alignment horizontal="right" wrapText="1"/>
    </xf>
    <xf numFmtId="165" fontId="31" fillId="2" borderId="47" xfId="0" applyNumberFormat="1" applyFont="1" applyFill="1" applyBorder="1" applyAlignment="1">
      <alignment horizontal="right" wrapText="1"/>
    </xf>
    <xf numFmtId="9" fontId="31" fillId="2" borderId="47" xfId="2" applyFont="1" applyFill="1" applyBorder="1"/>
    <xf numFmtId="0" fontId="31" fillId="2" borderId="48" xfId="0" applyFont="1" applyFill="1" applyBorder="1"/>
    <xf numFmtId="0" fontId="1" fillId="2" borderId="44" xfId="0" applyFont="1" applyFill="1" applyBorder="1"/>
    <xf numFmtId="165" fontId="1" fillId="2" borderId="44" xfId="1" applyNumberFormat="1" applyFont="1" applyFill="1" applyBorder="1"/>
    <xf numFmtId="165" fontId="1" fillId="2" borderId="44" xfId="0" applyNumberFormat="1" applyFont="1" applyFill="1" applyBorder="1" applyAlignment="1">
      <alignment horizontal="right" wrapText="1"/>
    </xf>
    <xf numFmtId="0" fontId="1" fillId="2" borderId="45" xfId="0" applyFont="1" applyFill="1" applyBorder="1"/>
    <xf numFmtId="165" fontId="1" fillId="2" borderId="0" xfId="1" applyNumberFormat="1" applyFont="1" applyFill="1" applyBorder="1"/>
    <xf numFmtId="0" fontId="1" fillId="2" borderId="57" xfId="0" applyFont="1" applyFill="1" applyBorder="1"/>
    <xf numFmtId="0" fontId="1" fillId="2" borderId="47" xfId="0" applyFont="1" applyFill="1" applyBorder="1"/>
    <xf numFmtId="165" fontId="1" fillId="2" borderId="47" xfId="1" applyNumberFormat="1" applyFont="1" applyFill="1" applyBorder="1"/>
    <xf numFmtId="165" fontId="1" fillId="2" borderId="47" xfId="0" applyNumberFormat="1" applyFont="1" applyFill="1" applyBorder="1" applyAlignment="1">
      <alignment horizontal="right" wrapText="1"/>
    </xf>
    <xf numFmtId="0" fontId="1" fillId="2" borderId="48" xfId="0" applyFont="1" applyFill="1" applyBorder="1"/>
    <xf numFmtId="165" fontId="1" fillId="2" borderId="43" xfId="1" applyNumberFormat="1" applyFont="1" applyFill="1" applyBorder="1"/>
    <xf numFmtId="165" fontId="31" fillId="2" borderId="44" xfId="1" applyNumberFormat="1" applyFont="1" applyFill="1" applyBorder="1"/>
    <xf numFmtId="165" fontId="1" fillId="2" borderId="45" xfId="1" applyNumberFormat="1" applyFont="1" applyFill="1" applyBorder="1"/>
    <xf numFmtId="165" fontId="1" fillId="2" borderId="56" xfId="1" applyNumberFormat="1" applyFont="1" applyFill="1" applyBorder="1"/>
    <xf numFmtId="165" fontId="31" fillId="2" borderId="0" xfId="1" applyNumberFormat="1" applyFont="1" applyFill="1" applyBorder="1"/>
    <xf numFmtId="165" fontId="1" fillId="2" borderId="57" xfId="1" applyNumberFormat="1" applyFont="1" applyFill="1" applyBorder="1"/>
    <xf numFmtId="165" fontId="1" fillId="2" borderId="46" xfId="1" applyNumberFormat="1" applyFont="1" applyFill="1" applyBorder="1"/>
    <xf numFmtId="165" fontId="31" fillId="2" borderId="47" xfId="1" applyNumberFormat="1" applyFont="1" applyFill="1" applyBorder="1"/>
    <xf numFmtId="165" fontId="1" fillId="2" borderId="48" xfId="1" applyNumberFormat="1" applyFont="1" applyFill="1" applyBorder="1"/>
    <xf numFmtId="165" fontId="1" fillId="2" borderId="43" xfId="1" applyNumberFormat="1" applyFont="1" applyFill="1" applyBorder="1" applyAlignment="1">
      <alignment horizontal="right" wrapText="1"/>
    </xf>
    <xf numFmtId="9" fontId="1" fillId="2" borderId="44" xfId="2" applyFont="1" applyFill="1" applyBorder="1"/>
    <xf numFmtId="9" fontId="1" fillId="2" borderId="0" xfId="2" applyFont="1" applyFill="1" applyBorder="1"/>
    <xf numFmtId="9" fontId="1" fillId="2" borderId="47" xfId="2" applyFont="1" applyFill="1" applyBorder="1"/>
    <xf numFmtId="9" fontId="2" fillId="2" borderId="0" xfId="2" applyFont="1" applyFill="1" applyBorder="1"/>
    <xf numFmtId="9" fontId="17" fillId="2" borderId="0" xfId="2" applyFont="1" applyFill="1" applyAlignment="1">
      <alignment horizontal="right"/>
    </xf>
    <xf numFmtId="9" fontId="20" fillId="2" borderId="8" xfId="2" applyFont="1" applyFill="1" applyBorder="1" applyAlignment="1">
      <alignment horizontal="right" wrapText="1"/>
    </xf>
    <xf numFmtId="0" fontId="3" fillId="2" borderId="0" xfId="0" applyFont="1" applyFill="1"/>
    <xf numFmtId="9" fontId="20" fillId="2" borderId="0" xfId="2" applyFont="1" applyFill="1" applyBorder="1" applyAlignment="1">
      <alignment horizontal="right" wrapText="1"/>
    </xf>
    <xf numFmtId="0" fontId="18" fillId="2" borderId="44" xfId="0" applyFont="1" applyFill="1" applyBorder="1"/>
    <xf numFmtId="165" fontId="18" fillId="2" borderId="44" xfId="1" applyNumberFormat="1" applyFont="1" applyFill="1" applyBorder="1" applyAlignment="1">
      <alignment horizontal="right" wrapText="1"/>
    </xf>
    <xf numFmtId="38" fontId="18" fillId="2" borderId="44" xfId="0" applyNumberFormat="1" applyFont="1" applyFill="1" applyBorder="1" applyAlignment="1">
      <alignment horizontal="right" wrapText="1"/>
    </xf>
    <xf numFmtId="9" fontId="31" fillId="2" borderId="44" xfId="2" applyFont="1" applyFill="1" applyBorder="1" applyAlignment="1">
      <alignment horizontal="right" wrapText="1"/>
    </xf>
    <xf numFmtId="9" fontId="18" fillId="2" borderId="44" xfId="2" applyFont="1" applyFill="1" applyBorder="1" applyAlignment="1">
      <alignment horizontal="right" wrapText="1"/>
    </xf>
    <xf numFmtId="9" fontId="18" fillId="2" borderId="45" xfId="2" applyFont="1" applyFill="1" applyBorder="1" applyAlignment="1">
      <alignment horizontal="right" wrapText="1"/>
    </xf>
    <xf numFmtId="165" fontId="18" fillId="2" borderId="0" xfId="1" applyNumberFormat="1" applyFont="1" applyFill="1" applyBorder="1" applyAlignment="1">
      <alignment horizontal="right" wrapText="1"/>
    </xf>
    <xf numFmtId="38" fontId="18" fillId="2" borderId="0" xfId="0" applyNumberFormat="1" applyFont="1" applyFill="1" applyAlignment="1">
      <alignment horizontal="right" wrapText="1"/>
    </xf>
    <xf numFmtId="9" fontId="31" fillId="2" borderId="0" xfId="2" applyFont="1" applyFill="1" applyBorder="1" applyAlignment="1">
      <alignment horizontal="right" wrapText="1"/>
    </xf>
    <xf numFmtId="9" fontId="18" fillId="2" borderId="0" xfId="2" applyFont="1" applyFill="1" applyBorder="1" applyAlignment="1">
      <alignment horizontal="right" wrapText="1"/>
    </xf>
    <xf numFmtId="9" fontId="18" fillId="2" borderId="57" xfId="2" applyFont="1" applyFill="1" applyBorder="1" applyAlignment="1">
      <alignment horizontal="right" wrapText="1"/>
    </xf>
    <xf numFmtId="0" fontId="18" fillId="2" borderId="47" xfId="0" applyFont="1" applyFill="1" applyBorder="1"/>
    <xf numFmtId="165" fontId="18" fillId="2" borderId="47" xfId="1" applyNumberFormat="1" applyFont="1" applyFill="1" applyBorder="1" applyAlignment="1">
      <alignment horizontal="right" wrapText="1"/>
    </xf>
    <xf numFmtId="38" fontId="18" fillId="2" borderId="47" xfId="0" applyNumberFormat="1" applyFont="1" applyFill="1" applyBorder="1" applyAlignment="1">
      <alignment horizontal="right" wrapText="1"/>
    </xf>
    <xf numFmtId="9" fontId="31" fillId="2" borderId="47" xfId="2" applyFont="1" applyFill="1" applyBorder="1" applyAlignment="1">
      <alignment horizontal="right" wrapText="1"/>
    </xf>
    <xf numFmtId="9" fontId="18" fillId="2" borderId="47" xfId="2" applyFont="1" applyFill="1" applyBorder="1" applyAlignment="1">
      <alignment horizontal="right" wrapText="1"/>
    </xf>
    <xf numFmtId="9" fontId="18" fillId="2" borderId="48" xfId="2" applyFont="1" applyFill="1" applyBorder="1" applyAlignment="1">
      <alignment horizontal="right" wrapText="1"/>
    </xf>
    <xf numFmtId="9" fontId="1" fillId="2" borderId="44" xfId="2" applyFont="1" applyFill="1" applyBorder="1" applyAlignment="1">
      <alignment horizontal="right" wrapText="1"/>
    </xf>
    <xf numFmtId="9" fontId="1" fillId="2" borderId="45" xfId="2" applyFont="1" applyFill="1" applyBorder="1" applyAlignment="1">
      <alignment horizontal="right" wrapText="1"/>
    </xf>
    <xf numFmtId="9" fontId="1" fillId="2" borderId="57" xfId="2" applyFont="1" applyFill="1" applyBorder="1" applyAlignment="1">
      <alignment horizontal="right" wrapText="1"/>
    </xf>
    <xf numFmtId="9" fontId="1" fillId="2" borderId="47" xfId="2" applyFont="1" applyFill="1" applyBorder="1" applyAlignment="1">
      <alignment horizontal="right" wrapText="1"/>
    </xf>
    <xf numFmtId="9" fontId="1" fillId="2" borderId="48" xfId="2" applyFont="1" applyFill="1" applyBorder="1" applyAlignment="1">
      <alignment horizontal="right" wrapText="1"/>
    </xf>
    <xf numFmtId="9" fontId="2" fillId="2" borderId="7" xfId="2" applyFont="1" applyFill="1" applyBorder="1" applyAlignment="1">
      <alignment horizontal="right" wrapText="1"/>
    </xf>
    <xf numFmtId="9" fontId="2" fillId="2" borderId="7" xfId="0" applyNumberFormat="1" applyFont="1" applyFill="1" applyBorder="1"/>
    <xf numFmtId="168" fontId="2" fillId="2" borderId="0" xfId="0" applyNumberFormat="1" applyFont="1" applyFill="1" applyAlignment="1">
      <alignment horizontal="right" wrapText="1"/>
    </xf>
    <xf numFmtId="166" fontId="1" fillId="2" borderId="0" xfId="2" applyNumberFormat="1" applyFont="1" applyFill="1" applyBorder="1" applyAlignment="1">
      <alignment horizontal="right" wrapText="1"/>
    </xf>
    <xf numFmtId="9" fontId="1" fillId="2" borderId="19" xfId="2" applyFont="1" applyFill="1" applyBorder="1" applyAlignment="1">
      <alignment horizontal="right" wrapText="1"/>
    </xf>
    <xf numFmtId="0" fontId="33" fillId="2" borderId="0" xfId="0" applyFont="1" applyFill="1"/>
    <xf numFmtId="9" fontId="31" fillId="2" borderId="44" xfId="0" applyNumberFormat="1" applyFont="1" applyFill="1" applyBorder="1"/>
    <xf numFmtId="9" fontId="31" fillId="2" borderId="0" xfId="0" applyNumberFormat="1" applyFont="1" applyFill="1"/>
    <xf numFmtId="9" fontId="31" fillId="2" borderId="47" xfId="0" applyNumberFormat="1" applyFont="1" applyFill="1" applyBorder="1"/>
    <xf numFmtId="165" fontId="38" fillId="2" borderId="44" xfId="1" applyNumberFormat="1" applyFont="1" applyFill="1" applyBorder="1" applyAlignment="1">
      <alignment horizontal="right" wrapText="1"/>
    </xf>
    <xf numFmtId="165" fontId="38" fillId="2" borderId="0" xfId="1" applyNumberFormat="1" applyFont="1" applyFill="1" applyBorder="1" applyAlignment="1">
      <alignment horizontal="right" wrapText="1"/>
    </xf>
    <xf numFmtId="165" fontId="38" fillId="2" borderId="47" xfId="1" applyNumberFormat="1" applyFont="1" applyFill="1" applyBorder="1" applyAlignment="1">
      <alignment horizontal="right" wrapText="1"/>
    </xf>
    <xf numFmtId="165" fontId="1" fillId="12" borderId="7" xfId="1" applyNumberFormat="1" applyFont="1" applyFill="1" applyBorder="1" applyAlignment="1">
      <alignment horizontal="right" wrapText="1"/>
    </xf>
    <xf numFmtId="165" fontId="1" fillId="2" borderId="7" xfId="1" applyNumberFormat="1" applyFont="1" applyFill="1" applyBorder="1" applyAlignment="1">
      <alignment horizontal="right" wrapText="1"/>
    </xf>
    <xf numFmtId="9" fontId="1" fillId="2" borderId="7" xfId="0" applyNumberFormat="1" applyFont="1" applyFill="1" applyBorder="1"/>
    <xf numFmtId="165" fontId="2" fillId="12" borderId="0" xfId="0" applyNumberFormat="1" applyFont="1" applyFill="1" applyAlignment="1">
      <alignment horizontal="right" wrapText="1"/>
    </xf>
    <xf numFmtId="165" fontId="20" fillId="2" borderId="0" xfId="1" applyNumberFormat="1" applyFont="1" applyFill="1"/>
    <xf numFmtId="9" fontId="15" fillId="2" borderId="0" xfId="2" applyFont="1" applyFill="1"/>
    <xf numFmtId="41" fontId="23" fillId="2" borderId="0" xfId="0" applyNumberFormat="1" applyFont="1" applyFill="1"/>
    <xf numFmtId="0" fontId="0" fillId="14" borderId="0" xfId="0" applyFill="1"/>
    <xf numFmtId="166" fontId="47" fillId="2" borderId="0" xfId="0" applyNumberFormat="1" applyFont="1" applyFill="1"/>
    <xf numFmtId="0" fontId="0" fillId="9" borderId="0" xfId="0" applyFill="1"/>
    <xf numFmtId="0" fontId="0" fillId="2" borderId="0" xfId="0" applyFill="1" applyAlignment="1">
      <alignment wrapText="1"/>
    </xf>
    <xf numFmtId="165" fontId="0" fillId="14" borderId="0" xfId="0" applyNumberFormat="1" applyFill="1"/>
    <xf numFmtId="165" fontId="0" fillId="14" borderId="0" xfId="0" applyNumberFormat="1" applyFill="1" applyAlignment="1">
      <alignment horizontal="right" wrapText="1"/>
    </xf>
    <xf numFmtId="165" fontId="0" fillId="14" borderId="0" xfId="1" applyNumberFormat="1" applyFont="1" applyFill="1" applyAlignment="1">
      <alignment horizontal="right" wrapText="1"/>
    </xf>
    <xf numFmtId="41" fontId="0" fillId="2" borderId="0" xfId="0" applyNumberFormat="1" applyFill="1" applyAlignment="1">
      <alignment horizontal="right" wrapText="1"/>
    </xf>
    <xf numFmtId="165" fontId="0" fillId="2" borderId="0" xfId="0" applyNumberFormat="1" applyFill="1" applyAlignment="1">
      <alignment horizontal="right" wrapText="1"/>
    </xf>
    <xf numFmtId="41" fontId="0" fillId="14" borderId="0" xfId="0" applyNumberFormat="1" applyFill="1" applyAlignment="1">
      <alignment horizontal="right" wrapText="1"/>
    </xf>
    <xf numFmtId="41" fontId="23" fillId="2" borderId="0" xfId="0" applyNumberFormat="1" applyFont="1" applyFill="1" applyAlignment="1">
      <alignment horizontal="right" wrapText="1"/>
    </xf>
    <xf numFmtId="38" fontId="0" fillId="14" borderId="0" xfId="0" applyNumberFormat="1" applyFill="1" applyAlignment="1">
      <alignment horizontal="right" wrapText="1"/>
    </xf>
    <xf numFmtId="173" fontId="1" fillId="2" borderId="0" xfId="1" applyNumberFormat="1" applyFont="1" applyFill="1" applyBorder="1" applyAlignment="1">
      <alignment horizontal="right" wrapText="1"/>
    </xf>
    <xf numFmtId="165" fontId="11" fillId="14" borderId="0" xfId="0" applyNumberFormat="1" applyFont="1" applyFill="1" applyAlignment="1">
      <alignment horizontal="right" wrapText="1"/>
    </xf>
    <xf numFmtId="0" fontId="48" fillId="2" borderId="0" xfId="0" applyFont="1" applyFill="1"/>
    <xf numFmtId="165" fontId="48" fillId="2" borderId="0" xfId="1" applyNumberFormat="1" applyFont="1" applyFill="1" applyAlignment="1">
      <alignment horizontal="right" wrapText="1"/>
    </xf>
    <xf numFmtId="165" fontId="14" fillId="2" borderId="7" xfId="1" applyNumberFormat="1" applyFont="1" applyFill="1" applyBorder="1" applyAlignment="1">
      <alignment horizontal="right" wrapText="1"/>
    </xf>
    <xf numFmtId="165" fontId="14" fillId="2" borderId="0" xfId="1" applyNumberFormat="1" applyFont="1" applyFill="1" applyBorder="1" applyAlignment="1">
      <alignment horizontal="right" wrapText="1"/>
    </xf>
    <xf numFmtId="165" fontId="14" fillId="2" borderId="3" xfId="0" applyNumberFormat="1" applyFont="1" applyFill="1" applyBorder="1" applyAlignment="1">
      <alignment horizontal="right" wrapText="1"/>
    </xf>
    <xf numFmtId="165" fontId="14" fillId="2" borderId="0" xfId="0" applyNumberFormat="1" applyFont="1" applyFill="1" applyAlignment="1">
      <alignment horizontal="right" wrapText="1"/>
    </xf>
    <xf numFmtId="165" fontId="48" fillId="2" borderId="7" xfId="1" applyNumberFormat="1" applyFont="1" applyFill="1" applyBorder="1" applyAlignment="1">
      <alignment horizontal="right" wrapText="1"/>
    </xf>
    <xf numFmtId="9" fontId="1" fillId="2" borderId="0" xfId="2" applyFont="1" applyFill="1" applyAlignment="1">
      <alignment horizontal="right"/>
    </xf>
    <xf numFmtId="0" fontId="20" fillId="2" borderId="9" xfId="0" applyFont="1" applyFill="1" applyBorder="1"/>
    <xf numFmtId="165" fontId="11" fillId="2" borderId="0" xfId="1" applyNumberFormat="1" applyFont="1" applyFill="1" applyBorder="1" applyAlignment="1">
      <alignment horizontal="right" wrapText="1"/>
    </xf>
    <xf numFmtId="165" fontId="12" fillId="2" borderId="0" xfId="0" applyNumberFormat="1" applyFont="1" applyFill="1" applyAlignment="1">
      <alignment horizontal="right" wrapText="1"/>
    </xf>
    <xf numFmtId="165" fontId="11" fillId="2" borderId="7" xfId="1" applyNumberFormat="1" applyFont="1" applyFill="1" applyBorder="1" applyAlignment="1">
      <alignment horizontal="right" wrapText="1"/>
    </xf>
    <xf numFmtId="165" fontId="49" fillId="2" borderId="0" xfId="0" applyNumberFormat="1" applyFont="1" applyFill="1" applyAlignment="1">
      <alignment horizontal="right" wrapText="1"/>
    </xf>
    <xf numFmtId="165" fontId="12" fillId="2" borderId="9" xfId="1" applyNumberFormat="1" applyFont="1" applyFill="1" applyBorder="1" applyAlignment="1">
      <alignment horizontal="right" wrapText="1"/>
    </xf>
    <xf numFmtId="165" fontId="37" fillId="2" borderId="0" xfId="0" applyNumberFormat="1" applyFont="1" applyFill="1"/>
    <xf numFmtId="0" fontId="1" fillId="2" borderId="0" xfId="1" applyNumberFormat="1" applyFont="1" applyFill="1" applyAlignment="1">
      <alignment horizontal="right" wrapText="1"/>
    </xf>
    <xf numFmtId="165" fontId="17" fillId="2" borderId="0" xfId="1" applyNumberFormat="1" applyFont="1" applyFill="1" applyAlignment="1">
      <alignment horizontal="right" wrapText="1"/>
    </xf>
    <xf numFmtId="9" fontId="1" fillId="8" borderId="59" xfId="0" applyNumberFormat="1" applyFont="1" applyFill="1" applyBorder="1"/>
    <xf numFmtId="9" fontId="1" fillId="8" borderId="59" xfId="2" applyFont="1" applyFill="1" applyBorder="1" applyAlignment="1">
      <alignment horizontal="right" wrapText="1"/>
    </xf>
    <xf numFmtId="9" fontId="1" fillId="8" borderId="59" xfId="1" applyNumberFormat="1" applyFont="1" applyFill="1" applyBorder="1" applyAlignment="1">
      <alignment horizontal="right" wrapText="1"/>
    </xf>
    <xf numFmtId="165" fontId="1" fillId="8" borderId="59" xfId="1" applyNumberFormat="1" applyFont="1" applyFill="1" applyBorder="1" applyAlignment="1">
      <alignment horizontal="right" wrapText="1"/>
    </xf>
    <xf numFmtId="9" fontId="15" fillId="8" borderId="58" xfId="0" applyNumberFormat="1" applyFont="1" applyFill="1" applyBorder="1"/>
    <xf numFmtId="165" fontId="16" fillId="2" borderId="0" xfId="1" applyNumberFormat="1" applyFont="1" applyFill="1" applyAlignment="1">
      <alignment horizontal="right" wrapText="1"/>
    </xf>
    <xf numFmtId="165" fontId="16" fillId="2" borderId="0" xfId="0" applyNumberFormat="1" applyFont="1" applyFill="1" applyAlignment="1">
      <alignment horizontal="right" wrapText="1"/>
    </xf>
    <xf numFmtId="9" fontId="20" fillId="2" borderId="0" xfId="2" applyFont="1" applyFill="1"/>
    <xf numFmtId="165" fontId="1" fillId="2" borderId="0" xfId="2" applyNumberFormat="1" applyFont="1" applyFill="1"/>
    <xf numFmtId="9" fontId="20" fillId="2" borderId="0" xfId="0" applyNumberFormat="1" applyFont="1" applyFill="1"/>
    <xf numFmtId="9" fontId="2" fillId="2" borderId="0" xfId="2" applyFont="1" applyFill="1"/>
    <xf numFmtId="165" fontId="27" fillId="0" borderId="10" xfId="1" applyNumberFormat="1" applyFont="1" applyBorder="1" applyAlignment="1">
      <alignment horizontal="center" vertical="center"/>
    </xf>
    <xf numFmtId="165" fontId="27" fillId="0" borderId="14" xfId="1" applyNumberFormat="1" applyFont="1" applyBorder="1" applyAlignment="1">
      <alignment horizontal="center" vertical="center"/>
    </xf>
    <xf numFmtId="14" fontId="27" fillId="0" borderId="10" xfId="0" applyNumberFormat="1" applyFont="1" applyBorder="1" applyAlignment="1">
      <alignment horizontal="center" vertical="center"/>
    </xf>
    <xf numFmtId="14" fontId="27" fillId="0" borderId="14" xfId="0" applyNumberFormat="1" applyFont="1" applyBorder="1" applyAlignment="1">
      <alignment horizontal="center" vertical="center"/>
    </xf>
    <xf numFmtId="165" fontId="27" fillId="0" borderId="10" xfId="1" applyNumberFormat="1" applyFont="1" applyBorder="1" applyAlignment="1">
      <alignment horizontal="center" vertical="center" wrapText="1"/>
    </xf>
    <xf numFmtId="165" fontId="27" fillId="0" borderId="14" xfId="1" applyNumberFormat="1" applyFont="1" applyBorder="1" applyAlignment="1">
      <alignment horizontal="center" vertical="center" wrapText="1"/>
    </xf>
    <xf numFmtId="9" fontId="27" fillId="0" borderId="10" xfId="2" applyFont="1" applyBorder="1" applyAlignment="1">
      <alignment horizontal="center" vertical="center"/>
    </xf>
    <xf numFmtId="9" fontId="27" fillId="0" borderId="14" xfId="2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165" fontId="27" fillId="0" borderId="16" xfId="1" applyNumberFormat="1" applyFont="1" applyBorder="1" applyAlignment="1">
      <alignment horizontal="center" vertical="center"/>
    </xf>
    <xf numFmtId="14" fontId="27" fillId="0" borderId="16" xfId="0" applyNumberFormat="1" applyFont="1" applyBorder="1" applyAlignment="1">
      <alignment horizontal="center" vertical="center"/>
    </xf>
    <xf numFmtId="165" fontId="27" fillId="0" borderId="16" xfId="1" applyNumberFormat="1" applyFont="1" applyBorder="1" applyAlignment="1">
      <alignment horizontal="center" vertical="center" wrapText="1"/>
    </xf>
    <xf numFmtId="9" fontId="27" fillId="0" borderId="16" xfId="2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</cellXfs>
  <cellStyles count="6">
    <cellStyle name="Comma" xfId="1" builtinId="3"/>
    <cellStyle name="Comma 2" xfId="4" xr:uid="{29501BD3-A40E-475B-BC2D-450EBB16ED64}"/>
    <cellStyle name="Hyperlink" xfId="5" builtinId="8"/>
    <cellStyle name="Normal" xfId="0" builtinId="0"/>
    <cellStyle name="Normal 2" xfId="3" xr:uid="{11560BC7-35B9-455A-B9BE-3EE8D3B68BBC}"/>
    <cellStyle name="Percent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mbria"/>
        <family val="1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mbria"/>
        <family val="1"/>
        <scheme val="none"/>
      </font>
      <fill>
        <patternFill patternType="solid">
          <fgColor indexed="64"/>
          <bgColor rgb="FF2596BE"/>
        </patternFill>
      </fill>
    </dxf>
  </dxfs>
  <tableStyles count="0" defaultTableStyle="TableStyleMedium2" defaultPivotStyle="PivotStyleLight16"/>
  <colors>
    <mruColors>
      <color rgb="FF194CD0"/>
      <color rgb="FF194BCF"/>
      <color rgb="FF2596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72-402B-BC8A-9919F235195D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72-402B-BC8A-9919F235195D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72-402B-BC8A-9919F235195D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72-402B-BC8A-9919F235195D}"/>
              </c:ext>
            </c:extLst>
          </c:dPt>
          <c:dPt>
            <c:idx val="4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372-402B-BC8A-9919F23519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Rental fee</c:v>
              </c:pt>
              <c:pt idx="1">
                <c:v>Salary</c:v>
              </c:pt>
              <c:pt idx="2">
                <c:v>Meal cost</c:v>
              </c:pt>
              <c:pt idx="3">
                <c:v>HQ</c:v>
              </c:pt>
              <c:pt idx="4">
                <c:v>Others</c:v>
              </c:pt>
            </c:strLit>
          </c:cat>
          <c:val>
            <c:numLit>
              <c:formatCode>General</c:formatCode>
              <c:ptCount val="5"/>
              <c:pt idx="0">
                <c:v>0.1917979818130629</c:v>
              </c:pt>
              <c:pt idx="1">
                <c:v>0.54603879716760184</c:v>
              </c:pt>
              <c:pt idx="2">
                <c:v>0.11673129481178397</c:v>
              </c:pt>
              <c:pt idx="3">
                <c:v>8.1663489486383189E-2</c:v>
              </c:pt>
              <c:pt idx="4">
                <c:v>6.3768436721168081E-2</c:v>
              </c:pt>
            </c:numLit>
          </c:val>
          <c:extLst>
            <c:ext xmlns:c16="http://schemas.microsoft.com/office/drawing/2014/chart" uri="{C3380CC4-5D6E-409C-BE32-E72D297353CC}">
              <c16:uniqueId val="{0000000A-3372-402B-BC8A-9919F235195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General</c:formatCode>
              <c:ptCount val="13"/>
              <c:pt idx="0">
                <c:v>3762.3759829999995</c:v>
              </c:pt>
              <c:pt idx="1">
                <c:v>4766.5643499999996</c:v>
              </c:pt>
              <c:pt idx="2">
                <c:v>5013.5344940000004</c:v>
              </c:pt>
              <c:pt idx="3">
                <c:v>5146.4672639999999</c:v>
              </c:pt>
              <c:pt idx="4">
                <c:v>4925.2578290000001</c:v>
              </c:pt>
              <c:pt idx="5">
                <c:v>4296.1017750000001</c:v>
              </c:pt>
              <c:pt idx="6">
                <c:v>4359.0103060000001</c:v>
              </c:pt>
              <c:pt idx="7">
                <c:v>4515.1247069999999</c:v>
              </c:pt>
              <c:pt idx="8">
                <c:v>5425.7279399999998</c:v>
              </c:pt>
              <c:pt idx="9">
                <c:v>4587.8979909999989</c:v>
              </c:pt>
              <c:pt idx="10">
                <c:v>4624.2171989999997</c:v>
              </c:pt>
              <c:pt idx="11">
                <c:v>4714.1219149999997</c:v>
              </c:pt>
              <c:pt idx="12">
                <c:v>4770.8469530000002</c:v>
              </c:pt>
            </c:numLit>
          </c:val>
          <c:extLst>
            <c:ext xmlns:c16="http://schemas.microsoft.com/office/drawing/2014/chart" uri="{C3380CC4-5D6E-409C-BE32-E72D297353CC}">
              <c16:uniqueId val="{00000000-83F0-4874-9EF9-0FAC0EEB38F4}"/>
            </c:ext>
          </c:extLst>
        </c:ser>
        <c:ser>
          <c:idx val="1"/>
          <c:order val="1"/>
          <c:tx>
            <c:v>Company EBITDA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General</c:formatCode>
              <c:ptCount val="13"/>
              <c:pt idx="0">
                <c:v>-164.32774286508047</c:v>
              </c:pt>
              <c:pt idx="1">
                <c:v>463.88014201587237</c:v>
              </c:pt>
              <c:pt idx="2">
                <c:v>412.9224453064179</c:v>
              </c:pt>
              <c:pt idx="3">
                <c:v>564.69579152380982</c:v>
              </c:pt>
              <c:pt idx="4">
                <c:v>281.08376881366428</c:v>
              </c:pt>
              <c:pt idx="5">
                <c:v>-50.950708665224127</c:v>
              </c:pt>
              <c:pt idx="6">
                <c:v>-324.04796841558471</c:v>
              </c:pt>
              <c:pt idx="7">
                <c:v>-145.11918719047577</c:v>
              </c:pt>
              <c:pt idx="8">
                <c:v>601.46725942105206</c:v>
              </c:pt>
              <c:pt idx="9">
                <c:v>99.163904428570333</c:v>
              </c:pt>
              <c:pt idx="10">
                <c:v>-53.615114000000013</c:v>
              </c:pt>
              <c:pt idx="11">
                <c:v>-1252.7334339523816</c:v>
              </c:pt>
              <c:pt idx="12">
                <c:v>208.33058700000001</c:v>
              </c:pt>
            </c:numLit>
          </c:val>
          <c:extLst>
            <c:ext xmlns:c16="http://schemas.microsoft.com/office/drawing/2014/chart" uri="{C3380CC4-5D6E-409C-BE32-E72D297353CC}">
              <c16:uniqueId val="{00000001-83F0-4874-9EF9-0FAC0EEB38F4}"/>
            </c:ext>
          </c:extLst>
        </c:ser>
        <c:ser>
          <c:idx val="2"/>
          <c:order val="2"/>
          <c:tx>
            <c:v>PBT</c:v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General</c:formatCode>
              <c:ptCount val="13"/>
              <c:pt idx="0">
                <c:v>-561.74428886508042</c:v>
              </c:pt>
              <c:pt idx="1">
                <c:v>74.383672015872378</c:v>
              </c:pt>
              <c:pt idx="2">
                <c:v>48.248290306417971</c:v>
              </c:pt>
              <c:pt idx="3">
                <c:v>194.62980152380982</c:v>
              </c:pt>
              <c:pt idx="4">
                <c:v>-94.288051186335736</c:v>
              </c:pt>
              <c:pt idx="5">
                <c:v>-457.22509566522416</c:v>
              </c:pt>
              <c:pt idx="6">
                <c:v>-721.72223441558469</c:v>
              </c:pt>
              <c:pt idx="7">
                <c:v>-550.74588019047576</c:v>
              </c:pt>
              <c:pt idx="8">
                <c:v>215.52485542105194</c:v>
              </c:pt>
              <c:pt idx="9">
                <c:v>-274.0894622380963</c:v>
              </c:pt>
              <c:pt idx="10">
                <c:v>-436.26770700000003</c:v>
              </c:pt>
              <c:pt idx="11">
                <c:v>-1644.4693449523818</c:v>
              </c:pt>
              <c:pt idx="12">
                <c:v>-1703.033951769426</c:v>
              </c:pt>
            </c:numLit>
          </c:val>
          <c:extLst>
            <c:ext xmlns:c16="http://schemas.microsoft.com/office/drawing/2014/chart" uri="{C3380CC4-5D6E-409C-BE32-E72D297353CC}">
              <c16:uniqueId val="{00000002-83F0-4874-9EF9-0FAC0EEB38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25663440"/>
        <c:axId val="210363296"/>
      </c:barChart>
      <c:catAx>
        <c:axId val="1925663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0363296"/>
        <c:crosses val="autoZero"/>
        <c:auto val="1"/>
        <c:lblAlgn val="ctr"/>
        <c:lblOffset val="100"/>
        <c:noMultiLvlLbl val="0"/>
      </c:catAx>
      <c:valAx>
        <c:axId val="2103632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566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v># Students</c:v>
          </c:tx>
          <c:spPr>
            <a:ln w="12700" cap="rnd">
              <a:solidFill>
                <a:srgbClr val="7030A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General</c:formatCode>
              <c:ptCount val="12"/>
              <c:pt idx="0">
                <c:v>752</c:v>
              </c:pt>
              <c:pt idx="1">
                <c:v>848</c:v>
              </c:pt>
              <c:pt idx="2">
                <c:v>876</c:v>
              </c:pt>
              <c:pt idx="3">
                <c:v>887</c:v>
              </c:pt>
              <c:pt idx="4">
                <c:v>866</c:v>
              </c:pt>
              <c:pt idx="5">
                <c:v>734</c:v>
              </c:pt>
              <c:pt idx="6">
                <c:v>697</c:v>
              </c:pt>
              <c:pt idx="7">
                <c:v>719</c:v>
              </c:pt>
              <c:pt idx="8">
                <c:v>716</c:v>
              </c:pt>
              <c:pt idx="9">
                <c:v>735</c:v>
              </c:pt>
              <c:pt idx="10">
                <c:v>724</c:v>
              </c:pt>
              <c:pt idx="11">
                <c:v>722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881-4068-A663-F3F6D06BBFC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00576496"/>
        <c:axId val="151486768"/>
      </c:lineChart>
      <c:catAx>
        <c:axId val="2000576496"/>
        <c:scaling>
          <c:orientation val="minMax"/>
        </c:scaling>
        <c:delete val="1"/>
        <c:axPos val="b"/>
        <c:majorTickMark val="none"/>
        <c:minorTickMark val="none"/>
        <c:tickLblPos val="nextTo"/>
        <c:crossAx val="151486768"/>
        <c:crosses val="autoZero"/>
        <c:auto val="1"/>
        <c:lblAlgn val="ctr"/>
        <c:lblOffset val="100"/>
        <c:noMultiLvlLbl val="0"/>
      </c:catAx>
      <c:valAx>
        <c:axId val="151486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0057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6</xdr:col>
      <xdr:colOff>291465</xdr:colOff>
      <xdr:row>18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DEDACD-E6C4-4CC2-821F-530A2B76B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171450</xdr:colOff>
      <xdr:row>6</xdr:row>
      <xdr:rowOff>28575</xdr:rowOff>
    </xdr:from>
    <xdr:to>
      <xdr:col>20</xdr:col>
      <xdr:colOff>438150</xdr:colOff>
      <xdr:row>21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EF6EA4-D18C-4A3D-BBCB-B14C072391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57150</xdr:colOff>
      <xdr:row>0</xdr:row>
      <xdr:rowOff>47625</xdr:rowOff>
    </xdr:from>
    <xdr:to>
      <xdr:col>18</xdr:col>
      <xdr:colOff>7620</xdr:colOff>
      <xdr:row>17</xdr:row>
      <xdr:rowOff>24765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8EA9A1-3683-4E01-8409-76E106A5E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57150</xdr:rowOff>
    </xdr:from>
    <xdr:to>
      <xdr:col>2</xdr:col>
      <xdr:colOff>859448</xdr:colOff>
      <xdr:row>3</xdr:row>
      <xdr:rowOff>102975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4A9BBD05-1448-4103-B67F-815F242E2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57150"/>
          <a:ext cx="1211873" cy="61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4</xdr:row>
      <xdr:rowOff>1131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C8887307-A108-4D5E-9D9A-E30810B8A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6670"/>
          <a:ext cx="1219200" cy="660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4</xdr:row>
      <xdr:rowOff>1131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92233A46-92AB-4D76-A6C8-0C5D82D93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95250</xdr:colOff>
      <xdr:row>10</xdr:row>
      <xdr:rowOff>85725</xdr:rowOff>
    </xdr:from>
    <xdr:to>
      <xdr:col>40</xdr:col>
      <xdr:colOff>369021</xdr:colOff>
      <xdr:row>57</xdr:row>
      <xdr:rowOff>116519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F54AB4-4BC4-42AC-97F7-654DA227E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49550" y="1619250"/>
          <a:ext cx="9417771" cy="21453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609600</xdr:colOff>
      <xdr:row>3</xdr:row>
      <xdr:rowOff>128766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F8896CB5-BA24-43D4-9F15-AF6232BBA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0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4</xdr:row>
      <xdr:rowOff>1131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2F8D41C7-617B-4EAA-BB63-724DAE300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3</xdr:row>
      <xdr:rowOff>157341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B24F2A58-AC04-40E6-A0E3-8D0EAEDC9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251113</xdr:colOff>
      <xdr:row>0</xdr:row>
      <xdr:rowOff>28576</xdr:rowOff>
    </xdr:from>
    <xdr:to>
      <xdr:col>4</xdr:col>
      <xdr:colOff>103908</xdr:colOff>
      <xdr:row>3</xdr:row>
      <xdr:rowOff>88856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3BB93968-1817-41E4-A326-17B53D77F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113" y="28576"/>
          <a:ext cx="865909" cy="553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4</xdr:row>
      <xdr:rowOff>1131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9A62B9F2-9BDB-47B3-8619-58B880DEE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4</xdr:row>
      <xdr:rowOff>1131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3890E931-F3AF-4ED0-B5D0-4CA65733A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4</xdr:row>
      <xdr:rowOff>1131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D1BB3B63-4003-4984-BDDB-500205C6C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4</xdr:row>
      <xdr:rowOff>1131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9FA187A5-74A5-4752-A5DB-27B74CF45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4</xdr:row>
      <xdr:rowOff>1131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6577FF7B-4DE0-46A0-8273-7F6A7365F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3</xdr:row>
      <xdr:rowOff>157341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CEBE4653-FE89-4A70-B2D7-E6FA2608E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4</xdr:row>
      <xdr:rowOff>1131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6B0C98DD-3EF8-4651-9C7C-095903E75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6670"/>
          <a:ext cx="1219200" cy="646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3</xdr:row>
      <xdr:rowOff>157341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E1E9778C-3BAF-4F04-A958-8DBC8E528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3</xdr:row>
      <xdr:rowOff>157341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C201C2AC-9C6E-40D5-92AB-6435D4D74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4</xdr:row>
      <xdr:rowOff>3036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7BE842B9-470A-467F-A4C8-E65805650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6670"/>
          <a:ext cx="1219200" cy="646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3</xdr:row>
      <xdr:rowOff>157341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882BD411-8B65-436E-8D41-24A137B8A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66675</xdr:rowOff>
    </xdr:from>
    <xdr:to>
      <xdr:col>3</xdr:col>
      <xdr:colOff>742950</xdr:colOff>
      <xdr:row>3</xdr:row>
      <xdr:rowOff>109716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37EB6F2D-007E-4750-AB75-E512BB7CA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666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609600</xdr:colOff>
      <xdr:row>3</xdr:row>
      <xdr:rowOff>128766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323687F3-199A-465B-AE92-862626E26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0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355997</xdr:colOff>
      <xdr:row>3</xdr:row>
      <xdr:rowOff>157341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6C38D01C-7434-4110-B10A-081815B85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3</xdr:row>
      <xdr:rowOff>157341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914F03F8-05E6-400D-BD42-DDAFA883E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3</xdr:row>
      <xdr:rowOff>157341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BEF30998-3434-4BC2-85BD-8AF26386F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104410</xdr:colOff>
      <xdr:row>11</xdr:row>
      <xdr:rowOff>52661</xdr:rowOff>
    </xdr:from>
    <xdr:to>
      <xdr:col>25</xdr:col>
      <xdr:colOff>253695</xdr:colOff>
      <xdr:row>21</xdr:row>
      <xdr:rowOff>16027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9629181-6962-8484-5DD8-2AF91CC4025C}"/>
            </a:ext>
          </a:extLst>
        </xdr:cNvPr>
        <xdr:cNvSpPr txBox="1"/>
      </xdr:nvSpPr>
      <xdr:spPr>
        <a:xfrm>
          <a:off x="13790644" y="1838599"/>
          <a:ext cx="1970942" cy="15707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Timing</a:t>
          </a:r>
        </a:p>
        <a:p>
          <a:r>
            <a:rPr lang="en-US" sz="1100"/>
            <a:t>1.</a:t>
          </a:r>
          <a:r>
            <a:rPr lang="en-US" sz="1100" baseline="0"/>
            <a:t> Chi phí thuê từng địa điểm</a:t>
          </a:r>
        </a:p>
        <a:p>
          <a:r>
            <a:rPr lang="en-US" sz="1100" baseline="0"/>
            <a:t>2. Chi phí thay thế vật tư máy</a:t>
          </a:r>
          <a:endParaRPr lang="en-US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3</xdr:row>
      <xdr:rowOff>157341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CB477954-56A3-4059-80D5-BA0922967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3</xdr:row>
      <xdr:rowOff>157341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EEF12A13-10E1-43DD-866E-153904BB1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3</xdr:row>
      <xdr:rowOff>157341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4907F472-E041-45DF-8202-B6DC40C11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3</xdr:row>
      <xdr:rowOff>157341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C67EC6AA-F9BE-4BC8-BFF9-8DF0106CE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238125</xdr:colOff>
      <xdr:row>10</xdr:row>
      <xdr:rowOff>28576</xdr:rowOff>
    </xdr:from>
    <xdr:to>
      <xdr:col>22</xdr:col>
      <xdr:colOff>438150</xdr:colOff>
      <xdr:row>14</xdr:row>
      <xdr:rowOff>47626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6A7E8A7-6C5F-4B15-B3AB-CAD98852F313}"/>
            </a:ext>
          </a:extLst>
        </xdr:cNvPr>
        <xdr:cNvSpPr txBox="1"/>
      </xdr:nvSpPr>
      <xdr:spPr>
        <a:xfrm>
          <a:off x="13963650" y="1666876"/>
          <a:ext cx="2200275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Tỷ</a:t>
          </a:r>
          <a:r>
            <a:rPr lang="en-US" sz="1100" baseline="0"/>
            <a:t> lệ % chi phí/doanh thu</a:t>
          </a:r>
        </a:p>
        <a:p>
          <a:r>
            <a:rPr lang="en-US" sz="1100" baseline="0"/>
            <a:t>Số ca/ngày</a:t>
          </a:r>
        </a:p>
        <a:p>
          <a:endParaRPr lang="en-US" sz="1100" baseline="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3</xdr:row>
      <xdr:rowOff>157341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454BC66A-A9D4-4475-98EE-5C0C2CB91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3</xdr:row>
      <xdr:rowOff>157341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55AC36A0-AC0C-4425-8809-BEF43D8C8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3</xdr:row>
      <xdr:rowOff>157341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376A004D-AEFB-468C-93A2-26AB988C1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3</xdr:row>
      <xdr:rowOff>157341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52F4C94E-F565-4D5B-BE54-8DC51E2CF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4</xdr:row>
      <xdr:rowOff>1131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F4AA1FBC-46C8-4D88-A840-D877A28A9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202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3</xdr:row>
      <xdr:rowOff>157341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33DB135C-8E06-45C8-AAF9-CC1B923C9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3</xdr:row>
      <xdr:rowOff>157341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1372C556-CDD8-4657-A6BD-D10CB66DF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3</xdr:row>
      <xdr:rowOff>157341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80718191-E717-4F43-A30B-865554B34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3</xdr:row>
      <xdr:rowOff>157341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07D2292A-8E1A-4E84-A6A7-4E01353A2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123825</xdr:colOff>
      <xdr:row>0</xdr:row>
      <xdr:rowOff>9525</xdr:rowOff>
    </xdr:from>
    <xdr:to>
      <xdr:col>21</xdr:col>
      <xdr:colOff>485775</xdr:colOff>
      <xdr:row>11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F425DA-B45E-1C79-2100-AA74BF128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20925" y="9525"/>
          <a:ext cx="7019925" cy="226695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4</xdr:col>
      <xdr:colOff>457200</xdr:colOff>
      <xdr:row>3</xdr:row>
      <xdr:rowOff>157341</xdr:rowOff>
    </xdr:to>
    <xdr:pic>
      <xdr:nvPicPr>
        <xdr:cNvPr id="2" name="Picture 1" descr="LinkRad – Hệ Thống Chẩn Đoán Hình Ảnh Hàng Đầu Việt Nam">
          <a:extLst>
            <a:ext uri="{FF2B5EF4-FFF2-40B4-BE49-F238E27FC236}">
              <a16:creationId xmlns:a16="http://schemas.microsoft.com/office/drawing/2014/main" id="{6E46D853-9486-4C9A-911E-7175AA992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1209675" cy="61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h Thu Dang" id="{6E3AB438-BF1B-440B-BD7A-C55031F4CF87}" userId="49170b8cefd4fb91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F6BB17-2E61-4AFA-A489-0C7B82BA4F73}" name="Table1" displayName="Table1" ref="B7:D47" totalsRowShown="0" headerRowDxfId="4">
  <tableColumns count="3">
    <tableColumn id="1" xr3:uid="{085CE906-C76A-4F65-A743-7020D5696202}" name="STT" dataDxfId="3">
      <calculatedColumnFormula>B7+1</calculatedColumnFormula>
    </tableColumn>
    <tableColumn id="2" xr3:uid="{CFB5CABA-3A95-463E-A986-A9A2C29968D6}" name="Nội dung báo cáo" dataDxfId="2"/>
    <tableColumn id="3" xr3:uid="{CC7C0514-89BE-4E8D-8347-670A4074D8B6}" name="Link" dataDxfId="1" dataCellStyle="Hyperlin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7" dT="2026-02-23T09:34:13.92" personId="{6E3AB438-BF1B-440B-BD7A-C55031F4CF87}" id="{B10CE46D-05E0-4901-BBB8-D28B34806210}">
    <text>Găng tay, cồn sát khuẩn, bao đựng phim, phim khô</text>
  </threadedComment>
  <threadedComment ref="E58" dT="2026-02-23T09:35:44.08" personId="{6E3AB438-BF1B-440B-BD7A-C55031F4CF87}" id="{2FB192E7-89B6-4210-93DA-6E3F78409E09}">
    <text>Chi phí đọc kết quả và chi phí đường truyền</text>
  </threadedComment>
  <threadedComment ref="E66" dT="2026-02-23T09:37:45.58" personId="{6E3AB438-BF1B-440B-BD7A-C55031F4CF87}" id="{9A896647-9F46-4144-B73D-84536B723BC9}">
    <text>Lương, lương dự chi T13, BHYT, BHXH, BHTN, thuê nhân viên vệ sinh, thuê bảo vệ, lương của bác sĩ và KTV đứng bằng.</text>
  </threadedComment>
  <threadedComment ref="E67" dT="2026-02-23T09:40:54.20" personId="{6E3AB438-BF1B-440B-BD7A-C55031F4CF87}" id="{8B7045FE-5257-4A5C-B0D3-FED075227226}">
    <text>Năm 2025 dòng này bao gồm cả điện nước.</text>
  </threadedComment>
  <threadedComment ref="E69" dT="2026-02-23T09:54:16.20" personId="{6E3AB438-BF1B-440B-BD7A-C55031F4CF87}" id="{DCBFF6FE-8222-4ECB-81D0-0714E40613F5}">
    <text>Chi phí tháng nào cũng phát sinh như: Điện, nước, xử lý chất thải, internet, văn phòng phẩm, bảo hiểm tài sản/cháy nổ/rủi ro bên thứ 3...</text>
  </threadedComment>
  <threadedComment ref="E81" dT="2026-02-23T15:00:55.69" personId="{6E3AB438-BF1B-440B-BD7A-C55031F4CF87}" id="{24B61BB8-7BEE-4ECF-9049-07B21139D837}">
    <text>Tài sản cố định khác không phải máy móc chẩn đoán hình ảnh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3" dT="2025-12-15T08:40:15.06" personId="{6E3AB438-BF1B-440B-BD7A-C55031F4CF87}" id="{42909E1A-92E6-471D-BE01-DEFF70B2AC18}">
    <text>Anuual maintenance contract- AMC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1" dT="2025-12-15T23:09:02.57" personId="{6E3AB438-BF1B-440B-BD7A-C55031F4CF87}" id="{392F7228-3A48-4372-9430-D769FC27DE07}">
    <text>Không kể lãi vay phải trả, thuế thu nhập doanh nghiệp phải nộp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45" dT="2026-02-03T03:27:39.79" personId="{6E3AB438-BF1B-440B-BD7A-C55031F4CF87}" id="{8ABDD9C3-E12C-4FD5-8DA1-599753B36D7A}">
    <text>Thêm bảo trì và thay thế linh kiên:</text>
  </threadedComment>
  <threadedComment ref="H53" dT="2026-01-14T04:55:23.19" personId="{6E3AB438-BF1B-440B-BD7A-C55031F4CF87}" id="{97AAE33A-4A52-4A8D-A5ED-3B019554FA44}">
    <text xml:space="preserve">20 triệu phân bổ công cụ dụng cụ </text>
  </threadedComment>
  <threadedComment ref="K58" dT="2026-01-15T05:07:08.38" personId="{6E3AB438-BF1B-440B-BD7A-C55031F4CF87}" id="{F7296631-DF8B-454B-BC9E-3FA6255E32DF}">
    <text xml:space="preserve">Bao gồm tiền thuốc. Yết kiêu không tách riêng thuốc. 
200k có tiền thuốc.
80k không có tiền thuốc
</text>
  </threadedComment>
  <threadedComment ref="I59" dT="2026-01-15T09:45:21.49" personId="{6E3AB438-BF1B-440B-BD7A-C55031F4CF87}" id="{532F494E-61E1-4D71-9FD1-F41AAA326081}">
    <text>Tháng 8/2025 TN mới có CT. Giả định chi phí vật tư tiêu hao cho CT giống Thanh Hóa</text>
  </threadedComment>
  <threadedComment ref="K61" dT="2026-01-15T11:55:55.78" personId="{6E3AB438-BF1B-440B-BD7A-C55031F4CF87}" id="{C4A096CF-C7DE-4BDD-BF07-F610116F3359}">
    <text>Vật tư tiêu hao cho máy đi mượn: 20353,2567901235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9.xml"/><Relationship Id="rId4" Type="http://schemas.microsoft.com/office/2017/10/relationships/threadedComment" Target="../threadedComments/threadedComment2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0.xml"/><Relationship Id="rId4" Type="http://schemas.microsoft.com/office/2017/10/relationships/threadedComment" Target="../threadedComments/threadedComment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8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6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3A13-5681-46AD-8277-F3DB02E76956}">
  <dimension ref="A1"/>
  <sheetViews>
    <sheetView workbookViewId="0">
      <selection activeCell="P22" sqref="P22"/>
    </sheetView>
  </sheetViews>
  <sheetFormatPr defaultColWidth="9.1328125" defaultRowHeight="14.25" x14ac:dyDescent="0.45"/>
  <cols>
    <col min="1" max="16384" width="9.132812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4FDC-6C38-4CBC-BCB0-A751AB0A06FF}">
  <dimension ref="B5:E47"/>
  <sheetViews>
    <sheetView topLeftCell="A46" workbookViewId="0">
      <selection activeCell="D26" sqref="D26"/>
    </sheetView>
  </sheetViews>
  <sheetFormatPr defaultColWidth="9.1328125" defaultRowHeight="14.25" x14ac:dyDescent="0.45"/>
  <cols>
    <col min="1" max="1" width="5.86328125" style="1" customWidth="1"/>
    <col min="2" max="2" width="7.1328125" style="1" customWidth="1"/>
    <col min="3" max="3" width="98.1328125" style="1" customWidth="1"/>
    <col min="4" max="4" width="18.3984375" style="433" customWidth="1"/>
    <col min="5" max="16384" width="9.1328125" style="1"/>
  </cols>
  <sheetData>
    <row r="5" spans="2:5" x14ac:dyDescent="0.45">
      <c r="B5" s="27" t="s">
        <v>565</v>
      </c>
    </row>
    <row r="6" spans="2:5" x14ac:dyDescent="0.45">
      <c r="B6" s="27"/>
    </row>
    <row r="7" spans="2:5" x14ac:dyDescent="0.45">
      <c r="B7" s="440" t="s">
        <v>534</v>
      </c>
      <c r="C7" s="441" t="s">
        <v>541</v>
      </c>
      <c r="D7" s="441" t="s">
        <v>535</v>
      </c>
    </row>
    <row r="8" spans="2:5" x14ac:dyDescent="0.45">
      <c r="B8" s="438">
        <v>1</v>
      </c>
      <c r="C8" s="433" t="s">
        <v>568</v>
      </c>
      <c r="D8" s="436" t="s">
        <v>581</v>
      </c>
    </row>
    <row r="9" spans="2:5" x14ac:dyDescent="0.45">
      <c r="B9" s="439">
        <f>B8+1</f>
        <v>2</v>
      </c>
      <c r="C9" s="435" t="s">
        <v>536</v>
      </c>
      <c r="D9" s="436" t="s">
        <v>579</v>
      </c>
      <c r="E9" s="1" t="s">
        <v>649</v>
      </c>
    </row>
    <row r="10" spans="2:5" x14ac:dyDescent="0.45">
      <c r="B10" s="439">
        <f t="shared" ref="B10:B26" si="0">B9+1</f>
        <v>3</v>
      </c>
      <c r="C10" s="435" t="s">
        <v>537</v>
      </c>
      <c r="D10" s="436" t="s">
        <v>580</v>
      </c>
    </row>
    <row r="11" spans="2:5" x14ac:dyDescent="0.45">
      <c r="B11" s="439">
        <f t="shared" si="0"/>
        <v>4</v>
      </c>
      <c r="C11" s="435" t="s">
        <v>538</v>
      </c>
      <c r="D11" s="436" t="s">
        <v>611</v>
      </c>
    </row>
    <row r="12" spans="2:5" x14ac:dyDescent="0.45">
      <c r="B12" s="439">
        <f t="shared" si="0"/>
        <v>5</v>
      </c>
      <c r="C12" s="433" t="s">
        <v>539</v>
      </c>
      <c r="D12" s="437" t="s">
        <v>578</v>
      </c>
    </row>
    <row r="13" spans="2:5" x14ac:dyDescent="0.45">
      <c r="B13" s="439">
        <f t="shared" si="0"/>
        <v>6</v>
      </c>
      <c r="C13" s="433" t="s">
        <v>540</v>
      </c>
      <c r="D13" s="437" t="s">
        <v>582</v>
      </c>
    </row>
    <row r="14" spans="2:5" x14ac:dyDescent="0.45">
      <c r="B14" s="439">
        <f t="shared" si="0"/>
        <v>7</v>
      </c>
      <c r="C14" s="433" t="s">
        <v>542</v>
      </c>
      <c r="D14" s="437" t="s">
        <v>583</v>
      </c>
    </row>
    <row r="15" spans="2:5" x14ac:dyDescent="0.45">
      <c r="B15" s="439">
        <f t="shared" si="0"/>
        <v>8</v>
      </c>
      <c r="C15" s="433" t="s">
        <v>543</v>
      </c>
      <c r="D15" s="437" t="s">
        <v>584</v>
      </c>
    </row>
    <row r="16" spans="2:5" x14ac:dyDescent="0.45">
      <c r="B16" s="439">
        <f t="shared" si="0"/>
        <v>9</v>
      </c>
      <c r="C16" s="433" t="s">
        <v>544</v>
      </c>
      <c r="D16" s="437" t="s">
        <v>585</v>
      </c>
    </row>
    <row r="17" spans="2:4" x14ac:dyDescent="0.45">
      <c r="B17" s="439">
        <f t="shared" si="0"/>
        <v>10</v>
      </c>
      <c r="C17" s="433" t="s">
        <v>545</v>
      </c>
      <c r="D17" s="437" t="s">
        <v>587</v>
      </c>
    </row>
    <row r="18" spans="2:4" x14ac:dyDescent="0.45">
      <c r="B18" s="439">
        <f t="shared" si="0"/>
        <v>11</v>
      </c>
      <c r="C18" s="433" t="s">
        <v>546</v>
      </c>
      <c r="D18" s="437" t="s">
        <v>588</v>
      </c>
    </row>
    <row r="19" spans="2:4" x14ac:dyDescent="0.45">
      <c r="B19" s="439">
        <f t="shared" si="0"/>
        <v>12</v>
      </c>
      <c r="C19" s="433" t="s">
        <v>552</v>
      </c>
      <c r="D19" s="437" t="s">
        <v>589</v>
      </c>
    </row>
    <row r="20" spans="2:4" x14ac:dyDescent="0.45">
      <c r="B20" s="439">
        <f t="shared" si="0"/>
        <v>13</v>
      </c>
      <c r="C20" s="433" t="s">
        <v>553</v>
      </c>
      <c r="D20" s="436" t="s">
        <v>590</v>
      </c>
    </row>
    <row r="21" spans="2:4" x14ac:dyDescent="0.45">
      <c r="B21" s="439">
        <f t="shared" si="0"/>
        <v>14</v>
      </c>
      <c r="C21" s="433" t="s">
        <v>550</v>
      </c>
      <c r="D21" s="436" t="s">
        <v>591</v>
      </c>
    </row>
    <row r="22" spans="2:4" x14ac:dyDescent="0.45">
      <c r="B22" s="439">
        <f t="shared" si="0"/>
        <v>15</v>
      </c>
      <c r="C22" s="433" t="s">
        <v>566</v>
      </c>
      <c r="D22" s="436" t="s">
        <v>592</v>
      </c>
    </row>
    <row r="23" spans="2:4" x14ac:dyDescent="0.45">
      <c r="B23" s="439">
        <f t="shared" si="0"/>
        <v>16</v>
      </c>
      <c r="C23" s="433" t="s">
        <v>569</v>
      </c>
    </row>
    <row r="24" spans="2:4" x14ac:dyDescent="0.45">
      <c r="B24" s="439">
        <f t="shared" si="0"/>
        <v>17</v>
      </c>
      <c r="C24" s="433" t="s">
        <v>551</v>
      </c>
      <c r="D24" s="437" t="s">
        <v>329</v>
      </c>
    </row>
    <row r="25" spans="2:4" x14ac:dyDescent="0.45">
      <c r="B25" s="439">
        <f t="shared" si="0"/>
        <v>18</v>
      </c>
      <c r="C25" s="435" t="s">
        <v>548</v>
      </c>
      <c r="D25" s="436" t="s">
        <v>593</v>
      </c>
    </row>
    <row r="26" spans="2:4" x14ac:dyDescent="0.45">
      <c r="B26" s="439">
        <f t="shared" si="0"/>
        <v>19</v>
      </c>
      <c r="C26" s="435" t="s">
        <v>549</v>
      </c>
      <c r="D26" s="436" t="s">
        <v>594</v>
      </c>
    </row>
    <row r="27" spans="2:4" x14ac:dyDescent="0.45">
      <c r="B27" s="439">
        <f t="shared" ref="B27:B40" si="1">B26+1</f>
        <v>20</v>
      </c>
      <c r="C27" s="435" t="s">
        <v>586</v>
      </c>
    </row>
    <row r="28" spans="2:4" x14ac:dyDescent="0.45">
      <c r="B28" s="439">
        <f t="shared" si="1"/>
        <v>21</v>
      </c>
      <c r="C28" s="433" t="s">
        <v>554</v>
      </c>
    </row>
    <row r="29" spans="2:4" x14ac:dyDescent="0.45">
      <c r="B29" s="439">
        <f t="shared" si="1"/>
        <v>22</v>
      </c>
      <c r="C29" s="433" t="s">
        <v>555</v>
      </c>
    </row>
    <row r="30" spans="2:4" x14ac:dyDescent="0.45">
      <c r="B30" s="439">
        <f t="shared" si="1"/>
        <v>23</v>
      </c>
      <c r="C30" s="433" t="s">
        <v>556</v>
      </c>
    </row>
    <row r="31" spans="2:4" x14ac:dyDescent="0.45">
      <c r="B31" s="439">
        <f t="shared" si="1"/>
        <v>24</v>
      </c>
      <c r="C31" s="433" t="s">
        <v>557</v>
      </c>
      <c r="D31" s="437" t="s">
        <v>595</v>
      </c>
    </row>
    <row r="32" spans="2:4" x14ac:dyDescent="0.45">
      <c r="B32" s="439">
        <f t="shared" si="1"/>
        <v>25</v>
      </c>
      <c r="C32" s="433" t="s">
        <v>558</v>
      </c>
      <c r="D32" s="437" t="s">
        <v>596</v>
      </c>
    </row>
    <row r="33" spans="2:4" x14ac:dyDescent="0.45">
      <c r="B33" s="439">
        <f t="shared" si="1"/>
        <v>26</v>
      </c>
      <c r="C33" s="433" t="s">
        <v>559</v>
      </c>
      <c r="D33" s="436" t="s">
        <v>597</v>
      </c>
    </row>
    <row r="34" spans="2:4" x14ac:dyDescent="0.45">
      <c r="B34" s="439">
        <f t="shared" si="1"/>
        <v>27</v>
      </c>
      <c r="C34" s="433" t="s">
        <v>560</v>
      </c>
      <c r="D34" s="436" t="s">
        <v>598</v>
      </c>
    </row>
    <row r="35" spans="2:4" x14ac:dyDescent="0.45">
      <c r="B35" s="439">
        <f t="shared" si="1"/>
        <v>28</v>
      </c>
      <c r="C35" s="433" t="s">
        <v>561</v>
      </c>
      <c r="D35" s="437" t="s">
        <v>589</v>
      </c>
    </row>
    <row r="36" spans="2:4" x14ac:dyDescent="0.45">
      <c r="B36" s="439">
        <f t="shared" si="1"/>
        <v>29</v>
      </c>
      <c r="C36" s="433" t="s">
        <v>562</v>
      </c>
      <c r="D36" s="436" t="s">
        <v>599</v>
      </c>
    </row>
    <row r="37" spans="2:4" x14ac:dyDescent="0.45">
      <c r="B37" s="439">
        <f t="shared" si="1"/>
        <v>30</v>
      </c>
      <c r="C37" s="433" t="s">
        <v>563</v>
      </c>
      <c r="D37" s="436" t="s">
        <v>591</v>
      </c>
    </row>
    <row r="38" spans="2:4" x14ac:dyDescent="0.45">
      <c r="B38" s="439">
        <f t="shared" si="1"/>
        <v>31</v>
      </c>
      <c r="C38" s="433" t="s">
        <v>567</v>
      </c>
      <c r="D38" s="436" t="s">
        <v>600</v>
      </c>
    </row>
    <row r="39" spans="2:4" x14ac:dyDescent="0.45">
      <c r="B39" s="439">
        <f t="shared" si="1"/>
        <v>32</v>
      </c>
      <c r="C39" s="433" t="s">
        <v>570</v>
      </c>
      <c r="D39" s="436" t="s">
        <v>601</v>
      </c>
    </row>
    <row r="40" spans="2:4" x14ac:dyDescent="0.45">
      <c r="B40" s="439">
        <f t="shared" si="1"/>
        <v>33</v>
      </c>
      <c r="C40" s="433" t="s">
        <v>564</v>
      </c>
      <c r="D40" s="436" t="s">
        <v>602</v>
      </c>
    </row>
    <row r="41" spans="2:4" x14ac:dyDescent="0.45">
      <c r="B41" s="439">
        <f t="shared" ref="B41:B47" si="2">B40+1</f>
        <v>34</v>
      </c>
      <c r="C41" s="433" t="s">
        <v>571</v>
      </c>
      <c r="D41" s="437" t="s">
        <v>603</v>
      </c>
    </row>
    <row r="42" spans="2:4" x14ac:dyDescent="0.45">
      <c r="B42" s="439">
        <f t="shared" si="2"/>
        <v>35</v>
      </c>
      <c r="C42" s="433" t="s">
        <v>572</v>
      </c>
      <c r="D42" s="437" t="s">
        <v>604</v>
      </c>
    </row>
    <row r="43" spans="2:4" x14ac:dyDescent="0.45">
      <c r="B43" s="439">
        <f t="shared" si="2"/>
        <v>36</v>
      </c>
      <c r="C43" s="433" t="s">
        <v>573</v>
      </c>
      <c r="D43" s="436" t="s">
        <v>605</v>
      </c>
    </row>
    <row r="44" spans="2:4" x14ac:dyDescent="0.45">
      <c r="B44" s="439">
        <f t="shared" si="2"/>
        <v>37</v>
      </c>
      <c r="C44" s="433" t="s">
        <v>574</v>
      </c>
      <c r="D44" s="437" t="s">
        <v>606</v>
      </c>
    </row>
    <row r="45" spans="2:4" x14ac:dyDescent="0.45">
      <c r="B45" s="439">
        <f t="shared" si="2"/>
        <v>38</v>
      </c>
      <c r="C45" s="433" t="s">
        <v>575</v>
      </c>
      <c r="D45" s="437" t="s">
        <v>607</v>
      </c>
    </row>
    <row r="46" spans="2:4" x14ac:dyDescent="0.45">
      <c r="B46" s="439">
        <f t="shared" si="2"/>
        <v>39</v>
      </c>
      <c r="C46" s="433" t="s">
        <v>576</v>
      </c>
      <c r="D46" s="436" t="s">
        <v>608</v>
      </c>
    </row>
    <row r="47" spans="2:4" x14ac:dyDescent="0.45">
      <c r="B47" s="439">
        <f t="shared" si="2"/>
        <v>40</v>
      </c>
      <c r="C47" s="433" t="s">
        <v>577</v>
      </c>
      <c r="D47" s="436" t="s">
        <v>609</v>
      </c>
    </row>
  </sheetData>
  <hyperlinks>
    <hyperlink ref="D8" location="'Site list'!A1" display="'Site list'!A1" xr:uid="{04980402-9B03-40AF-9DCA-5EE0810EB3A9}"/>
    <hyperlink ref="D9" location="'Annual_PL conso'!A1" display="'Annual_PL conso'!A1" xr:uid="{889A0CBC-BE97-4BA4-A0F1-7FF554123921}"/>
    <hyperlink ref="D10" location="'Monthly_PL conso'!A1" display="'Monthly_PL conso'!A1" xr:uid="{9DECAD57-4FB7-4062-AF4C-D2810B09CEB1}"/>
    <hyperlink ref="D12" location="HaiDuong!A1" display="HaiDuong!A1" xr:uid="{765846EE-FAC4-44A7-9E58-8D4CA8597B1D}"/>
    <hyperlink ref="D13" location="CaMau!A1" display="CaMau!A1" xr:uid="{0BD84C0D-BA68-41F7-906B-F7B65A34F310}"/>
    <hyperlink ref="D14" location="ThanhHoa!A1" display="ThanhHoa!A1" xr:uid="{EFFC1335-9391-44B6-853D-88AEA64B71E0}"/>
    <hyperlink ref="D15" location="ThaiNguyen!A1" display="ThaiNguyen!A1" xr:uid="{91D074D6-D749-4AC7-AFA3-23D0C9A8AB3B}"/>
    <hyperlink ref="D16" location="ThaiBinh!A1" display="ThaiBinh!A1" xr:uid="{D3F7A8DF-647B-4CF8-98B4-EF49C4D04195}"/>
    <hyperlink ref="D17" location="YetKieu!A1" display="YetKieu!A1" xr:uid="{780ABFCC-2BFF-4E15-9001-1993DC4892A0}"/>
    <hyperlink ref="D18" location="NhaTrang!A1" display="NhaTrang!A1" xr:uid="{12E0AEFC-519B-4372-8B68-2DD102CBBCD8}"/>
    <hyperlink ref="D19" location="ThachThat!A1" display="ThachThat!A1" xr:uid="{B10BAD51-C0BA-4D42-BEAB-D9CEAC2CB867}"/>
    <hyperlink ref="D20" location="'SocSon-1'!A1" display="'SocSon-1'!A1" xr:uid="{AEB94A16-4A98-4427-971F-6FE1FFD9C120}"/>
    <hyperlink ref="D21" location="'Site liên kết'!A1" display="'Site liên kết'!A1" xr:uid="{BC34ECD5-A07C-482A-9E8D-70007EDA5044}"/>
    <hyperlink ref="D22" location="'HM-2'!A1" display="'HM-2'!A1" xr:uid="{328E1BA3-633C-4B3A-9070-9782C61B683F}"/>
    <hyperlink ref="D24" location="HO!A1" display="HO!A1" xr:uid="{AAD7ED9A-588C-46DB-BED9-7D48B881ACAA}"/>
    <hyperlink ref="D25" location="'Điểm hòa vốn'!A1" display="'Điểm hòa vốn'!A1" xr:uid="{1F0F65BF-5DB4-4BA9-9A1B-C80F4DCCDC7A}"/>
    <hyperlink ref="D26" location="'CF forecast'!A1" display="'CF forecast'!A1" xr:uid="{5440FEE0-79F5-439C-A053-15D6F340C668}"/>
    <hyperlink ref="D31" location="ThaiNguyen2!A1" display="ThaiNguyen2!A1" xr:uid="{B4237B45-CF9F-4A02-9230-DB4844E94764}"/>
    <hyperlink ref="D32" location="ThaiBinh2!A1" display="ThaiBinh2!A1" xr:uid="{1E613E2A-EEA0-44EB-AA6C-91AB1A51B94B}"/>
    <hyperlink ref="D33" location="'YetKieu-2'!A1" display="'YetKieu-2'!A1" xr:uid="{6984E994-2327-4645-9DA3-360FE8CE6A26}"/>
    <hyperlink ref="D34" location="'NhaTrang-2'!A1" display="'NhaTrang-2'!A1" xr:uid="{2B1FF5BA-471E-4D12-8097-84B5DCBF0ED9}"/>
    <hyperlink ref="D36" location="SocSon!A1" display="SocSon!A1" xr:uid="{33EDA1BE-1151-4A4A-8A84-5314FF2B0CE8}"/>
    <hyperlink ref="D37" location="'Site liên kết'!A1" display="'Site liên kết'!A1" xr:uid="{91045ED2-2821-4E0D-998F-010333B378D2}"/>
    <hyperlink ref="D35" location="ThachThat!A1" display="ThachThat!A1" xr:uid="{7CCCC7CF-AF32-4C17-9F5B-28A902C098AE}"/>
    <hyperlink ref="D38" location="'HM-3'!A1" display="'HM-3'!A1" xr:uid="{45FA01EA-F204-4A20-BDCD-D0FCDEB261D2}"/>
    <hyperlink ref="D39" location="'Hà Tĩnh'!A1" display="'Hà Tĩnh'!A1" xr:uid="{1FCEF50D-5111-42E0-BC78-EC8AF34E4693}"/>
    <hyperlink ref="D40" location="'HO-2'!A1" display="'HO-2'!A1" xr:uid="{81DB7924-B713-4E74-AB21-117D6498DA47}"/>
    <hyperlink ref="D41" location="Maintenance!A1" display="Maintenance!A1" xr:uid="{AE3BB096-6466-407E-B4F7-01FE843C4A0F}"/>
    <hyperlink ref="D42" location="VTB_CaMau!A1" display="VTB_CaMau!A1" xr:uid="{53E07A12-A94E-414D-8E13-15A6EDA578C8}"/>
    <hyperlink ref="D43" location="'BIDV-THH'!A1" display="'BIDV-THH'!A1" xr:uid="{9C330ED7-2A20-4AA1-9DF0-46FF0018FE7F}"/>
    <hyperlink ref="D44" location="VTB_TNN!A1" display="VTB_TNN!A1" xr:uid="{B4A234CA-D9B3-4783-B305-5212F1408409}"/>
    <hyperlink ref="D45" location="VTB_TBH!A1" display="VTB_TBH!A1" xr:uid="{D13F26DA-7A08-404C-884F-86BB017FC400}"/>
    <hyperlink ref="D46" location="'VTB_YẾT KIÊU'!A1" display="'VTB_YẾT KIÊU'!A1" xr:uid="{8E5A2AA1-8A86-442E-BEBB-5E15E67DD461}"/>
    <hyperlink ref="D47" location="'VTB_Nha trang.'!A1" display="'VTB_Nha trang.'!A1" xr:uid="{9DEE994E-9832-4FB4-B689-27111191E70A}"/>
    <hyperlink ref="D11" location="'Conso BS'!A1" display="'Conso BS'!A1" xr:uid="{24656814-2F0F-4D57-BF1F-92A210FE6AEF}"/>
  </hyperlink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DDE9-C7E5-4558-8073-BA2FAF96CB9D}">
  <sheetPr>
    <tabColor rgb="FF194BCF"/>
  </sheetPr>
  <dimension ref="B3:X93"/>
  <sheetViews>
    <sheetView zoomScaleNormal="100" workbookViewId="0">
      <pane xSplit="5" ySplit="9" topLeftCell="F34" activePane="bottomRight" state="frozen"/>
      <selection pane="topRight" activeCell="E1" sqref="E1"/>
      <selection pane="bottomLeft" activeCell="A4" sqref="A4"/>
      <selection pane="bottomRight" activeCell="Q56" sqref="Q56"/>
    </sheetView>
  </sheetViews>
  <sheetFormatPr defaultColWidth="9.1328125" defaultRowHeight="12.75" outlineLevelCol="1" x14ac:dyDescent="0.35"/>
  <cols>
    <col min="1" max="3" width="3.73046875" style="2" customWidth="1"/>
    <col min="4" max="4" width="3.86328125" style="2" customWidth="1"/>
    <col min="5" max="5" width="34.265625" style="2" customWidth="1"/>
    <col min="6" max="6" width="12" style="2" customWidth="1" outlineLevel="1"/>
    <col min="7" max="7" width="10.86328125" style="2" customWidth="1" outlineLevel="1"/>
    <col min="8" max="10" width="10.59765625" style="2" customWidth="1" outlineLevel="1"/>
    <col min="11" max="14" width="10.86328125" style="2" bestFit="1" customWidth="1" outlineLevel="1"/>
    <col min="15" max="15" width="8" style="2" customWidth="1" outlineLevel="1"/>
    <col min="16" max="16" width="9.59765625" style="2" customWidth="1" outlineLevel="1"/>
    <col min="17" max="17" width="10.73046875" style="2" customWidth="1" outlineLevel="1"/>
    <col min="18" max="18" width="7" style="2" customWidth="1"/>
    <col min="19" max="19" width="10" style="2" customWidth="1"/>
    <col min="20" max="22" width="9.1328125" style="2"/>
    <col min="23" max="23" width="11" style="2" customWidth="1"/>
    <col min="24" max="24" width="9.1328125" style="2" customWidth="1"/>
    <col min="25" max="16384" width="9.1328125" style="2"/>
  </cols>
  <sheetData>
    <row r="3" spans="2:24" x14ac:dyDescent="0.35">
      <c r="H3" s="60"/>
    </row>
    <row r="4" spans="2:24" x14ac:dyDescent="0.35">
      <c r="B4" s="2" t="s">
        <v>25</v>
      </c>
    </row>
    <row r="6" spans="2:24" x14ac:dyDescent="0.35">
      <c r="B6" s="27" t="s">
        <v>104</v>
      </c>
    </row>
    <row r="7" spans="2:24" s="6" customFormat="1" x14ac:dyDescent="0.35"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</row>
    <row r="8" spans="2:24" x14ac:dyDescent="0.35">
      <c r="B8" s="32" t="s">
        <v>55</v>
      </c>
      <c r="F8" s="32"/>
      <c r="Q8" s="381" t="s">
        <v>613</v>
      </c>
      <c r="R8" s="381"/>
      <c r="S8" s="381" t="s">
        <v>614</v>
      </c>
      <c r="T8" s="380"/>
    </row>
    <row r="9" spans="2:24" ht="16.149999999999999" customHeight="1" x14ac:dyDescent="0.35">
      <c r="B9" s="45" t="s">
        <v>101</v>
      </c>
      <c r="F9" s="61" t="s">
        <v>147</v>
      </c>
      <c r="G9" s="61" t="s">
        <v>150</v>
      </c>
      <c r="H9" s="61" t="s">
        <v>146</v>
      </c>
      <c r="I9" s="61" t="s">
        <v>509</v>
      </c>
      <c r="J9" s="61" t="s">
        <v>149</v>
      </c>
      <c r="K9" s="61" t="s">
        <v>151</v>
      </c>
      <c r="L9" s="61" t="s">
        <v>153</v>
      </c>
      <c r="M9" s="61" t="s">
        <v>510</v>
      </c>
      <c r="N9" s="61" t="s">
        <v>155</v>
      </c>
      <c r="O9" s="61" t="s">
        <v>329</v>
      </c>
      <c r="P9" s="61" t="s">
        <v>657</v>
      </c>
      <c r="Q9" s="114" t="s">
        <v>101</v>
      </c>
      <c r="R9" s="114" t="s">
        <v>508</v>
      </c>
      <c r="S9" s="113" t="s">
        <v>101</v>
      </c>
      <c r="T9" s="113" t="s">
        <v>507</v>
      </c>
      <c r="W9" s="6" t="s">
        <v>425</v>
      </c>
      <c r="X9" s="6" t="s">
        <v>521</v>
      </c>
    </row>
    <row r="10" spans="2:24" ht="3" customHeight="1" x14ac:dyDescent="0.35">
      <c r="B10" s="45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32"/>
      <c r="R10" s="73"/>
    </row>
    <row r="11" spans="2:24" x14ac:dyDescent="0.35">
      <c r="B11" s="27" t="s">
        <v>11</v>
      </c>
      <c r="D11" s="6"/>
      <c r="V11" s="61" t="s">
        <v>147</v>
      </c>
      <c r="W11" s="84">
        <v>11146.22</v>
      </c>
      <c r="X11" s="57">
        <f>W11/12</f>
        <v>928.85166666666657</v>
      </c>
    </row>
    <row r="12" spans="2:24" x14ac:dyDescent="0.35">
      <c r="C12" s="6" t="s">
        <v>12</v>
      </c>
      <c r="F12" s="84"/>
      <c r="V12" s="61" t="s">
        <v>150</v>
      </c>
      <c r="W12" s="84">
        <v>5416.5199999999995</v>
      </c>
      <c r="X12" s="57">
        <f t="shared" ref="X12:X19" si="0">W12/12</f>
        <v>451.37666666666661</v>
      </c>
    </row>
    <row r="13" spans="2:24" x14ac:dyDescent="0.35">
      <c r="D13" s="2" t="s">
        <v>6</v>
      </c>
      <c r="F13" s="62">
        <f>HaiDuong!R42</f>
        <v>8990.2999999999993</v>
      </c>
      <c r="G13" s="62">
        <f>CaMau!R12</f>
        <v>5194.4199999999992</v>
      </c>
      <c r="H13" s="62">
        <f>ThanhHoa!R12</f>
        <v>3505.3647999999998</v>
      </c>
      <c r="I13" s="62">
        <f>ThaiNguyen!R12</f>
        <v>3278.95</v>
      </c>
      <c r="J13" s="62">
        <f>ThaiBinh!R12</f>
        <v>1940.2900000000002</v>
      </c>
      <c r="K13" s="62">
        <f>YetKieu!R12</f>
        <v>5743.6500000000005</v>
      </c>
      <c r="L13" s="62">
        <f>NhaTrang!R12</f>
        <v>5106.3110000000006</v>
      </c>
      <c r="M13" s="62">
        <v>0</v>
      </c>
      <c r="N13" s="62">
        <f>'SocSon-1'!R22</f>
        <v>210.99</v>
      </c>
      <c r="O13" s="62"/>
      <c r="P13" s="62"/>
      <c r="Q13" s="62">
        <f>SUM(F13:P13)</f>
        <v>33970.275799999996</v>
      </c>
      <c r="R13" s="382">
        <f t="shared" ref="R13:R33" si="1">IFERROR(Q13/Q$20,"")</f>
        <v>0.74773972848983061</v>
      </c>
      <c r="V13" s="61" t="s">
        <v>146</v>
      </c>
      <c r="W13" s="84">
        <v>10912.0905</v>
      </c>
      <c r="X13" s="57">
        <f t="shared" si="0"/>
        <v>909.34087499999998</v>
      </c>
    </row>
    <row r="14" spans="2:24" x14ac:dyDescent="0.35">
      <c r="D14" s="2" t="s">
        <v>8</v>
      </c>
      <c r="E14" s="338"/>
      <c r="F14" s="62">
        <f>HaiDuong!R44</f>
        <v>1643.3</v>
      </c>
      <c r="G14" s="62">
        <f>CaMau!R14</f>
        <v>0</v>
      </c>
      <c r="H14" s="62">
        <f>ThanhHoa!R14</f>
        <v>7406.7257000000009</v>
      </c>
      <c r="I14" s="62">
        <f>ThaiNguyen!R14</f>
        <v>35</v>
      </c>
      <c r="J14" s="62">
        <f>ThaiBinh!R14</f>
        <v>0</v>
      </c>
      <c r="K14" s="62">
        <f>YetKieu!R14</f>
        <v>277.346</v>
      </c>
      <c r="L14" s="62">
        <f>NhaTrang!R13</f>
        <v>353.46499999999997</v>
      </c>
      <c r="M14" s="62">
        <f>ThachThat!R12</f>
        <v>693.30000000000007</v>
      </c>
      <c r="N14" s="62">
        <v>0</v>
      </c>
      <c r="O14" s="62"/>
      <c r="P14" s="62"/>
      <c r="Q14" s="62">
        <f t="shared" ref="Q14:Q17" si="2">SUM(F14:P14)</f>
        <v>10409.136699999999</v>
      </c>
      <c r="R14" s="386">
        <f t="shared" si="1"/>
        <v>0.22912163256182724</v>
      </c>
      <c r="V14" s="61" t="s">
        <v>509</v>
      </c>
      <c r="W14" s="84">
        <v>3322.0499999999997</v>
      </c>
      <c r="X14" s="57">
        <f t="shared" si="0"/>
        <v>276.83749999999998</v>
      </c>
    </row>
    <row r="15" spans="2:24" x14ac:dyDescent="0.35">
      <c r="D15" s="2" t="s">
        <v>7</v>
      </c>
      <c r="F15" s="57">
        <f>HaiDuong!R43</f>
        <v>124.3</v>
      </c>
      <c r="G15" s="57">
        <f>CaMau!R13</f>
        <v>222.1</v>
      </c>
      <c r="H15" s="57">
        <f>ThanhHoa!R13</f>
        <v>0</v>
      </c>
      <c r="I15" s="57">
        <f>ThaiNguyen!R13</f>
        <v>0</v>
      </c>
      <c r="J15" s="57">
        <f>ThaiBinh!R13</f>
        <v>0</v>
      </c>
      <c r="K15" s="57">
        <f>YetKieu!R13</f>
        <v>79.065599999999989</v>
      </c>
      <c r="L15" s="57">
        <f>NhaTrang!R14</f>
        <v>70.12</v>
      </c>
      <c r="M15" s="57">
        <f>0</f>
        <v>0</v>
      </c>
      <c r="N15" s="57">
        <f>0</f>
        <v>0</v>
      </c>
      <c r="O15" s="57"/>
      <c r="P15" s="57"/>
      <c r="Q15" s="62">
        <f t="shared" si="2"/>
        <v>495.5856</v>
      </c>
      <c r="R15" s="386">
        <f t="shared" si="1"/>
        <v>1.0908626240457837E-2</v>
      </c>
      <c r="V15" s="61" t="s">
        <v>149</v>
      </c>
      <c r="W15" s="84">
        <v>1946.4400000000003</v>
      </c>
      <c r="X15" s="57">
        <f t="shared" si="0"/>
        <v>162.20333333333335</v>
      </c>
    </row>
    <row r="16" spans="2:24" x14ac:dyDescent="0.35">
      <c r="D16" s="2" t="s">
        <v>9</v>
      </c>
      <c r="F16" s="57">
        <f>HaiDuong!R45</f>
        <v>278.5</v>
      </c>
      <c r="G16" s="57">
        <f>CaMau!R15</f>
        <v>0</v>
      </c>
      <c r="H16" s="57">
        <f>ThanhHoa!R15</f>
        <v>0</v>
      </c>
      <c r="I16" s="57">
        <f>ThaiNguyen!R15</f>
        <v>8.1</v>
      </c>
      <c r="J16" s="57">
        <f>ThaiBinh!R15</f>
        <v>6.15</v>
      </c>
      <c r="K16" s="57">
        <f>YetKieu!R15</f>
        <v>67.656999999999996</v>
      </c>
      <c r="L16" s="57">
        <f>0</f>
        <v>0</v>
      </c>
      <c r="M16" s="57">
        <v>0</v>
      </c>
      <c r="N16" s="57">
        <v>0</v>
      </c>
      <c r="O16" s="57"/>
      <c r="P16" s="57"/>
      <c r="Q16" s="62">
        <f t="shared" si="2"/>
        <v>360.40699999999998</v>
      </c>
      <c r="R16" s="386">
        <f t="shared" si="1"/>
        <v>7.9331305377813386E-3</v>
      </c>
      <c r="V16" s="61" t="s">
        <v>151</v>
      </c>
      <c r="W16" s="84">
        <v>6197.5786000000007</v>
      </c>
      <c r="X16" s="57">
        <f t="shared" si="0"/>
        <v>516.46488333333343</v>
      </c>
    </row>
    <row r="17" spans="2:24" x14ac:dyDescent="0.35">
      <c r="D17" s="2" t="s">
        <v>10</v>
      </c>
      <c r="F17" s="62">
        <f>HaiDuong!R46</f>
        <v>114.89999999999999</v>
      </c>
      <c r="G17" s="57">
        <f>CaMau!R16</f>
        <v>0</v>
      </c>
      <c r="H17" s="57">
        <f>ThanhHoa!R16</f>
        <v>0</v>
      </c>
      <c r="I17" s="57">
        <f>ThaiNguyen!R16</f>
        <v>0</v>
      </c>
      <c r="J17" s="57">
        <f>ThaiBinh!R16</f>
        <v>0</v>
      </c>
      <c r="K17" s="57">
        <f>YetKieu!R16</f>
        <v>16.64</v>
      </c>
      <c r="L17" s="62">
        <v>0</v>
      </c>
      <c r="M17" s="62">
        <v>0</v>
      </c>
      <c r="N17" s="62">
        <v>0</v>
      </c>
      <c r="O17" s="62"/>
      <c r="P17" s="62"/>
      <c r="Q17" s="62">
        <f t="shared" si="2"/>
        <v>131.54</v>
      </c>
      <c r="R17" s="386">
        <f t="shared" si="1"/>
        <v>2.8954043371514906E-3</v>
      </c>
      <c r="V17" s="61" t="s">
        <v>153</v>
      </c>
      <c r="W17" s="84">
        <v>5532.746000000001</v>
      </c>
      <c r="X17" s="57">
        <f t="shared" si="0"/>
        <v>461.06216666666677</v>
      </c>
    </row>
    <row r="18" spans="2:24" x14ac:dyDescent="0.35">
      <c r="C18" s="362" t="s">
        <v>13</v>
      </c>
      <c r="D18" s="363"/>
      <c r="E18" s="365"/>
      <c r="F18" s="366">
        <f t="shared" ref="F18:N18" si="3">SUBTOTAL(9,F13:F17)</f>
        <v>11151.299999999997</v>
      </c>
      <c r="G18" s="366">
        <f t="shared" si="3"/>
        <v>5416.5199999999995</v>
      </c>
      <c r="H18" s="366">
        <f t="shared" si="3"/>
        <v>10912.0905</v>
      </c>
      <c r="I18" s="366">
        <f t="shared" si="3"/>
        <v>3322.0499999999997</v>
      </c>
      <c r="J18" s="366">
        <f t="shared" si="3"/>
        <v>1946.4400000000003</v>
      </c>
      <c r="K18" s="366">
        <f t="shared" si="3"/>
        <v>6184.3586000000014</v>
      </c>
      <c r="L18" s="366">
        <f t="shared" si="3"/>
        <v>5529.8960000000006</v>
      </c>
      <c r="M18" s="366">
        <f t="shared" si="3"/>
        <v>693.30000000000007</v>
      </c>
      <c r="N18" s="366">
        <f t="shared" si="3"/>
        <v>210.99</v>
      </c>
      <c r="O18" s="366"/>
      <c r="P18" s="366"/>
      <c r="Q18" s="366">
        <f>SUM(F18:N18)</f>
        <v>45366.945099999997</v>
      </c>
      <c r="R18" s="383">
        <f t="shared" si="1"/>
        <v>0.99859852216704859</v>
      </c>
      <c r="V18" s="61" t="s">
        <v>510</v>
      </c>
      <c r="W18" s="84">
        <v>693.30000000000007</v>
      </c>
      <c r="X18" s="57">
        <f t="shared" si="0"/>
        <v>57.775000000000006</v>
      </c>
    </row>
    <row r="19" spans="2:24" ht="13.15" thickBot="1" x14ac:dyDescent="0.4">
      <c r="B19" s="29"/>
      <c r="C19" s="68" t="s">
        <v>19</v>
      </c>
      <c r="D19" s="68"/>
      <c r="E19" s="68"/>
      <c r="F19" s="69">
        <f>HaiDuong!R48</f>
        <v>18.920000000000002</v>
      </c>
      <c r="G19" s="69">
        <f>CaMau!R18</f>
        <v>0</v>
      </c>
      <c r="H19" s="69">
        <f>ThanhHoa!R18</f>
        <v>0</v>
      </c>
      <c r="I19" s="69">
        <f>ThaiNguyen!R18</f>
        <v>0</v>
      </c>
      <c r="J19" s="69">
        <f>0</f>
        <v>0</v>
      </c>
      <c r="K19" s="69">
        <f>YetKieu!R17</f>
        <v>41.900000000000006</v>
      </c>
      <c r="L19" s="69">
        <f>NhaTrang!R15</f>
        <v>2.85</v>
      </c>
      <c r="M19" s="69">
        <f>0</f>
        <v>0</v>
      </c>
      <c r="N19" s="69">
        <f>0</f>
        <v>0</v>
      </c>
      <c r="O19" s="69"/>
      <c r="P19" s="69"/>
      <c r="Q19" s="69">
        <f t="shared" ref="Q19" si="4">SUM(F19:N19)</f>
        <v>63.670000000000009</v>
      </c>
      <c r="R19" s="388">
        <f t="shared" si="1"/>
        <v>1.4014778329514632E-3</v>
      </c>
      <c r="V19" s="61" t="s">
        <v>155</v>
      </c>
      <c r="W19" s="84">
        <v>210.99</v>
      </c>
      <c r="X19" s="57">
        <f t="shared" si="0"/>
        <v>17.5825</v>
      </c>
    </row>
    <row r="20" spans="2:24" x14ac:dyDescent="0.35">
      <c r="B20" s="27" t="s">
        <v>20</v>
      </c>
      <c r="F20" s="71">
        <f>SUM(F18:F19)</f>
        <v>11170.219999999998</v>
      </c>
      <c r="G20" s="71">
        <f t="shared" ref="G20:N20" si="5">SUM(G18:G19)</f>
        <v>5416.5199999999995</v>
      </c>
      <c r="H20" s="71">
        <f t="shared" si="5"/>
        <v>10912.0905</v>
      </c>
      <c r="I20" s="71">
        <f t="shared" si="5"/>
        <v>3322.0499999999997</v>
      </c>
      <c r="J20" s="71">
        <f t="shared" si="5"/>
        <v>1946.4400000000003</v>
      </c>
      <c r="K20" s="71">
        <f t="shared" si="5"/>
        <v>6226.258600000001</v>
      </c>
      <c r="L20" s="71">
        <f t="shared" si="5"/>
        <v>5532.746000000001</v>
      </c>
      <c r="M20" s="71">
        <f t="shared" si="5"/>
        <v>693.30000000000007</v>
      </c>
      <c r="N20" s="71">
        <f t="shared" si="5"/>
        <v>210.99</v>
      </c>
      <c r="O20" s="71"/>
      <c r="P20" s="71"/>
      <c r="Q20" s="71">
        <f>SUM(F20:N20)</f>
        <v>45430.615099999995</v>
      </c>
      <c r="R20" s="385">
        <f t="shared" si="1"/>
        <v>1</v>
      </c>
      <c r="W20" s="85">
        <f>SUM(W11:W19)</f>
        <v>45377.935099999995</v>
      </c>
      <c r="X20" s="85">
        <f>SUM(X11:X19)</f>
        <v>3781.494591666667</v>
      </c>
    </row>
    <row r="21" spans="2:24" x14ac:dyDescent="0.35">
      <c r="B21" s="2" t="s">
        <v>21</v>
      </c>
      <c r="F21" s="62">
        <f>HaiDuong!R50</f>
        <v>72.435000000000002</v>
      </c>
      <c r="G21" s="62">
        <f>CaMau!R20</f>
        <v>0.9</v>
      </c>
      <c r="H21" s="62">
        <f>ThanhHoa!R20</f>
        <v>8.32</v>
      </c>
      <c r="I21" s="62">
        <f>ThaiNguyen!R20</f>
        <v>675.48</v>
      </c>
      <c r="J21" s="62">
        <f>ThaiBinh!R18</f>
        <v>0</v>
      </c>
      <c r="K21" s="62">
        <f>YetKieu!R19</f>
        <v>0</v>
      </c>
      <c r="L21" s="62">
        <f>NhaTrang!R21</f>
        <v>0</v>
      </c>
      <c r="M21" s="62">
        <f>ThachThat!R14</f>
        <v>0</v>
      </c>
      <c r="N21" s="62">
        <f>'SocSon-1'!R23</f>
        <v>0</v>
      </c>
      <c r="O21" s="62"/>
      <c r="P21" s="62"/>
      <c r="Q21" s="62">
        <f t="shared" ref="Q21:Q28" si="6">SUM(F21:P21)</f>
        <v>757.13499999999999</v>
      </c>
      <c r="R21" s="389">
        <f t="shared" si="1"/>
        <v>1.6665743977567236E-2</v>
      </c>
    </row>
    <row r="22" spans="2:24" x14ac:dyDescent="0.35">
      <c r="B22" s="27" t="s">
        <v>177</v>
      </c>
      <c r="R22" s="387">
        <f t="shared" si="1"/>
        <v>0</v>
      </c>
    </row>
    <row r="23" spans="2:24" x14ac:dyDescent="0.35">
      <c r="C23" s="6" t="s">
        <v>23</v>
      </c>
      <c r="F23" s="62">
        <f>HaiDuong!R57</f>
        <v>479.98592400000001</v>
      </c>
      <c r="G23" s="62">
        <f>CaMau!R27</f>
        <v>25.791700000000002</v>
      </c>
      <c r="H23" s="62">
        <f>ThanhHoa!R26</f>
        <v>316.33424399999996</v>
      </c>
      <c r="I23" s="62">
        <f>ThaiNguyen!R27</f>
        <v>111.4161</v>
      </c>
      <c r="J23" s="62">
        <f>ThaiBinh!R21</f>
        <v>109.80949999999999</v>
      </c>
      <c r="K23" s="62">
        <f>YetKieu!R28</f>
        <v>608.01030800000001</v>
      </c>
      <c r="L23" s="62">
        <f>NhaTrang!R24</f>
        <v>206.72404299999999</v>
      </c>
      <c r="M23" s="62">
        <f>ThachThat!R17</f>
        <v>34.055999999999997</v>
      </c>
      <c r="N23" s="62">
        <f>'SocSon-1'!R26</f>
        <v>11.4673</v>
      </c>
      <c r="O23" s="62"/>
      <c r="P23" s="62"/>
      <c r="Q23" s="62">
        <f t="shared" si="6"/>
        <v>1903.5951190000001</v>
      </c>
      <c r="R23" s="386">
        <f t="shared" si="1"/>
        <v>4.1901152225429596E-2</v>
      </c>
    </row>
    <row r="24" spans="2:24" x14ac:dyDescent="0.35">
      <c r="C24" s="6" t="s">
        <v>143</v>
      </c>
      <c r="D24" s="6"/>
      <c r="F24" s="62">
        <f>HaiDuong!R58</f>
        <v>742.83399999999995</v>
      </c>
      <c r="G24" s="62">
        <f>CaMau!R28</f>
        <v>350.505</v>
      </c>
      <c r="H24" s="62">
        <f>ThanhHoa!R27</f>
        <v>929.12</v>
      </c>
      <c r="I24" s="62">
        <f>ThaiNguyen!R28</f>
        <v>207.19100000000003</v>
      </c>
      <c r="J24" s="62">
        <f>ThaiBinh!R22</f>
        <v>198.59800000000001</v>
      </c>
      <c r="K24" s="62">
        <f>YetKieu!R29</f>
        <v>378.94299999999998</v>
      </c>
      <c r="L24" s="62">
        <f>NhaTrang!R27</f>
        <v>373.505</v>
      </c>
      <c r="M24" s="62">
        <f>ThachThat!R20</f>
        <v>94.53</v>
      </c>
      <c r="N24" s="62">
        <f>'SocSon-1'!R27</f>
        <v>20.010000000000002</v>
      </c>
      <c r="O24" s="62"/>
      <c r="P24" s="62"/>
      <c r="Q24" s="62">
        <f t="shared" si="6"/>
        <v>3295.2360000000003</v>
      </c>
      <c r="R24" s="386">
        <f t="shared" si="1"/>
        <v>7.2533378488199268E-2</v>
      </c>
    </row>
    <row r="25" spans="2:24" x14ac:dyDescent="0.35">
      <c r="C25" s="6" t="s">
        <v>24</v>
      </c>
      <c r="D25" s="6"/>
      <c r="F25" s="62">
        <f>HaiDuong!R59</f>
        <v>322.55584299999998</v>
      </c>
      <c r="G25" s="62">
        <f>CaMau!R29</f>
        <v>0</v>
      </c>
      <c r="H25" s="62">
        <f>ThanhHoa!R28</f>
        <v>623.04999999999995</v>
      </c>
      <c r="I25" s="62">
        <f>ThaiNguyen!R29</f>
        <v>33.747999999999998</v>
      </c>
      <c r="J25" s="62">
        <f>ThaiBinh!R23</f>
        <v>2.8086159999999998</v>
      </c>
      <c r="K25" s="62">
        <f>YetKieu!R30</f>
        <v>0</v>
      </c>
      <c r="L25" s="62">
        <v>0</v>
      </c>
      <c r="M25" s="62">
        <v>0</v>
      </c>
      <c r="N25" s="62">
        <f>'SocSon-1'!R28</f>
        <v>0</v>
      </c>
      <c r="O25" s="62"/>
      <c r="P25" s="62"/>
      <c r="Q25" s="62">
        <f t="shared" si="6"/>
        <v>982.16245900000001</v>
      </c>
      <c r="R25" s="386">
        <f t="shared" si="1"/>
        <v>2.1618955782088896E-2</v>
      </c>
    </row>
    <row r="26" spans="2:24" x14ac:dyDescent="0.35">
      <c r="C26" s="6" t="s">
        <v>612</v>
      </c>
      <c r="D26" s="6"/>
      <c r="F26" s="62">
        <f>HaiDuong!R60</f>
        <v>1339.1000000000001</v>
      </c>
      <c r="G26" s="62">
        <f>CaMau!R30</f>
        <v>787.15</v>
      </c>
      <c r="H26" s="62">
        <f>ThanhHoa!R29</f>
        <v>1112.6949999999999</v>
      </c>
      <c r="I26" s="62">
        <f>ThaiNguyen!R30</f>
        <v>466.4</v>
      </c>
      <c r="J26" s="62">
        <f>ThaiBinh!R24</f>
        <v>306.5</v>
      </c>
      <c r="K26" s="62">
        <f>YetKieu!R31</f>
        <v>898.654</v>
      </c>
      <c r="L26" s="62">
        <f>NhaTrang!R26</f>
        <v>911.875</v>
      </c>
      <c r="M26" s="62">
        <f>ThachThat!R19</f>
        <v>103</v>
      </c>
      <c r="N26" s="62">
        <f>'SocSon-1'!R29</f>
        <v>18.23</v>
      </c>
      <c r="O26" s="62"/>
      <c r="P26" s="62"/>
      <c r="Q26" s="62">
        <f t="shared" si="6"/>
        <v>5943.6039999999994</v>
      </c>
      <c r="R26" s="386">
        <f t="shared" si="1"/>
        <v>0.13082816481610876</v>
      </c>
    </row>
    <row r="27" spans="2:24" x14ac:dyDescent="0.35">
      <c r="C27" s="6" t="s">
        <v>642</v>
      </c>
      <c r="D27" s="6"/>
      <c r="F27" s="62">
        <f>HaiDuong!R61</f>
        <v>278.42</v>
      </c>
      <c r="G27" s="62">
        <f>CaMau!R31</f>
        <v>0</v>
      </c>
      <c r="H27" s="62">
        <f>ThanhHoa!R30</f>
        <v>331.4264</v>
      </c>
      <c r="I27" s="62">
        <f>ThaiNguyen!R31</f>
        <v>73.930000000000007</v>
      </c>
      <c r="J27" s="62">
        <f>ThaiBinh!R25</f>
        <v>12.04</v>
      </c>
      <c r="K27" s="62">
        <f>YetKieu!R32</f>
        <v>179.88637900000001</v>
      </c>
      <c r="L27" s="62">
        <f>NhaTrang!R25</f>
        <v>90.299700000000001</v>
      </c>
      <c r="M27" s="62">
        <f>ThachThat!R18</f>
        <v>0</v>
      </c>
      <c r="N27" s="62">
        <f>'SocSon-1'!R30</f>
        <v>0</v>
      </c>
      <c r="O27" s="62"/>
      <c r="P27" s="62"/>
      <c r="Q27" s="62">
        <f t="shared" si="6"/>
        <v>966.00247899999999</v>
      </c>
      <c r="R27" s="386">
        <f t="shared" si="1"/>
        <v>2.1263248953897612E-2</v>
      </c>
    </row>
    <row r="28" spans="2:24" x14ac:dyDescent="0.35">
      <c r="C28" s="6" t="s">
        <v>183</v>
      </c>
      <c r="D28" s="338"/>
      <c r="F28" s="62">
        <f>HaiDuong!R62</f>
        <v>78.673913999999996</v>
      </c>
      <c r="G28" s="62">
        <f>CaMau!R32</f>
        <v>0</v>
      </c>
      <c r="H28" s="62">
        <f>ThanhHoa!R31</f>
        <v>92.671214999999989</v>
      </c>
      <c r="I28" s="62">
        <f>ThaiNguyen!R32</f>
        <v>97.429016000000004</v>
      </c>
      <c r="J28" s="62">
        <f>ThaiBinh!R26</f>
        <v>63.716182000000003</v>
      </c>
      <c r="K28" s="62">
        <f>YetKieu!R33</f>
        <v>0</v>
      </c>
      <c r="L28" s="62">
        <v>0</v>
      </c>
      <c r="M28" s="62">
        <v>0</v>
      </c>
      <c r="N28" s="62">
        <f>'SocSon-1'!R31</f>
        <v>0</v>
      </c>
      <c r="O28" s="62"/>
      <c r="P28" s="62"/>
      <c r="Q28" s="62">
        <f t="shared" si="6"/>
        <v>332.49032699999998</v>
      </c>
      <c r="R28" s="386">
        <f t="shared" si="1"/>
        <v>7.3186402224168874E-3</v>
      </c>
    </row>
    <row r="29" spans="2:24" ht="13.15" thickBot="1" x14ac:dyDescent="0.4">
      <c r="B29" s="397"/>
      <c r="C29" s="397" t="s">
        <v>180</v>
      </c>
      <c r="D29" s="87"/>
      <c r="E29" s="70"/>
      <c r="F29" s="328">
        <f>SUBTOTAL(9,F23:F28)</f>
        <v>3241.5696809999999</v>
      </c>
      <c r="G29" s="328">
        <f t="shared" ref="G29:N29" si="7">SUBTOTAL(9,G23:G28)</f>
        <v>1163.4467</v>
      </c>
      <c r="H29" s="328">
        <f t="shared" si="7"/>
        <v>3405.2968589999996</v>
      </c>
      <c r="I29" s="328">
        <f t="shared" si="7"/>
        <v>990.11411600000019</v>
      </c>
      <c r="J29" s="328">
        <f t="shared" si="7"/>
        <v>693.47229800000002</v>
      </c>
      <c r="K29" s="328">
        <f t="shared" si="7"/>
        <v>2065.4936870000001</v>
      </c>
      <c r="L29" s="328">
        <f t="shared" si="7"/>
        <v>1582.4037430000001</v>
      </c>
      <c r="M29" s="328">
        <f t="shared" si="7"/>
        <v>231.58600000000001</v>
      </c>
      <c r="N29" s="328">
        <f t="shared" si="7"/>
        <v>49.707300000000004</v>
      </c>
      <c r="O29" s="328"/>
      <c r="P29" s="328"/>
      <c r="Q29" s="328">
        <f>SUM(Q23:Q28)</f>
        <v>13423.090384000001</v>
      </c>
      <c r="R29" s="383">
        <f t="shared" si="1"/>
        <v>0.29546354048814105</v>
      </c>
    </row>
    <row r="30" spans="2:24" x14ac:dyDescent="0.35">
      <c r="B30" s="89" t="s">
        <v>187</v>
      </c>
      <c r="C30" s="90"/>
      <c r="D30" s="90"/>
      <c r="E30" s="91"/>
      <c r="F30" s="428">
        <f>F20-F29-F21</f>
        <v>7856.2153189999972</v>
      </c>
      <c r="G30" s="428">
        <f>G20-G29-G21</f>
        <v>4252.1733000000004</v>
      </c>
      <c r="H30" s="428">
        <f t="shared" ref="H30:Q30" si="8">H20-H29-H21</f>
        <v>7498.4736410000005</v>
      </c>
      <c r="I30" s="428">
        <f t="shared" si="8"/>
        <v>1656.4558839999995</v>
      </c>
      <c r="J30" s="428">
        <f t="shared" si="8"/>
        <v>1252.9677020000004</v>
      </c>
      <c r="K30" s="428">
        <f t="shared" si="8"/>
        <v>4160.7649130000009</v>
      </c>
      <c r="L30" s="428">
        <f t="shared" si="8"/>
        <v>3950.3422570000012</v>
      </c>
      <c r="M30" s="428">
        <f t="shared" si="8"/>
        <v>461.71400000000006</v>
      </c>
      <c r="N30" s="428">
        <f t="shared" si="8"/>
        <v>161.28270000000001</v>
      </c>
      <c r="O30" s="428"/>
      <c r="P30" s="428"/>
      <c r="Q30" s="428">
        <f t="shared" si="8"/>
        <v>31250.389715999994</v>
      </c>
      <c r="R30" s="390">
        <f t="shared" si="1"/>
        <v>0.68787071553429169</v>
      </c>
    </row>
    <row r="31" spans="2:24" x14ac:dyDescent="0.35">
      <c r="B31" s="27" t="s">
        <v>181</v>
      </c>
      <c r="C31" s="6"/>
      <c r="D31" s="6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385">
        <f t="shared" si="1"/>
        <v>0</v>
      </c>
    </row>
    <row r="32" spans="2:24" x14ac:dyDescent="0.35">
      <c r="C32" s="6" t="s">
        <v>310</v>
      </c>
      <c r="F32" s="57">
        <f>HaiDuong!R66-HO!R13</f>
        <v>1977.5053540000001</v>
      </c>
      <c r="G32" s="57">
        <f>CaMau!R36</f>
        <v>762.02839199999994</v>
      </c>
      <c r="H32" s="57">
        <f>ThanhHoa!R35</f>
        <v>1752.3483059999996</v>
      </c>
      <c r="I32" s="57">
        <f>ThaiNguyen!R36</f>
        <v>1182.9499990000002</v>
      </c>
      <c r="J32" s="57">
        <f>ThaiBinh!R28</f>
        <v>829.78284899999994</v>
      </c>
      <c r="K32" s="57">
        <f>YetKieu!R35</f>
        <v>1248.3208333333332</v>
      </c>
      <c r="L32" s="57">
        <f>NhaTrang!R30</f>
        <v>973.19189999999992</v>
      </c>
      <c r="M32" s="57">
        <f>ThachThat!R23</f>
        <v>176.54</v>
      </c>
      <c r="N32" s="57">
        <f>'SocSon-1'!R33</f>
        <v>106.04900000000001</v>
      </c>
      <c r="O32" s="57"/>
      <c r="P32" s="57"/>
      <c r="Q32" s="62">
        <f t="shared" ref="Q32:Q36" si="9">SUM(F32:P32)</f>
        <v>9008.7166333333353</v>
      </c>
      <c r="R32" s="386">
        <f t="shared" si="1"/>
        <v>0.19829616247774148</v>
      </c>
    </row>
    <row r="33" spans="2:18" x14ac:dyDescent="0.35">
      <c r="C33" s="6" t="s">
        <v>408</v>
      </c>
      <c r="F33" s="57">
        <f>HaiDuong!R67</f>
        <v>362.68950000000001</v>
      </c>
      <c r="G33" s="57">
        <f>CaMau!R37</f>
        <v>240</v>
      </c>
      <c r="H33" s="57">
        <f>ThanhHoa!R36</f>
        <v>738.41666299999997</v>
      </c>
      <c r="I33" s="57">
        <f>ThaiNguyen!R37</f>
        <v>621.2191059999999</v>
      </c>
      <c r="J33" s="57">
        <f>ThaiBinh!R29</f>
        <v>264</v>
      </c>
      <c r="K33" s="57">
        <f>SUM(YetKieu!R36:R38)</f>
        <v>3102.6144410000002</v>
      </c>
      <c r="L33" s="57">
        <f>SUM(NhaTrang!R31:R32)</f>
        <v>1985.9137878333331</v>
      </c>
      <c r="M33" s="57">
        <f>SUM(ThachThat!R24:R26)</f>
        <v>74.638961999999992</v>
      </c>
      <c r="N33" s="57">
        <f>'SocSon-1'!R34</f>
        <v>22</v>
      </c>
      <c r="O33" s="57"/>
      <c r="P33" s="57"/>
      <c r="Q33" s="62">
        <f t="shared" si="9"/>
        <v>7411.4924598333337</v>
      </c>
      <c r="R33" s="386">
        <f t="shared" si="1"/>
        <v>0.16313872140008367</v>
      </c>
    </row>
    <row r="34" spans="2:18" x14ac:dyDescent="0.35">
      <c r="C34" s="6" t="s">
        <v>512</v>
      </c>
      <c r="F34" s="57">
        <f>HaiDuong!R68</f>
        <v>0</v>
      </c>
      <c r="G34" s="57">
        <f>CaMau!R38</f>
        <v>0</v>
      </c>
      <c r="H34" s="57">
        <f>ThanhHoa!R37</f>
        <v>0</v>
      </c>
      <c r="I34" s="57">
        <f>ThaiNguyen!R38</f>
        <v>0</v>
      </c>
      <c r="J34" s="57">
        <f>ThaiBinh!R30</f>
        <v>0</v>
      </c>
      <c r="K34" s="57">
        <v>0</v>
      </c>
      <c r="L34" s="57">
        <v>0</v>
      </c>
      <c r="M34" s="57">
        <v>0</v>
      </c>
      <c r="N34" s="57">
        <f>'SocSon-1'!R35</f>
        <v>0</v>
      </c>
      <c r="O34" s="57"/>
      <c r="P34" s="57"/>
      <c r="Q34" s="62">
        <f t="shared" si="9"/>
        <v>0</v>
      </c>
      <c r="R34" s="386"/>
    </row>
    <row r="35" spans="2:18" x14ac:dyDescent="0.35">
      <c r="B35" s="27"/>
      <c r="C35" s="6" t="s">
        <v>631</v>
      </c>
      <c r="D35" s="6"/>
      <c r="F35" s="57">
        <f>HaiDuong!R69</f>
        <v>1079.6882730000002</v>
      </c>
      <c r="G35" s="57">
        <f>CaMau!R39</f>
        <v>470.75662599999998</v>
      </c>
      <c r="H35" s="57">
        <f>ThanhHoa!R38</f>
        <v>684.86413400000004</v>
      </c>
      <c r="I35" s="57">
        <f>ThaiNguyen!R39</f>
        <v>772.58742299999994</v>
      </c>
      <c r="J35" s="57">
        <f>ThaiBinh!R31</f>
        <v>539.18651799999998</v>
      </c>
      <c r="K35" s="57">
        <v>0</v>
      </c>
      <c r="L35" s="57">
        <v>0</v>
      </c>
      <c r="M35" s="57">
        <v>0</v>
      </c>
      <c r="N35" s="57">
        <f>'SocSon-1'!R36</f>
        <v>20.219222000000002</v>
      </c>
      <c r="O35" s="57"/>
      <c r="P35" s="57"/>
      <c r="Q35" s="62">
        <f t="shared" si="9"/>
        <v>3567.3021960000001</v>
      </c>
      <c r="R35" s="386">
        <f>IFERROR(Q35/Q$20,"")</f>
        <v>7.8521987610068705E-2</v>
      </c>
    </row>
    <row r="36" spans="2:18" x14ac:dyDescent="0.35">
      <c r="B36" s="27"/>
      <c r="C36" s="6" t="s">
        <v>188</v>
      </c>
      <c r="D36" s="6"/>
      <c r="E36" s="338"/>
      <c r="F36" s="57">
        <f>HaiDuong!R70</f>
        <v>29.193603999999997</v>
      </c>
      <c r="G36" s="57">
        <f>CaMau!R40</f>
        <v>184.401276</v>
      </c>
      <c r="H36" s="57">
        <f>ThanhHoa!R39</f>
        <v>318.65075999999999</v>
      </c>
      <c r="I36" s="57">
        <f>ThaiNguyen!R40</f>
        <v>94.643844999999999</v>
      </c>
      <c r="J36" s="57">
        <f>ThaiBinh!R32</f>
        <v>22.070896000000001</v>
      </c>
      <c r="K36" s="62">
        <f>YetKieu!R39</f>
        <v>118.38814600000001</v>
      </c>
      <c r="L36" s="62">
        <f>NhaTrang!R33</f>
        <v>60.796073999999997</v>
      </c>
      <c r="M36" s="62">
        <v>0</v>
      </c>
      <c r="N36" s="57">
        <f>'SocSon-1'!R37</f>
        <v>76.22999999999999</v>
      </c>
      <c r="O36" s="62"/>
      <c r="P36" s="62"/>
      <c r="Q36" s="62">
        <f t="shared" si="9"/>
        <v>904.37460099999987</v>
      </c>
      <c r="R36" s="386">
        <f>IFERROR(Q36/Q$20,"")</f>
        <v>1.9906721469857447E-2</v>
      </c>
    </row>
    <row r="37" spans="2:18" ht="13.15" thickBot="1" x14ac:dyDescent="0.4">
      <c r="B37" s="397"/>
      <c r="C37" s="397" t="s">
        <v>189</v>
      </c>
      <c r="D37" s="87"/>
      <c r="E37" s="70"/>
      <c r="F37" s="88">
        <f t="shared" ref="F37:K37" si="10">SUBTOTAL(9,F32:F36)</f>
        <v>3449.0767310000006</v>
      </c>
      <c r="G37" s="88">
        <f t="shared" si="10"/>
        <v>1657.1862940000001</v>
      </c>
      <c r="H37" s="88">
        <f t="shared" si="10"/>
        <v>3494.2798629999998</v>
      </c>
      <c r="I37" s="88">
        <f t="shared" si="10"/>
        <v>2671.4003729999999</v>
      </c>
      <c r="J37" s="88">
        <f t="shared" si="10"/>
        <v>1655.0402629999999</v>
      </c>
      <c r="K37" s="88">
        <f t="shared" si="10"/>
        <v>4469.3234203333332</v>
      </c>
      <c r="L37" s="88">
        <f>SUBTOTAL(9,L32:L36)</f>
        <v>3019.9017618333328</v>
      </c>
      <c r="M37" s="88">
        <f>SUBTOTAL(9,M32:M36)</f>
        <v>251.17896199999998</v>
      </c>
      <c r="N37" s="88">
        <f>SUBTOTAL(9,N32:N36)</f>
        <v>224.498222</v>
      </c>
      <c r="O37" s="88"/>
      <c r="P37" s="88"/>
      <c r="Q37" s="88">
        <f>SUBTOTAL(9,Q32:Q36)</f>
        <v>20891.885890166668</v>
      </c>
      <c r="R37" s="383">
        <f>IFERROR(Q37/Q$20,"")</f>
        <v>0.45986359295775131</v>
      </c>
    </row>
    <row r="38" spans="2:18" x14ac:dyDescent="0.35">
      <c r="B38" s="89" t="s">
        <v>476</v>
      </c>
      <c r="C38" s="90"/>
      <c r="D38" s="90"/>
      <c r="E38" s="91"/>
      <c r="F38" s="92">
        <f t="shared" ref="F38:N38" si="11">F30-F37</f>
        <v>4407.1385879999962</v>
      </c>
      <c r="G38" s="92">
        <f t="shared" si="11"/>
        <v>2594.9870060000003</v>
      </c>
      <c r="H38" s="92">
        <f t="shared" si="11"/>
        <v>4004.1937780000007</v>
      </c>
      <c r="I38" s="92">
        <f t="shared" si="11"/>
        <v>-1014.9444890000004</v>
      </c>
      <c r="J38" s="92">
        <f t="shared" si="11"/>
        <v>-402.0725609999995</v>
      </c>
      <c r="K38" s="92">
        <f t="shared" si="11"/>
        <v>-308.55850733333227</v>
      </c>
      <c r="L38" s="92">
        <f t="shared" si="11"/>
        <v>930.44049516666837</v>
      </c>
      <c r="M38" s="92">
        <f t="shared" si="11"/>
        <v>210.53503800000007</v>
      </c>
      <c r="N38" s="92">
        <f t="shared" si="11"/>
        <v>-63.215521999999993</v>
      </c>
      <c r="O38" s="92"/>
      <c r="P38" s="92"/>
      <c r="Q38" s="92">
        <f>Q30-Q37</f>
        <v>10358.503825833326</v>
      </c>
      <c r="R38" s="390">
        <f>IFERROR(Q38/Q$20,"")</f>
        <v>0.22800712257654041</v>
      </c>
    </row>
    <row r="39" spans="2:18" ht="14.45" customHeight="1" x14ac:dyDescent="0.35">
      <c r="B39" s="27" t="s">
        <v>488</v>
      </c>
      <c r="C39" s="6"/>
      <c r="D39" s="6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>
        <f>'Site liên kết'!R20</f>
        <v>3442.247455144065</v>
      </c>
      <c r="Q39" s="85">
        <f t="shared" ref="Q39:Q46" si="12">SUM(F39:P39)</f>
        <v>3442.247455144065</v>
      </c>
      <c r="R39" s="385">
        <f>IFERROR(Q39/Q$20,"")</f>
        <v>7.5769334127815169E-2</v>
      </c>
    </row>
    <row r="40" spans="2:18" x14ac:dyDescent="0.35">
      <c r="B40" s="27" t="s">
        <v>473</v>
      </c>
      <c r="D40" s="6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386"/>
    </row>
    <row r="41" spans="2:18" x14ac:dyDescent="0.35">
      <c r="B41" s="27"/>
      <c r="C41" s="6" t="s">
        <v>310</v>
      </c>
      <c r="D41" s="6"/>
      <c r="F41" s="57"/>
      <c r="G41" s="57"/>
      <c r="H41" s="57"/>
      <c r="I41" s="57"/>
      <c r="J41" s="57"/>
      <c r="K41" s="57"/>
      <c r="L41" s="57"/>
      <c r="M41" s="57"/>
      <c r="N41" s="57"/>
      <c r="O41" s="57">
        <f>SUM(HO!R18,HO!R26)</f>
        <v>2889.3228340000001</v>
      </c>
      <c r="P41" s="57"/>
      <c r="Q41" s="62">
        <f t="shared" si="12"/>
        <v>2889.3228340000001</v>
      </c>
      <c r="R41" s="386">
        <f t="shared" ref="R41:R48" si="13">IFERROR(Q41/Q$20,"")</f>
        <v>6.359858495510444E-2</v>
      </c>
    </row>
    <row r="42" spans="2:18" x14ac:dyDescent="0.35">
      <c r="B42" s="27"/>
      <c r="C42" s="6" t="s">
        <v>496</v>
      </c>
      <c r="D42" s="6"/>
      <c r="F42" s="57"/>
      <c r="G42" s="57"/>
      <c r="H42" s="57"/>
      <c r="I42" s="57"/>
      <c r="J42" s="57"/>
      <c r="K42" s="57"/>
      <c r="L42" s="57"/>
      <c r="M42" s="57"/>
      <c r="N42" s="57"/>
      <c r="O42" s="57">
        <f>SUM(HO!R19:R20,HO!R28)</f>
        <v>741.07605448467837</v>
      </c>
      <c r="P42" s="57"/>
      <c r="Q42" s="57">
        <f t="shared" si="12"/>
        <v>741.07605448467837</v>
      </c>
      <c r="R42" s="386">
        <f t="shared" si="13"/>
        <v>1.6312261078866141E-2</v>
      </c>
    </row>
    <row r="43" spans="2:18" x14ac:dyDescent="0.35">
      <c r="B43" s="27"/>
      <c r="C43" s="6" t="s">
        <v>495</v>
      </c>
      <c r="D43" s="6"/>
      <c r="F43" s="57"/>
      <c r="G43" s="57"/>
      <c r="H43" s="57"/>
      <c r="I43" s="57"/>
      <c r="J43" s="57"/>
      <c r="K43" s="57"/>
      <c r="L43" s="57"/>
      <c r="M43" s="57"/>
      <c r="N43" s="57"/>
      <c r="O43" s="57">
        <f>SUM(HO!R21,HO!R29)</f>
        <v>85.300047000000006</v>
      </c>
      <c r="P43" s="57"/>
      <c r="Q43" s="57">
        <f t="shared" si="12"/>
        <v>85.300047000000006</v>
      </c>
      <c r="R43" s="386">
        <f t="shared" si="13"/>
        <v>1.877589524426228E-3</v>
      </c>
    </row>
    <row r="44" spans="2:18" x14ac:dyDescent="0.35">
      <c r="B44" s="27"/>
      <c r="C44" s="6" t="s">
        <v>347</v>
      </c>
      <c r="D44" s="6"/>
      <c r="F44" s="57"/>
      <c r="G44" s="57"/>
      <c r="H44" s="57"/>
      <c r="I44" s="57"/>
      <c r="J44" s="57"/>
      <c r="K44" s="57"/>
      <c r="L44" s="57"/>
      <c r="M44" s="57"/>
      <c r="N44" s="57"/>
      <c r="O44" s="57">
        <f>SUM(HO!R23,HO!R27)</f>
        <v>103.96385304220152</v>
      </c>
      <c r="P44" s="57"/>
      <c r="Q44" s="57">
        <f t="shared" si="12"/>
        <v>103.96385304220152</v>
      </c>
      <c r="R44" s="386">
        <f t="shared" si="13"/>
        <v>2.2884095408649118E-3</v>
      </c>
    </row>
    <row r="45" spans="2:18" x14ac:dyDescent="0.35">
      <c r="B45" s="27"/>
      <c r="C45" s="6" t="s">
        <v>474</v>
      </c>
      <c r="D45" s="6"/>
      <c r="F45" s="57"/>
      <c r="G45" s="57"/>
      <c r="H45" s="57"/>
      <c r="I45" s="57"/>
      <c r="J45" s="57"/>
      <c r="K45" s="57"/>
      <c r="L45" s="57"/>
      <c r="M45" s="57"/>
      <c r="N45" s="57"/>
      <c r="O45" s="57">
        <f>SUM(HO!R22)</f>
        <v>122.217687</v>
      </c>
      <c r="P45" s="57"/>
      <c r="Q45" s="57">
        <f t="shared" si="12"/>
        <v>122.217687</v>
      </c>
      <c r="R45" s="386">
        <f t="shared" si="13"/>
        <v>2.6902054205292943E-3</v>
      </c>
    </row>
    <row r="46" spans="2:18" x14ac:dyDescent="0.35">
      <c r="B46" s="27"/>
      <c r="C46" s="6" t="s">
        <v>188</v>
      </c>
      <c r="D46" s="6"/>
      <c r="F46" s="57"/>
      <c r="G46" s="57"/>
      <c r="H46" s="57"/>
      <c r="I46" s="57"/>
      <c r="J46" s="57"/>
      <c r="K46" s="57"/>
      <c r="L46" s="57"/>
      <c r="M46" s="57"/>
      <c r="N46" s="57"/>
      <c r="O46" s="57">
        <f>SUM(HO!R24,HO!R30)</f>
        <v>549.49356450030314</v>
      </c>
      <c r="P46" s="57"/>
      <c r="Q46" s="57">
        <f t="shared" si="12"/>
        <v>549.49356450030314</v>
      </c>
      <c r="R46" s="386">
        <f t="shared" si="13"/>
        <v>1.2095226166116848E-2</v>
      </c>
    </row>
    <row r="47" spans="2:18" x14ac:dyDescent="0.35">
      <c r="B47" s="396"/>
      <c r="C47" s="396" t="s">
        <v>497</v>
      </c>
      <c r="D47" s="394"/>
      <c r="E47" s="395"/>
      <c r="F47" s="398">
        <f>SUM(F41:F46)</f>
        <v>0</v>
      </c>
      <c r="G47" s="398">
        <f t="shared" ref="G47:Q48" si="14">SUM(G41:G46)</f>
        <v>0</v>
      </c>
      <c r="H47" s="398">
        <f t="shared" si="14"/>
        <v>0</v>
      </c>
      <c r="I47" s="398">
        <f t="shared" si="14"/>
        <v>0</v>
      </c>
      <c r="J47" s="398">
        <f t="shared" si="14"/>
        <v>0</v>
      </c>
      <c r="K47" s="398">
        <f t="shared" si="14"/>
        <v>0</v>
      </c>
      <c r="L47" s="398">
        <f t="shared" si="14"/>
        <v>0</v>
      </c>
      <c r="M47" s="398">
        <f t="shared" si="14"/>
        <v>0</v>
      </c>
      <c r="N47" s="398">
        <f t="shared" si="14"/>
        <v>0</v>
      </c>
      <c r="O47" s="398">
        <f t="shared" si="14"/>
        <v>4491.3740400271836</v>
      </c>
      <c r="P47" s="398">
        <f t="shared" si="14"/>
        <v>0</v>
      </c>
      <c r="Q47" s="398">
        <f t="shared" si="14"/>
        <v>4491.3740400271836</v>
      </c>
      <c r="R47" s="386">
        <f t="shared" si="13"/>
        <v>9.8862276685907871E-2</v>
      </c>
    </row>
    <row r="48" spans="2:18" ht="13.15" thickBot="1" x14ac:dyDescent="0.4">
      <c r="B48" s="339" t="s">
        <v>475</v>
      </c>
      <c r="C48" s="340"/>
      <c r="D48" s="340"/>
      <c r="E48" s="54"/>
      <c r="F48" s="399">
        <f>SUM(F38:F39)-F47</f>
        <v>4407.1385879999962</v>
      </c>
      <c r="G48" s="399">
        <f t="shared" ref="G48:P48" si="15">SUM(G38:G39)-G47</f>
        <v>2594.9870060000003</v>
      </c>
      <c r="H48" s="399">
        <f t="shared" si="15"/>
        <v>4004.1937780000007</v>
      </c>
      <c r="I48" s="399">
        <f t="shared" si="15"/>
        <v>-1014.9444890000004</v>
      </c>
      <c r="J48" s="399">
        <f t="shared" si="15"/>
        <v>-402.0725609999995</v>
      </c>
      <c r="K48" s="399">
        <f t="shared" si="15"/>
        <v>-308.55850733333227</v>
      </c>
      <c r="L48" s="399">
        <f t="shared" si="15"/>
        <v>930.44049516666837</v>
      </c>
      <c r="M48" s="399">
        <f t="shared" si="15"/>
        <v>210.53503800000007</v>
      </c>
      <c r="N48" s="399">
        <f t="shared" si="15"/>
        <v>-63.215521999999993</v>
      </c>
      <c r="O48" s="399">
        <f t="shared" si="15"/>
        <v>-4491.3740400271836</v>
      </c>
      <c r="P48" s="399">
        <f t="shared" si="15"/>
        <v>3442.247455144065</v>
      </c>
      <c r="Q48" s="399">
        <f t="shared" si="14"/>
        <v>6093.4252460543667</v>
      </c>
      <c r="R48" s="391">
        <f t="shared" si="13"/>
        <v>0.13412596841671129</v>
      </c>
    </row>
    <row r="49" spans="2:18" ht="8.25" customHeight="1" x14ac:dyDescent="0.35">
      <c r="B49" s="27"/>
      <c r="C49" s="6"/>
      <c r="D49" s="6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386"/>
    </row>
    <row r="50" spans="2:18" x14ac:dyDescent="0.35">
      <c r="B50" s="27"/>
      <c r="C50" s="6" t="s">
        <v>646</v>
      </c>
      <c r="D50" s="6"/>
      <c r="F50" s="57">
        <f>-HaiDuong!R83</f>
        <v>-134.82947000000001</v>
      </c>
      <c r="G50" s="57">
        <f>-CaMau!R53</f>
        <v>772.86225499999989</v>
      </c>
      <c r="H50" s="57">
        <f>ThanhHoa!R52</f>
        <v>921.72668599999997</v>
      </c>
      <c r="I50" s="57">
        <f>ThaiNguyen!R52</f>
        <v>742.62767099999996</v>
      </c>
      <c r="J50" s="57">
        <f>ThaiBinh!R37</f>
        <v>532.35914000000002</v>
      </c>
      <c r="K50" s="57">
        <f>YetKieu!R46</f>
        <v>1174.616</v>
      </c>
      <c r="L50" s="57">
        <f>NhaTrang!R36</f>
        <v>1136.9911120000002</v>
      </c>
      <c r="M50" s="57">
        <f>ThachThat!R29</f>
        <v>0</v>
      </c>
      <c r="N50" s="57">
        <f>'SocSon-1'!R44</f>
        <v>0</v>
      </c>
      <c r="O50" s="57">
        <f>-HO!R14</f>
        <v>-5.3769970000000002</v>
      </c>
      <c r="P50" s="57"/>
      <c r="Q50" s="57">
        <f t="shared" ref="Q50:Q55" si="16">SUM(F50:P50)</f>
        <v>5140.9763969999995</v>
      </c>
      <c r="R50" s="386">
        <f t="shared" ref="R50:R58" si="17">IFERROR(Q50/Q$20,"")</f>
        <v>0.11316105638640142</v>
      </c>
    </row>
    <row r="51" spans="2:18" x14ac:dyDescent="0.35">
      <c r="B51" s="27"/>
      <c r="C51" s="6" t="s">
        <v>478</v>
      </c>
      <c r="D51" s="6"/>
      <c r="F51" s="57">
        <f>HaiDuong!R75</f>
        <v>2838.0000000000005</v>
      </c>
      <c r="G51" s="57">
        <f>CaMau!R45</f>
        <v>1920</v>
      </c>
      <c r="H51" s="57">
        <f>ThanhHoa!R44</f>
        <v>2133.2382630000002</v>
      </c>
      <c r="I51" s="57">
        <f>ThaiNguyen!R44</f>
        <v>1851.7306410000001</v>
      </c>
      <c r="J51" s="57">
        <f>ThaiBinh!R35</f>
        <v>1003.3333310000002</v>
      </c>
      <c r="K51" s="57">
        <f>YetKieu!R41</f>
        <v>2397.779544</v>
      </c>
      <c r="L51" s="57">
        <f>NhaTrang!R37</f>
        <v>2379.1369319999999</v>
      </c>
      <c r="M51" s="57">
        <f>ThachThat!R30</f>
        <v>133.33333200000001</v>
      </c>
      <c r="N51" s="57">
        <f>'SocSon-1'!R40</f>
        <v>172.5</v>
      </c>
      <c r="O51" s="57"/>
      <c r="P51" s="57"/>
      <c r="Q51" s="57">
        <f t="shared" si="16"/>
        <v>14829.052043</v>
      </c>
      <c r="R51" s="386">
        <f t="shared" si="17"/>
        <v>0.3264109898217073</v>
      </c>
    </row>
    <row r="52" spans="2:18" x14ac:dyDescent="0.35">
      <c r="B52" s="27"/>
      <c r="C52" s="6" t="s">
        <v>195</v>
      </c>
      <c r="E52" s="93"/>
      <c r="F52" s="103">
        <f>HaiDuong!R81</f>
        <v>292.98539999999997</v>
      </c>
      <c r="G52" s="103">
        <f>CaMau!R51</f>
        <v>296.35082399999993</v>
      </c>
      <c r="H52" s="103">
        <f>ThanhHoa!R50</f>
        <v>360.1790640000001</v>
      </c>
      <c r="I52" s="103">
        <f>ThaiNguyen!R50</f>
        <v>302.64452399999993</v>
      </c>
      <c r="J52" s="103">
        <f>ThaiBinh!R36</f>
        <v>144.91630599999999</v>
      </c>
      <c r="K52" s="103">
        <f>YetKieu!R45</f>
        <v>733.54406399999993</v>
      </c>
      <c r="L52" s="103">
        <f>NhaTrang!R41</f>
        <v>1264.3769563333344</v>
      </c>
      <c r="M52" s="57">
        <f>ThachThat!R31</f>
        <v>0</v>
      </c>
      <c r="N52" s="103">
        <f>SUM('SocSon-1'!R41:R42)</f>
        <v>702.54729500000008</v>
      </c>
      <c r="O52" s="103"/>
      <c r="P52" s="103"/>
      <c r="Q52" s="57">
        <f t="shared" si="16"/>
        <v>4097.5444333333344</v>
      </c>
      <c r="R52" s="386">
        <f t="shared" si="17"/>
        <v>9.0193461486576587E-2</v>
      </c>
    </row>
    <row r="53" spans="2:18" x14ac:dyDescent="0.35">
      <c r="C53" s="6" t="s">
        <v>647</v>
      </c>
      <c r="D53" s="55"/>
      <c r="F53" s="62">
        <f>-HaiDuong!R82</f>
        <v>-290.88225199999999</v>
      </c>
      <c r="G53" s="62">
        <f>CaMau!R52</f>
        <v>0</v>
      </c>
      <c r="H53" s="62">
        <f>ThanhHoa!R51</f>
        <v>0</v>
      </c>
      <c r="I53" s="62">
        <f>ThaiNguyen!R51</f>
        <v>0</v>
      </c>
      <c r="J53" s="62">
        <f>ThaiBinh!R38</f>
        <v>0</v>
      </c>
      <c r="K53" s="62">
        <f>YetKieu!R47</f>
        <v>0</v>
      </c>
      <c r="L53" s="103">
        <f>NhaTrang!R42</f>
        <v>0</v>
      </c>
      <c r="M53" s="57">
        <f>ThachThat!R32</f>
        <v>0</v>
      </c>
      <c r="N53" s="62">
        <f>'SocSon-1'!R45</f>
        <v>0</v>
      </c>
      <c r="O53" s="62">
        <f>-HO!R39</f>
        <v>-287.46978599999994</v>
      </c>
      <c r="P53" s="62"/>
      <c r="Q53" s="57">
        <f t="shared" si="16"/>
        <v>-578.35203799999999</v>
      </c>
      <c r="R53" s="385">
        <f t="shared" si="17"/>
        <v>-1.2730447006428492E-2</v>
      </c>
    </row>
    <row r="54" spans="2:18" x14ac:dyDescent="0.35">
      <c r="B54" s="86" t="s">
        <v>192</v>
      </c>
      <c r="C54" s="87"/>
      <c r="D54" s="87"/>
      <c r="E54" s="70"/>
      <c r="F54" s="88">
        <f>F48-SUM(F50,F51,F52,F53)</f>
        <v>1701.8649099999957</v>
      </c>
      <c r="G54" s="88">
        <f t="shared" ref="G54:Q54" si="18">G48-SUM(G50,G51,G52,G53)</f>
        <v>-394.22607299999981</v>
      </c>
      <c r="H54" s="88">
        <f t="shared" si="18"/>
        <v>589.04976500000066</v>
      </c>
      <c r="I54" s="88">
        <f t="shared" si="18"/>
        <v>-3911.9473250000005</v>
      </c>
      <c r="J54" s="88">
        <f t="shared" si="18"/>
        <v>-2082.6813379999999</v>
      </c>
      <c r="K54" s="88">
        <f t="shared" si="18"/>
        <v>-4614.498115333332</v>
      </c>
      <c r="L54" s="88">
        <f t="shared" si="18"/>
        <v>-3850.0645051666661</v>
      </c>
      <c r="M54" s="88">
        <f t="shared" si="18"/>
        <v>77.201706000000058</v>
      </c>
      <c r="N54" s="88">
        <f t="shared" si="18"/>
        <v>-938.26281700000004</v>
      </c>
      <c r="O54" s="88">
        <f>O48-SUM(O50,O51,O52,O53)</f>
        <v>-4198.5272570271836</v>
      </c>
      <c r="P54" s="88">
        <f t="shared" si="18"/>
        <v>3442.247455144065</v>
      </c>
      <c r="Q54" s="88">
        <f t="shared" si="18"/>
        <v>-17395.795589278961</v>
      </c>
      <c r="R54" s="383">
        <f t="shared" si="17"/>
        <v>-0.3829090922715454</v>
      </c>
    </row>
    <row r="55" spans="2:18" ht="13.15" thickBot="1" x14ac:dyDescent="0.4">
      <c r="C55" s="6" t="s">
        <v>638</v>
      </c>
      <c r="D55" s="55"/>
      <c r="F55" s="57">
        <f>HaiDuong!R85</f>
        <v>323.58549620000002</v>
      </c>
      <c r="G55" s="57">
        <f>CaMau!R55</f>
        <v>45.429225199999962</v>
      </c>
      <c r="H55" s="57">
        <f>ThanhHoa!R54</f>
        <v>421.95833145000012</v>
      </c>
      <c r="I55" s="57">
        <f>ThaiNguyen!R54</f>
        <v>0</v>
      </c>
      <c r="J55" s="57">
        <f>ThaiBinh!R40</f>
        <v>0</v>
      </c>
      <c r="K55" s="57">
        <f>YetKieu!R49</f>
        <v>0</v>
      </c>
      <c r="L55" s="57">
        <f>NhaTrang!R44</f>
        <v>0</v>
      </c>
      <c r="M55" s="57">
        <f>ThachThat!R34</f>
        <v>21.055107799999998</v>
      </c>
      <c r="N55" s="57">
        <f>'SocSon-1'!R47</f>
        <v>0</v>
      </c>
      <c r="O55" s="57"/>
      <c r="P55" s="57"/>
      <c r="Q55" s="57">
        <f t="shared" si="16"/>
        <v>812.02816065000013</v>
      </c>
      <c r="R55" s="385">
        <f t="shared" si="17"/>
        <v>1.7874029635359268E-2</v>
      </c>
    </row>
    <row r="56" spans="2:18" x14ac:dyDescent="0.35">
      <c r="B56" s="89" t="s">
        <v>502</v>
      </c>
      <c r="C56" s="90"/>
      <c r="D56" s="90"/>
      <c r="E56" s="91"/>
      <c r="F56" s="92">
        <f t="shared" ref="F56:Q56" si="19">F54-F55</f>
        <v>1378.2794137999956</v>
      </c>
      <c r="G56" s="92">
        <f t="shared" si="19"/>
        <v>-439.65529819999978</v>
      </c>
      <c r="H56" s="92">
        <f t="shared" si="19"/>
        <v>167.09143355000054</v>
      </c>
      <c r="I56" s="92">
        <f t="shared" si="19"/>
        <v>-3911.9473250000005</v>
      </c>
      <c r="J56" s="92">
        <f t="shared" si="19"/>
        <v>-2082.6813379999999</v>
      </c>
      <c r="K56" s="92">
        <f t="shared" si="19"/>
        <v>-4614.498115333332</v>
      </c>
      <c r="L56" s="92">
        <f t="shared" si="19"/>
        <v>-3850.0645051666661</v>
      </c>
      <c r="M56" s="92">
        <f t="shared" si="19"/>
        <v>56.146598200000057</v>
      </c>
      <c r="N56" s="92">
        <f t="shared" si="19"/>
        <v>-938.26281700000004</v>
      </c>
      <c r="O56" s="92">
        <f t="shared" si="19"/>
        <v>-4198.5272570271836</v>
      </c>
      <c r="P56" s="92">
        <f t="shared" si="19"/>
        <v>3442.247455144065</v>
      </c>
      <c r="Q56" s="92">
        <f t="shared" si="19"/>
        <v>-18207.823749928961</v>
      </c>
      <c r="R56" s="390">
        <f t="shared" si="17"/>
        <v>-0.40078312190690463</v>
      </c>
    </row>
    <row r="57" spans="2:18" ht="13.15" thickBot="1" x14ac:dyDescent="0.4">
      <c r="B57" s="27"/>
      <c r="C57" s="539" t="s">
        <v>639</v>
      </c>
      <c r="D57" s="6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385">
        <f t="shared" si="17"/>
        <v>0</v>
      </c>
    </row>
    <row r="58" spans="2:18" x14ac:dyDescent="0.35">
      <c r="B58" s="90" t="s">
        <v>205</v>
      </c>
      <c r="C58" s="90"/>
      <c r="D58" s="91"/>
      <c r="E58" s="92"/>
      <c r="F58" s="92">
        <f>SUM(F56:F57)</f>
        <v>1378.2794137999956</v>
      </c>
      <c r="G58" s="92">
        <f t="shared" ref="G58:Q58" si="20">SUM(G56:G57)</f>
        <v>-439.65529819999978</v>
      </c>
      <c r="H58" s="92">
        <f t="shared" si="20"/>
        <v>167.09143355000054</v>
      </c>
      <c r="I58" s="92">
        <f t="shared" si="20"/>
        <v>-3911.9473250000005</v>
      </c>
      <c r="J58" s="92">
        <f t="shared" si="20"/>
        <v>-2082.6813379999999</v>
      </c>
      <c r="K58" s="92">
        <f t="shared" si="20"/>
        <v>-4614.498115333332</v>
      </c>
      <c r="L58" s="92">
        <f t="shared" si="20"/>
        <v>-3850.0645051666661</v>
      </c>
      <c r="M58" s="92">
        <f t="shared" si="20"/>
        <v>56.146598200000057</v>
      </c>
      <c r="N58" s="92">
        <f t="shared" si="20"/>
        <v>-938.26281700000004</v>
      </c>
      <c r="O58" s="92">
        <f t="shared" si="20"/>
        <v>-4198.5272570271836</v>
      </c>
      <c r="P58" s="92">
        <f t="shared" si="20"/>
        <v>3442.247455144065</v>
      </c>
      <c r="Q58" s="92">
        <f t="shared" si="20"/>
        <v>-18207.823749928961</v>
      </c>
      <c r="R58" s="390">
        <f t="shared" si="17"/>
        <v>-0.40078312190690463</v>
      </c>
    </row>
    <row r="59" spans="2:18" ht="3" customHeight="1" x14ac:dyDescent="0.35">
      <c r="R59" s="387"/>
    </row>
    <row r="60" spans="2:18" x14ac:dyDescent="0.35">
      <c r="B60" s="6"/>
      <c r="F60" s="218">
        <f>F56-HaiDuong!R86</f>
        <v>338.60761599999591</v>
      </c>
      <c r="G60" s="218">
        <f>G56-CaMau!R56</f>
        <v>5.1159076974727213E-13</v>
      </c>
      <c r="H60" s="218">
        <f>H56-ThanhHoa!R55</f>
        <v>4.5474735088646412E-13</v>
      </c>
      <c r="I60" s="218">
        <f>I56-ThaiNguyen!R55</f>
        <v>0</v>
      </c>
      <c r="J60" s="218">
        <f>J56-ThaiBinh!R41</f>
        <v>0</v>
      </c>
      <c r="K60" s="218">
        <f>K56-YetKieu!R50</f>
        <v>0</v>
      </c>
      <c r="L60" s="218">
        <f>L56-NhaTrang!R45</f>
        <v>0</v>
      </c>
      <c r="M60" s="218">
        <f>M56-ThachThat!R35</f>
        <v>6.3948846218409017E-14</v>
      </c>
      <c r="N60" s="218">
        <f>N56-'SocSon-1'!R48</f>
        <v>0</v>
      </c>
      <c r="O60" s="218"/>
      <c r="P60" s="218"/>
      <c r="R60" s="420">
        <f>IFERROR(Q60/Q$20,"")</f>
        <v>0</v>
      </c>
    </row>
    <row r="61" spans="2:18" x14ac:dyDescent="0.35">
      <c r="D61" s="338"/>
    </row>
    <row r="62" spans="2:18" x14ac:dyDescent="0.35">
      <c r="B62" s="28" t="s">
        <v>99</v>
      </c>
    </row>
    <row r="63" spans="2:18" x14ac:dyDescent="0.35">
      <c r="C63" s="6" t="s">
        <v>301</v>
      </c>
    </row>
    <row r="64" spans="2:18" x14ac:dyDescent="0.35">
      <c r="E64" s="2" t="s">
        <v>6</v>
      </c>
      <c r="F64" s="57">
        <f>HaiDuong!R95</f>
        <v>4791</v>
      </c>
      <c r="G64" s="57">
        <f>CaMau!R94</f>
        <v>2786</v>
      </c>
      <c r="H64" s="57">
        <f>ThanhHoa!R94</f>
        <v>1695</v>
      </c>
      <c r="I64" s="57">
        <f>ThaiNguyen!R62</f>
        <v>1745</v>
      </c>
      <c r="J64" s="57">
        <f>ThaiBinh!R50</f>
        <v>1689</v>
      </c>
      <c r="K64" s="57">
        <f>YetKieu!R57</f>
        <v>2839</v>
      </c>
      <c r="L64" s="57">
        <f>NhaTrang!R52</f>
        <v>2684</v>
      </c>
      <c r="M64" s="57">
        <v>0</v>
      </c>
      <c r="N64" s="57">
        <f>'SocSon-1'!R14</f>
        <v>155</v>
      </c>
      <c r="O64" s="57"/>
      <c r="P64" s="57"/>
      <c r="Q64" s="57">
        <f t="shared" ref="Q64:Q68" si="21">SUM(F64:P64)</f>
        <v>18384</v>
      </c>
    </row>
    <row r="65" spans="3:17" x14ac:dyDescent="0.35">
      <c r="E65" s="2" t="s">
        <v>8</v>
      </c>
      <c r="F65" s="57">
        <f>HaiDuong!R97</f>
        <v>1381</v>
      </c>
      <c r="G65" s="57"/>
      <c r="H65" s="57">
        <f>ThanhHoa!R96</f>
        <v>8979</v>
      </c>
      <c r="I65" s="57">
        <f>ThaiNguyen!R63</f>
        <v>40</v>
      </c>
      <c r="J65" s="57">
        <v>0</v>
      </c>
      <c r="K65" s="57">
        <f>YetKieu!R59</f>
        <v>298</v>
      </c>
      <c r="L65" s="57">
        <f>NhaTrang!R53</f>
        <v>436</v>
      </c>
      <c r="M65" s="57">
        <f>ThachThat!R37</f>
        <v>816</v>
      </c>
      <c r="N65" s="57">
        <v>0</v>
      </c>
      <c r="O65" s="57"/>
      <c r="P65" s="57"/>
      <c r="Q65" s="57">
        <f t="shared" si="21"/>
        <v>11950</v>
      </c>
    </row>
    <row r="66" spans="3:17" x14ac:dyDescent="0.35">
      <c r="E66" s="2" t="s">
        <v>7</v>
      </c>
      <c r="F66" s="57">
        <f>HaiDuong!R96</f>
        <v>237</v>
      </c>
      <c r="G66" s="57">
        <f>CaMau!R95</f>
        <v>463</v>
      </c>
      <c r="H66" s="57">
        <v>0</v>
      </c>
      <c r="I66" s="57">
        <v>0</v>
      </c>
      <c r="J66" s="57">
        <v>0</v>
      </c>
      <c r="K66" s="57">
        <f>YetKieu!R58</f>
        <v>184</v>
      </c>
      <c r="L66" s="57">
        <f>NhaTrang!R54</f>
        <v>206</v>
      </c>
      <c r="M66" s="57">
        <v>0</v>
      </c>
      <c r="N66" s="57">
        <v>0</v>
      </c>
      <c r="O66" s="57"/>
      <c r="P66" s="57"/>
      <c r="Q66" s="57">
        <f t="shared" si="21"/>
        <v>1090</v>
      </c>
    </row>
    <row r="67" spans="3:17" x14ac:dyDescent="0.35">
      <c r="E67" s="2" t="s">
        <v>9</v>
      </c>
      <c r="F67" s="57">
        <f>HaiDuong!R98</f>
        <v>1878</v>
      </c>
      <c r="G67" s="57"/>
      <c r="H67" s="57">
        <v>0</v>
      </c>
      <c r="I67" s="57">
        <f>ThaiNguyen!R64</f>
        <v>54</v>
      </c>
      <c r="J67" s="57">
        <f>ThaiBinh!R51</f>
        <v>37</v>
      </c>
      <c r="K67" s="57">
        <f>YetKieu!R60</f>
        <v>423</v>
      </c>
      <c r="L67" s="57">
        <v>0</v>
      </c>
      <c r="M67" s="57">
        <v>0</v>
      </c>
      <c r="N67" s="57">
        <v>0</v>
      </c>
      <c r="O67" s="57"/>
      <c r="P67" s="57"/>
      <c r="Q67" s="57">
        <f t="shared" si="21"/>
        <v>2392</v>
      </c>
    </row>
    <row r="68" spans="3:17" x14ac:dyDescent="0.35">
      <c r="E68" s="2" t="s">
        <v>10</v>
      </c>
      <c r="F68" s="57">
        <f>HaiDuong!R99</f>
        <v>718</v>
      </c>
      <c r="G68" s="57"/>
      <c r="H68" s="57">
        <v>0</v>
      </c>
      <c r="I68" s="57">
        <v>0</v>
      </c>
      <c r="J68" s="57">
        <v>0</v>
      </c>
      <c r="K68" s="57">
        <f>YetKieu!R61</f>
        <v>87</v>
      </c>
      <c r="L68" s="57">
        <v>0</v>
      </c>
      <c r="M68" s="57">
        <v>0</v>
      </c>
      <c r="N68" s="57">
        <v>0</v>
      </c>
      <c r="O68" s="57"/>
      <c r="P68" s="57"/>
      <c r="Q68" s="57">
        <f t="shared" si="21"/>
        <v>805</v>
      </c>
    </row>
    <row r="69" spans="3:17" x14ac:dyDescent="0.35">
      <c r="D69" s="55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</row>
    <row r="70" spans="3:17" x14ac:dyDescent="0.35">
      <c r="C70" s="6" t="s">
        <v>503</v>
      </c>
      <c r="D70" s="55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</row>
    <row r="71" spans="3:17" x14ac:dyDescent="0.35">
      <c r="C71" s="6"/>
      <c r="D71" s="55"/>
      <c r="E71" s="2" t="s">
        <v>6</v>
      </c>
      <c r="F71" s="57">
        <v>1</v>
      </c>
      <c r="G71" s="57">
        <v>1</v>
      </c>
      <c r="H71" s="57">
        <v>1</v>
      </c>
      <c r="I71" s="57">
        <v>1</v>
      </c>
      <c r="J71" s="57">
        <v>1</v>
      </c>
      <c r="K71" s="356">
        <v>1</v>
      </c>
      <c r="L71" s="356">
        <v>1</v>
      </c>
      <c r="M71" s="356">
        <v>0</v>
      </c>
      <c r="N71" s="356">
        <v>1</v>
      </c>
      <c r="O71" s="356"/>
      <c r="P71" s="356"/>
      <c r="Q71" s="57"/>
    </row>
    <row r="72" spans="3:17" x14ac:dyDescent="0.35">
      <c r="C72" s="6"/>
      <c r="D72" s="55"/>
      <c r="E72" s="2" t="s">
        <v>8</v>
      </c>
      <c r="F72" s="57">
        <v>1</v>
      </c>
      <c r="G72" s="57">
        <v>0</v>
      </c>
      <c r="H72" s="57">
        <v>1</v>
      </c>
      <c r="I72" s="57">
        <v>1</v>
      </c>
      <c r="J72" s="57">
        <v>0</v>
      </c>
      <c r="K72" s="57">
        <v>1</v>
      </c>
      <c r="L72" s="57">
        <v>1</v>
      </c>
      <c r="M72" s="356">
        <v>1</v>
      </c>
      <c r="N72" s="356">
        <v>0</v>
      </c>
      <c r="O72" s="356"/>
      <c r="P72" s="356"/>
      <c r="Q72" s="57"/>
    </row>
    <row r="73" spans="3:17" x14ac:dyDescent="0.35">
      <c r="C73" s="6"/>
      <c r="D73" s="55"/>
      <c r="E73" s="2" t="s">
        <v>7</v>
      </c>
      <c r="F73" s="57">
        <v>1</v>
      </c>
      <c r="G73" s="57">
        <v>1</v>
      </c>
      <c r="H73" s="57">
        <v>0</v>
      </c>
      <c r="I73" s="57">
        <v>0</v>
      </c>
      <c r="J73" s="57">
        <v>0</v>
      </c>
      <c r="K73" s="57">
        <v>1</v>
      </c>
      <c r="L73" s="57">
        <v>1</v>
      </c>
      <c r="M73" s="57">
        <v>0</v>
      </c>
      <c r="N73" s="356">
        <v>0</v>
      </c>
      <c r="O73" s="57"/>
      <c r="P73" s="57"/>
      <c r="Q73" s="57"/>
    </row>
    <row r="74" spans="3:17" x14ac:dyDescent="0.35">
      <c r="C74" s="6"/>
      <c r="D74" s="55"/>
      <c r="E74" s="2" t="s">
        <v>9</v>
      </c>
      <c r="F74" s="57">
        <v>1</v>
      </c>
      <c r="G74" s="57">
        <v>0</v>
      </c>
      <c r="H74" s="57">
        <v>0</v>
      </c>
      <c r="I74" s="57">
        <v>1</v>
      </c>
      <c r="J74" s="57">
        <v>1</v>
      </c>
      <c r="K74" s="57">
        <v>1</v>
      </c>
      <c r="L74" s="57">
        <v>0</v>
      </c>
      <c r="M74" s="57">
        <v>0</v>
      </c>
      <c r="N74" s="356">
        <v>0</v>
      </c>
      <c r="O74" s="57"/>
      <c r="P74" s="57"/>
      <c r="Q74" s="57"/>
    </row>
    <row r="75" spans="3:17" x14ac:dyDescent="0.35">
      <c r="D75" s="55"/>
      <c r="E75" s="2" t="s">
        <v>10</v>
      </c>
      <c r="F75" s="57">
        <v>1</v>
      </c>
      <c r="G75" s="57">
        <v>0</v>
      </c>
      <c r="H75" s="57">
        <v>0</v>
      </c>
      <c r="I75" s="57">
        <v>0</v>
      </c>
      <c r="J75" s="57">
        <v>0</v>
      </c>
      <c r="K75" s="57">
        <v>1</v>
      </c>
      <c r="L75" s="57">
        <v>0</v>
      </c>
      <c r="M75" s="57">
        <v>0</v>
      </c>
      <c r="N75" s="356">
        <v>0</v>
      </c>
      <c r="O75" s="57"/>
      <c r="P75" s="57"/>
      <c r="Q75" s="57"/>
    </row>
    <row r="76" spans="3:17" x14ac:dyDescent="0.35">
      <c r="C76" s="6" t="s">
        <v>447</v>
      </c>
      <c r="D76" s="55"/>
    </row>
    <row r="77" spans="3:17" x14ac:dyDescent="0.35">
      <c r="D77" s="55"/>
      <c r="E77" s="2" t="s">
        <v>6</v>
      </c>
      <c r="F77" s="57">
        <f>(30*9*60/20)*12</f>
        <v>9720</v>
      </c>
      <c r="G77" s="57">
        <f t="shared" ref="G77:N77" si="22">(30*9*60/20)*12</f>
        <v>9720</v>
      </c>
      <c r="H77" s="57">
        <f t="shared" si="22"/>
        <v>9720</v>
      </c>
      <c r="I77" s="57">
        <f t="shared" si="22"/>
        <v>9720</v>
      </c>
      <c r="J77" s="57">
        <f t="shared" si="22"/>
        <v>9720</v>
      </c>
      <c r="K77" s="57">
        <f t="shared" si="22"/>
        <v>9720</v>
      </c>
      <c r="L77" s="57">
        <f t="shared" si="22"/>
        <v>9720</v>
      </c>
      <c r="M77" s="57">
        <v>0</v>
      </c>
      <c r="N77" s="57">
        <f t="shared" si="22"/>
        <v>9720</v>
      </c>
      <c r="O77" s="57"/>
      <c r="P77" s="57"/>
    </row>
    <row r="78" spans="3:17" x14ac:dyDescent="0.35">
      <c r="D78" s="55"/>
      <c r="E78" s="2" t="s">
        <v>8</v>
      </c>
      <c r="F78" s="57">
        <f>(30*9*60/10)*12</f>
        <v>19440</v>
      </c>
      <c r="G78" s="57">
        <v>0</v>
      </c>
      <c r="H78" s="57">
        <f t="shared" ref="H78:M78" si="23">(30*9*60/10)*12</f>
        <v>19440</v>
      </c>
      <c r="I78" s="57">
        <f t="shared" si="23"/>
        <v>19440</v>
      </c>
      <c r="J78" s="57">
        <v>0</v>
      </c>
      <c r="K78" s="57">
        <f t="shared" si="23"/>
        <v>19440</v>
      </c>
      <c r="L78" s="57">
        <f t="shared" si="23"/>
        <v>19440</v>
      </c>
      <c r="M78" s="57">
        <f t="shared" si="23"/>
        <v>19440</v>
      </c>
      <c r="N78" s="57">
        <v>0</v>
      </c>
      <c r="O78" s="57"/>
      <c r="P78" s="57"/>
    </row>
    <row r="79" spans="3:17" x14ac:dyDescent="0.35">
      <c r="D79" s="55"/>
      <c r="E79" s="2" t="s">
        <v>7</v>
      </c>
      <c r="F79" s="57">
        <f>(30*9*60/15)*12</f>
        <v>12960</v>
      </c>
      <c r="G79" s="57">
        <f t="shared" ref="G79:L79" si="24">(30*9*60/15)*12</f>
        <v>12960</v>
      </c>
      <c r="H79" s="57">
        <v>0</v>
      </c>
      <c r="I79" s="57">
        <v>0</v>
      </c>
      <c r="J79" s="57">
        <v>0</v>
      </c>
      <c r="K79" s="57">
        <f t="shared" si="24"/>
        <v>12960</v>
      </c>
      <c r="L79" s="57">
        <f t="shared" si="24"/>
        <v>12960</v>
      </c>
      <c r="M79" s="57">
        <v>0</v>
      </c>
      <c r="N79" s="57">
        <v>0</v>
      </c>
      <c r="O79" s="57"/>
      <c r="P79" s="57"/>
    </row>
    <row r="80" spans="3:17" x14ac:dyDescent="0.35">
      <c r="D80" s="55"/>
      <c r="E80" s="2" t="s">
        <v>9</v>
      </c>
      <c r="F80" s="57">
        <f>(30*9*60/8)*12</f>
        <v>24300</v>
      </c>
      <c r="G80" s="57">
        <v>0</v>
      </c>
      <c r="H80" s="57">
        <v>0</v>
      </c>
      <c r="I80" s="57">
        <f t="shared" ref="I80:K80" si="25">(30*9*60/8)*12</f>
        <v>24300</v>
      </c>
      <c r="J80" s="57">
        <f t="shared" si="25"/>
        <v>24300</v>
      </c>
      <c r="K80" s="57">
        <f t="shared" si="25"/>
        <v>24300</v>
      </c>
      <c r="L80" s="57">
        <v>0</v>
      </c>
      <c r="M80" s="57">
        <v>0</v>
      </c>
      <c r="N80" s="57">
        <v>0</v>
      </c>
      <c r="O80" s="57"/>
      <c r="P80" s="57"/>
    </row>
    <row r="81" spans="3:18" x14ac:dyDescent="0.35">
      <c r="D81" s="55"/>
      <c r="E81" s="2" t="s">
        <v>10</v>
      </c>
      <c r="F81" s="57">
        <f>(30*9*60/10)*12</f>
        <v>19440</v>
      </c>
      <c r="G81" s="57">
        <v>0</v>
      </c>
      <c r="H81" s="57">
        <v>0</v>
      </c>
      <c r="I81" s="57">
        <v>0</v>
      </c>
      <c r="J81" s="57">
        <v>0</v>
      </c>
      <c r="K81" s="57">
        <f t="shared" ref="K81" si="26">(30*9*60/10)*12</f>
        <v>19440</v>
      </c>
      <c r="L81" s="57">
        <v>0</v>
      </c>
      <c r="M81" s="57">
        <v>0</v>
      </c>
      <c r="N81" s="57">
        <v>0</v>
      </c>
      <c r="O81" s="57"/>
      <c r="P81" s="57"/>
    </row>
    <row r="82" spans="3:18" x14ac:dyDescent="0.35">
      <c r="C82" s="6" t="s">
        <v>139</v>
      </c>
    </row>
    <row r="83" spans="3:18" x14ac:dyDescent="0.35">
      <c r="E83" s="2" t="s">
        <v>6</v>
      </c>
      <c r="F83" s="201">
        <f>IFERROR(F64/F77,"")</f>
        <v>0.49290123456790125</v>
      </c>
      <c r="G83" s="201">
        <f t="shared" ref="G83:N83" si="27">IFERROR(G64/G77,"")</f>
        <v>0.2866255144032922</v>
      </c>
      <c r="H83" s="201">
        <f t="shared" si="27"/>
        <v>0.17438271604938271</v>
      </c>
      <c r="I83" s="201">
        <f t="shared" si="27"/>
        <v>0.17952674897119342</v>
      </c>
      <c r="J83" s="201">
        <f t="shared" si="27"/>
        <v>0.17376543209876544</v>
      </c>
      <c r="K83" s="201">
        <f t="shared" si="27"/>
        <v>0.29207818930041152</v>
      </c>
      <c r="L83" s="201">
        <f t="shared" si="27"/>
        <v>0.27613168724279835</v>
      </c>
      <c r="M83" s="201" t="str">
        <f t="shared" si="27"/>
        <v/>
      </c>
      <c r="N83" s="201">
        <f t="shared" si="27"/>
        <v>1.5946502057613169E-2</v>
      </c>
      <c r="O83" s="201"/>
      <c r="P83" s="201"/>
      <c r="R83" s="97"/>
    </row>
    <row r="84" spans="3:18" x14ac:dyDescent="0.35">
      <c r="E84" s="2" t="s">
        <v>8</v>
      </c>
      <c r="F84" s="201">
        <f>IFERROR(F65/F78,"")</f>
        <v>7.1039094650205761E-2</v>
      </c>
      <c r="G84" s="201" t="str">
        <f t="shared" ref="G84:N84" si="28">IFERROR(G65/G78,"")</f>
        <v/>
      </c>
      <c r="H84" s="201">
        <f t="shared" si="28"/>
        <v>0.46188271604938269</v>
      </c>
      <c r="I84" s="201">
        <f t="shared" si="28"/>
        <v>2.05761316872428E-3</v>
      </c>
      <c r="J84" s="201" t="str">
        <f t="shared" si="28"/>
        <v/>
      </c>
      <c r="K84" s="201">
        <f t="shared" si="28"/>
        <v>1.5329218106995885E-2</v>
      </c>
      <c r="L84" s="201">
        <f t="shared" si="28"/>
        <v>2.2427983539094649E-2</v>
      </c>
      <c r="M84" s="201">
        <f t="shared" si="28"/>
        <v>4.1975308641975309E-2</v>
      </c>
      <c r="N84" s="201" t="str">
        <f t="shared" si="28"/>
        <v/>
      </c>
      <c r="O84" s="201"/>
      <c r="P84" s="201"/>
      <c r="R84" s="97"/>
    </row>
    <row r="85" spans="3:18" x14ac:dyDescent="0.35">
      <c r="E85" s="2" t="s">
        <v>7</v>
      </c>
      <c r="F85" s="201">
        <f>IFERROR(F66/F79,"")</f>
        <v>1.8287037037037036E-2</v>
      </c>
      <c r="G85" s="201">
        <f t="shared" ref="G85:N85" si="29">IFERROR(G66/G79,"")</f>
        <v>3.572530864197531E-2</v>
      </c>
      <c r="H85" s="201" t="str">
        <f t="shared" si="29"/>
        <v/>
      </c>
      <c r="I85" s="201" t="str">
        <f t="shared" si="29"/>
        <v/>
      </c>
      <c r="J85" s="201" t="str">
        <f t="shared" si="29"/>
        <v/>
      </c>
      <c r="K85" s="201">
        <f t="shared" si="29"/>
        <v>1.4197530864197531E-2</v>
      </c>
      <c r="L85" s="201">
        <f t="shared" si="29"/>
        <v>1.5895061728395062E-2</v>
      </c>
      <c r="M85" s="201" t="str">
        <f t="shared" si="29"/>
        <v/>
      </c>
      <c r="N85" s="201" t="str">
        <f t="shared" si="29"/>
        <v/>
      </c>
      <c r="O85" s="201"/>
      <c r="P85" s="201"/>
      <c r="R85" s="97"/>
    </row>
    <row r="86" spans="3:18" x14ac:dyDescent="0.35">
      <c r="E86" s="2" t="s">
        <v>9</v>
      </c>
      <c r="F86" s="201">
        <f>IFERROR(F67/F80,"")</f>
        <v>7.728395061728395E-2</v>
      </c>
      <c r="G86" s="201" t="str">
        <f t="shared" ref="G86:N86" si="30">IFERROR(G67/G80,"")</f>
        <v/>
      </c>
      <c r="H86" s="201" t="str">
        <f t="shared" si="30"/>
        <v/>
      </c>
      <c r="I86" s="201">
        <f t="shared" si="30"/>
        <v>2.2222222222222222E-3</v>
      </c>
      <c r="J86" s="201">
        <f t="shared" si="30"/>
        <v>1.5226337448559671E-3</v>
      </c>
      <c r="K86" s="201">
        <f t="shared" si="30"/>
        <v>1.7407407407407406E-2</v>
      </c>
      <c r="L86" s="201" t="str">
        <f t="shared" si="30"/>
        <v/>
      </c>
      <c r="M86" s="201" t="str">
        <f t="shared" si="30"/>
        <v/>
      </c>
      <c r="N86" s="201" t="str">
        <f t="shared" si="30"/>
        <v/>
      </c>
      <c r="O86" s="201"/>
      <c r="P86" s="201"/>
      <c r="R86" s="97"/>
    </row>
    <row r="87" spans="3:18" x14ac:dyDescent="0.35">
      <c r="E87" s="2" t="s">
        <v>10</v>
      </c>
      <c r="F87" s="201">
        <f>IFERROR(F68/F81,"")</f>
        <v>3.693415637860082E-2</v>
      </c>
      <c r="G87" s="201" t="str">
        <f t="shared" ref="G87:N87" si="31">IFERROR(G68/G81,"")</f>
        <v/>
      </c>
      <c r="H87" s="201" t="str">
        <f t="shared" si="31"/>
        <v/>
      </c>
      <c r="I87" s="201" t="str">
        <f t="shared" si="31"/>
        <v/>
      </c>
      <c r="J87" s="201" t="str">
        <f t="shared" si="31"/>
        <v/>
      </c>
      <c r="K87" s="201">
        <f t="shared" si="31"/>
        <v>4.4753086419753087E-3</v>
      </c>
      <c r="L87" s="201" t="str">
        <f t="shared" si="31"/>
        <v/>
      </c>
      <c r="M87" s="201" t="str">
        <f t="shared" si="31"/>
        <v/>
      </c>
      <c r="N87" s="201" t="str">
        <f t="shared" si="31"/>
        <v/>
      </c>
      <c r="O87" s="201"/>
      <c r="P87" s="201"/>
      <c r="R87" s="97"/>
    </row>
    <row r="88" spans="3:18" x14ac:dyDescent="0.35">
      <c r="C88" s="6" t="s">
        <v>444</v>
      </c>
    </row>
    <row r="89" spans="3:18" x14ac:dyDescent="0.35">
      <c r="E89" s="2" t="s">
        <v>6</v>
      </c>
      <c r="F89" s="62">
        <f>IFERROR(F13*10^6/F64,"")</f>
        <v>1876497.5996660404</v>
      </c>
      <c r="G89" s="62">
        <f t="shared" ref="G89:N89" si="32">IFERROR(G13*10^6/G64,"")</f>
        <v>1864472.3618090448</v>
      </c>
      <c r="H89" s="62">
        <f t="shared" si="32"/>
        <v>2068061.8289085545</v>
      </c>
      <c r="I89" s="62">
        <f t="shared" si="32"/>
        <v>1879054.4412607451</v>
      </c>
      <c r="J89" s="62">
        <f t="shared" si="32"/>
        <v>1148780.3433984607</v>
      </c>
      <c r="K89" s="62">
        <f t="shared" si="32"/>
        <v>2023124.339556182</v>
      </c>
      <c r="L89" s="62">
        <f t="shared" si="32"/>
        <v>1902500.3725782419</v>
      </c>
      <c r="M89" s="62" t="str">
        <f t="shared" si="32"/>
        <v/>
      </c>
      <c r="N89" s="62">
        <f t="shared" si="32"/>
        <v>1361225.8064516129</v>
      </c>
      <c r="O89" s="62"/>
      <c r="P89" s="62"/>
    </row>
    <row r="90" spans="3:18" x14ac:dyDescent="0.35">
      <c r="E90" s="2" t="s">
        <v>8</v>
      </c>
      <c r="F90" s="62">
        <f>IFERROR(F14*10^6/F65,"")</f>
        <v>1189934.829833454</v>
      </c>
      <c r="G90" s="62" t="str">
        <f t="shared" ref="G90:N90" si="33">IFERROR(G14*10^6/G65,"")</f>
        <v/>
      </c>
      <c r="H90" s="62">
        <f t="shared" si="33"/>
        <v>824894.27553179651</v>
      </c>
      <c r="I90" s="62">
        <f t="shared" si="33"/>
        <v>875000</v>
      </c>
      <c r="J90" s="62" t="str">
        <f t="shared" si="33"/>
        <v/>
      </c>
      <c r="K90" s="62">
        <f t="shared" si="33"/>
        <v>930691.27516778524</v>
      </c>
      <c r="L90" s="62">
        <f t="shared" si="33"/>
        <v>810699.54128440365</v>
      </c>
      <c r="M90" s="62">
        <f t="shared" si="33"/>
        <v>849632.35294117662</v>
      </c>
      <c r="N90" s="62" t="str">
        <f t="shared" si="33"/>
        <v/>
      </c>
      <c r="O90" s="62"/>
      <c r="P90" s="62"/>
    </row>
    <row r="91" spans="3:18" x14ac:dyDescent="0.35">
      <c r="E91" s="2" t="s">
        <v>7</v>
      </c>
      <c r="F91" s="62">
        <f>IFERROR(F15*10^6/F66,"")</f>
        <v>524472.57383966248</v>
      </c>
      <c r="G91" s="62">
        <f t="shared" ref="G91:N91" si="34">IFERROR(G15*10^6/G66,"")</f>
        <v>479697.62419006479</v>
      </c>
      <c r="H91" s="62" t="str">
        <f t="shared" si="34"/>
        <v/>
      </c>
      <c r="I91" s="62" t="str">
        <f t="shared" si="34"/>
        <v/>
      </c>
      <c r="J91" s="62" t="str">
        <f t="shared" si="34"/>
        <v/>
      </c>
      <c r="K91" s="62">
        <f t="shared" si="34"/>
        <v>429704.34782608686</v>
      </c>
      <c r="L91" s="62">
        <f t="shared" si="34"/>
        <v>340388.3495145631</v>
      </c>
      <c r="M91" s="62" t="str">
        <f t="shared" si="34"/>
        <v/>
      </c>
      <c r="N91" s="62" t="str">
        <f t="shared" si="34"/>
        <v/>
      </c>
      <c r="O91" s="62"/>
      <c r="P91" s="62"/>
    </row>
    <row r="92" spans="3:18" x14ac:dyDescent="0.35">
      <c r="E92" s="2" t="s">
        <v>9</v>
      </c>
      <c r="F92" s="62">
        <f>IFERROR(F15*10^6/F67,"")</f>
        <v>66187.433439829605</v>
      </c>
      <c r="G92" s="62" t="str">
        <f t="shared" ref="G92:N92" si="35">IFERROR(G15*10^6/G67,"")</f>
        <v/>
      </c>
      <c r="H92" s="62" t="str">
        <f t="shared" si="35"/>
        <v/>
      </c>
      <c r="I92" s="62">
        <f t="shared" si="35"/>
        <v>0</v>
      </c>
      <c r="J92" s="62">
        <f t="shared" si="35"/>
        <v>0</v>
      </c>
      <c r="K92" s="62">
        <f t="shared" si="35"/>
        <v>186916.31205673754</v>
      </c>
      <c r="L92" s="62" t="str">
        <f t="shared" si="35"/>
        <v/>
      </c>
      <c r="M92" s="62" t="str">
        <f t="shared" si="35"/>
        <v/>
      </c>
      <c r="N92" s="62" t="str">
        <f t="shared" si="35"/>
        <v/>
      </c>
      <c r="O92" s="62"/>
      <c r="P92" s="62"/>
    </row>
    <row r="93" spans="3:18" x14ac:dyDescent="0.35">
      <c r="E93" s="2" t="s">
        <v>10</v>
      </c>
      <c r="F93" s="62">
        <f>IFERROR(F17*10^6/F68,"")</f>
        <v>160027.85515320333</v>
      </c>
      <c r="G93" s="62" t="str">
        <f t="shared" ref="G93:N93" si="36">IFERROR(G17*10^6/G68,"")</f>
        <v/>
      </c>
      <c r="H93" s="62" t="str">
        <f t="shared" si="36"/>
        <v/>
      </c>
      <c r="I93" s="62" t="str">
        <f t="shared" si="36"/>
        <v/>
      </c>
      <c r="J93" s="62" t="str">
        <f t="shared" si="36"/>
        <v/>
      </c>
      <c r="K93" s="62">
        <f t="shared" si="36"/>
        <v>191264.36781609195</v>
      </c>
      <c r="L93" s="62" t="str">
        <f t="shared" si="36"/>
        <v/>
      </c>
      <c r="M93" s="62" t="str">
        <f t="shared" si="36"/>
        <v/>
      </c>
      <c r="N93" s="62" t="str">
        <f t="shared" si="36"/>
        <v/>
      </c>
      <c r="O93" s="62"/>
      <c r="P93" s="62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6F59C-B2D4-49DC-B9CB-C0C1DC614A4E}">
  <sheetPr>
    <tabColor rgb="FF194BCF"/>
  </sheetPr>
  <dimension ref="B3:Y265"/>
  <sheetViews>
    <sheetView tabSelected="1" zoomScale="85" zoomScaleNormal="85" workbookViewId="0">
      <pane xSplit="5" ySplit="9" topLeftCell="F30" activePane="bottomRight" state="frozen"/>
      <selection pane="topRight" activeCell="E1" sqref="E1"/>
      <selection pane="bottomLeft" activeCell="A4" sqref="A4"/>
      <selection pane="bottomRight" activeCell="P68" sqref="P68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34.265625" style="2" customWidth="1"/>
    <col min="6" max="6" width="9.3984375" style="2" customWidth="1"/>
    <col min="7" max="17" width="9.73046875" style="2" bestFit="1" customWidth="1"/>
    <col min="18" max="18" width="11.73046875" style="2" customWidth="1" outlineLevel="1"/>
    <col min="19" max="19" width="10.73046875" style="2" customWidth="1" outlineLevel="1"/>
    <col min="20" max="20" width="10.73046875" style="2" customWidth="1"/>
    <col min="21" max="21" width="7" style="2" customWidth="1"/>
    <col min="22" max="22" width="6.73046875" style="2" customWidth="1"/>
    <col min="23" max="23" width="6" style="2" customWidth="1"/>
    <col min="24" max="24" width="10" style="2" customWidth="1"/>
    <col min="25" max="16384" width="9.1328125" style="2"/>
  </cols>
  <sheetData>
    <row r="3" spans="2:25" x14ac:dyDescent="0.35">
      <c r="H3" s="60"/>
    </row>
    <row r="4" spans="2:25" x14ac:dyDescent="0.35">
      <c r="B4" s="2" t="s">
        <v>25</v>
      </c>
    </row>
    <row r="6" spans="2:25" x14ac:dyDescent="0.35">
      <c r="B6" s="27" t="s">
        <v>104</v>
      </c>
    </row>
    <row r="7" spans="2:25" s="6" customFormat="1" x14ac:dyDescent="0.35">
      <c r="F7" s="74" t="s">
        <v>141</v>
      </c>
      <c r="G7" s="74" t="s">
        <v>141</v>
      </c>
      <c r="H7" s="74" t="s">
        <v>141</v>
      </c>
      <c r="I7" s="74" t="s">
        <v>141</v>
      </c>
      <c r="J7" s="74" t="s">
        <v>141</v>
      </c>
      <c r="K7" s="74" t="s">
        <v>141</v>
      </c>
      <c r="L7" s="74" t="s">
        <v>141</v>
      </c>
      <c r="M7" s="74" t="s">
        <v>141</v>
      </c>
      <c r="N7" s="74" t="s">
        <v>141</v>
      </c>
      <c r="O7" s="74" t="s">
        <v>141</v>
      </c>
      <c r="P7" s="74" t="s">
        <v>141</v>
      </c>
      <c r="Q7" s="73" t="s">
        <v>141</v>
      </c>
    </row>
    <row r="8" spans="2:25" x14ac:dyDescent="0.35">
      <c r="B8" s="32" t="s">
        <v>55</v>
      </c>
      <c r="F8" s="32" t="s">
        <v>52</v>
      </c>
      <c r="R8" s="381" t="s">
        <v>501</v>
      </c>
      <c r="S8" s="380"/>
      <c r="T8" s="380"/>
      <c r="U8" s="381" t="s">
        <v>487</v>
      </c>
      <c r="V8" s="380"/>
      <c r="W8" s="380"/>
      <c r="X8" s="381" t="s">
        <v>500</v>
      </c>
      <c r="Y8" s="380"/>
    </row>
    <row r="9" spans="2:25" ht="16.149999999999999" customHeight="1" x14ac:dyDescent="0.35">
      <c r="B9" s="45" t="s">
        <v>101</v>
      </c>
      <c r="F9" s="61">
        <v>1</v>
      </c>
      <c r="G9" s="61">
        <v>2</v>
      </c>
      <c r="H9" s="61">
        <v>3</v>
      </c>
      <c r="I9" s="61">
        <v>4</v>
      </c>
      <c r="J9" s="61">
        <v>5</v>
      </c>
      <c r="K9" s="61">
        <v>6</v>
      </c>
      <c r="L9" s="61">
        <v>7</v>
      </c>
      <c r="M9" s="61">
        <v>8</v>
      </c>
      <c r="N9" s="61">
        <v>9</v>
      </c>
      <c r="O9" s="61">
        <v>10</v>
      </c>
      <c r="P9" s="61">
        <v>11</v>
      </c>
      <c r="Q9" s="61">
        <v>12</v>
      </c>
      <c r="R9" s="114" t="s">
        <v>4</v>
      </c>
      <c r="S9" s="114" t="s">
        <v>5</v>
      </c>
      <c r="T9" s="114" t="s">
        <v>504</v>
      </c>
      <c r="U9" s="114" t="s">
        <v>484</v>
      </c>
      <c r="V9" s="113" t="s">
        <v>485</v>
      </c>
      <c r="W9" s="113" t="s">
        <v>486</v>
      </c>
      <c r="X9" s="113" t="s">
        <v>498</v>
      </c>
      <c r="Y9" s="113" t="s">
        <v>499</v>
      </c>
    </row>
    <row r="10" spans="2:25" ht="3" customHeight="1" x14ac:dyDescent="0.35">
      <c r="B10" s="45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31"/>
      <c r="R10" s="32"/>
      <c r="S10" s="32"/>
      <c r="T10" s="32"/>
      <c r="U10" s="73"/>
    </row>
    <row r="11" spans="2:25" x14ac:dyDescent="0.35">
      <c r="B11" s="27" t="s">
        <v>11</v>
      </c>
      <c r="D11" s="6"/>
    </row>
    <row r="12" spans="2:25" x14ac:dyDescent="0.35">
      <c r="C12" s="6" t="s">
        <v>12</v>
      </c>
      <c r="F12" s="84"/>
    </row>
    <row r="13" spans="2:25" x14ac:dyDescent="0.35">
      <c r="D13" s="2" t="s">
        <v>6</v>
      </c>
      <c r="F13" s="62">
        <f>SUBTOTAL(9,F14:F22)</f>
        <v>1252.3699999999999</v>
      </c>
      <c r="G13" s="62">
        <f t="shared" ref="G13:Q13" si="0">SUBTOTAL(9,G14:G22)</f>
        <v>2129.88</v>
      </c>
      <c r="H13" s="62">
        <f t="shared" si="0"/>
        <v>2521.672</v>
      </c>
      <c r="I13" s="62">
        <f t="shared" si="0"/>
        <v>2779.2615999999998</v>
      </c>
      <c r="J13" s="62">
        <f t="shared" si="0"/>
        <v>2952.0801000000001</v>
      </c>
      <c r="K13" s="62">
        <f t="shared" si="0"/>
        <v>3027.2768000000001</v>
      </c>
      <c r="L13" s="62">
        <f t="shared" si="0"/>
        <v>3317.8499999999995</v>
      </c>
      <c r="M13" s="62">
        <f t="shared" si="0"/>
        <v>3450.45</v>
      </c>
      <c r="N13" s="62">
        <f t="shared" si="0"/>
        <v>3121.8242999999998</v>
      </c>
      <c r="O13" s="62">
        <f t="shared" si="0"/>
        <v>3271.991</v>
      </c>
      <c r="P13" s="62">
        <f t="shared" si="0"/>
        <v>2971.944</v>
      </c>
      <c r="Q13" s="62">
        <f t="shared" si="0"/>
        <v>3173.6759999999995</v>
      </c>
      <c r="R13" s="62">
        <f>SUMIFS($F13:$Q13,$F$7:$Q$7,"A")</f>
        <v>33970.275800000003</v>
      </c>
      <c r="S13" s="62">
        <f>SUMIFS($F13:$Q13,$F$7:$Q$7,"B")</f>
        <v>0</v>
      </c>
      <c r="T13" s="57">
        <f>SUM(R13:S13)</f>
        <v>33970.275800000003</v>
      </c>
      <c r="U13" s="382">
        <f>IFERROR(R13/R$45,"")</f>
        <v>0.74773972848983061</v>
      </c>
      <c r="V13" s="382" t="str">
        <f>IFERROR(S13/S$45,"")</f>
        <v/>
      </c>
      <c r="W13" s="382">
        <f>IFERROR(T13/T$45,"")</f>
        <v>0.74773972848983061</v>
      </c>
    </row>
    <row r="14" spans="2:25" hidden="1" outlineLevel="1" x14ac:dyDescent="0.35">
      <c r="E14" s="341" t="s">
        <v>147</v>
      </c>
      <c r="F14" s="342">
        <f>HaiDuong!F42</f>
        <v>480.4</v>
      </c>
      <c r="G14" s="342">
        <f>HaiDuong!G42</f>
        <v>766.6</v>
      </c>
      <c r="H14" s="342">
        <f>HaiDuong!H42</f>
        <v>864</v>
      </c>
      <c r="I14" s="342">
        <f>HaiDuong!I42</f>
        <v>1002.4</v>
      </c>
      <c r="J14" s="342">
        <f>HaiDuong!J42</f>
        <v>860.4</v>
      </c>
      <c r="K14" s="342">
        <f>HaiDuong!K42</f>
        <v>801.6</v>
      </c>
      <c r="L14" s="342">
        <f>HaiDuong!L42</f>
        <v>845.2</v>
      </c>
      <c r="M14" s="342">
        <f>HaiDuong!M42</f>
        <v>676.4</v>
      </c>
      <c r="N14" s="342">
        <f>HaiDuong!N42</f>
        <v>707.3</v>
      </c>
      <c r="O14" s="342">
        <f>HaiDuong!O42</f>
        <v>659.8</v>
      </c>
      <c r="P14" s="342">
        <f>HaiDuong!P42</f>
        <v>625.79999999999995</v>
      </c>
      <c r="Q14" s="342">
        <f>HaiDuong!Q42</f>
        <v>700.4</v>
      </c>
      <c r="R14" s="342">
        <f>SUMIFS($F14:$Q14,$F$7:$Q$7,"A")</f>
        <v>8990.2999999999993</v>
      </c>
      <c r="S14" s="343">
        <f t="shared" ref="S14:S34" si="1">SUMIFS($F14:$Q14,$F$7:$Q$7,"B")</f>
        <v>0</v>
      </c>
      <c r="T14" s="344">
        <f>SUM(R14:S14)</f>
        <v>8990.2999999999993</v>
      </c>
      <c r="U14" s="386">
        <f t="shared" ref="U14:U77" si="2">IFERROR(R14/R$45,"")</f>
        <v>0.1978907831252322</v>
      </c>
      <c r="V14" s="387" t="str">
        <f t="shared" ref="V14:V77" si="3">IFERROR(S14/S$45,"")</f>
        <v/>
      </c>
      <c r="W14" s="387">
        <f t="shared" ref="W14:W77" si="4">IFERROR(T14/T$45,"")</f>
        <v>0.1978907831252322</v>
      </c>
    </row>
    <row r="15" spans="2:25" hidden="1" outlineLevel="1" x14ac:dyDescent="0.35">
      <c r="E15" s="345" t="s">
        <v>150</v>
      </c>
      <c r="F15" s="195">
        <f>CaMau!F12</f>
        <v>185.58</v>
      </c>
      <c r="G15" s="195">
        <f>CaMau!G12</f>
        <v>339.3</v>
      </c>
      <c r="H15" s="195">
        <f>CaMau!H12</f>
        <v>407.7</v>
      </c>
      <c r="I15" s="195">
        <f>CaMau!I12</f>
        <v>500.4</v>
      </c>
      <c r="J15" s="195">
        <f>CaMau!J12</f>
        <v>477</v>
      </c>
      <c r="K15" s="195">
        <f>CaMau!K12</f>
        <v>592.83000000000004</v>
      </c>
      <c r="L15" s="195">
        <f>CaMau!L12</f>
        <v>457.65</v>
      </c>
      <c r="M15" s="195">
        <f>CaMau!M12</f>
        <v>463.5</v>
      </c>
      <c r="N15" s="195">
        <f>CaMau!N12</f>
        <v>436.53</v>
      </c>
      <c r="O15" s="195">
        <f>CaMau!O12</f>
        <v>506.58</v>
      </c>
      <c r="P15" s="195">
        <f>CaMau!P12</f>
        <v>473.7</v>
      </c>
      <c r="Q15" s="195">
        <f>CaMau!Q12</f>
        <v>353.65</v>
      </c>
      <c r="R15" s="350">
        <f t="shared" ref="R15:R22" si="5">SUMIFS($F15:$Q15,$F$7:$Q$7,"A")</f>
        <v>5194.4199999999992</v>
      </c>
      <c r="S15" s="62">
        <f t="shared" si="1"/>
        <v>0</v>
      </c>
      <c r="T15" s="346">
        <f t="shared" ref="T15:T29" si="6">SUM(R15:S15)</f>
        <v>5194.4199999999992</v>
      </c>
      <c r="U15" s="386">
        <f t="shared" si="2"/>
        <v>0.11433743497785041</v>
      </c>
      <c r="V15" s="387" t="str">
        <f t="shared" si="3"/>
        <v/>
      </c>
      <c r="W15" s="387">
        <f t="shared" si="4"/>
        <v>0.11433743497785041</v>
      </c>
    </row>
    <row r="16" spans="2:25" hidden="1" outlineLevel="1" x14ac:dyDescent="0.35">
      <c r="E16" s="345" t="s">
        <v>146</v>
      </c>
      <c r="F16" s="195">
        <f>ThanhHoa!F12</f>
        <v>177.8</v>
      </c>
      <c r="G16" s="195">
        <f>ThanhHoa!G12</f>
        <v>333.2</v>
      </c>
      <c r="H16" s="195">
        <f>ThanhHoa!H12</f>
        <v>304.67200000000003</v>
      </c>
      <c r="I16" s="195">
        <f>ThanhHoa!I12</f>
        <v>403.27159999999998</v>
      </c>
      <c r="J16" s="195">
        <f>ThanhHoa!J12</f>
        <v>537.33010000000002</v>
      </c>
      <c r="K16" s="195">
        <f>ThanhHoa!K12</f>
        <v>256.16680000000002</v>
      </c>
      <c r="L16" s="195">
        <f>ThanhHoa!L12</f>
        <v>296.2</v>
      </c>
      <c r="M16" s="195">
        <f>ThanhHoa!M12</f>
        <v>376.5</v>
      </c>
      <c r="N16" s="195">
        <f>ThanhHoa!N12</f>
        <v>304.62430000000001</v>
      </c>
      <c r="O16" s="195">
        <f>ThanhHoa!O12</f>
        <v>185.9</v>
      </c>
      <c r="P16" s="195">
        <f>ThanhHoa!P12</f>
        <v>174.2</v>
      </c>
      <c r="Q16" s="195">
        <f>ThanhHoa!Q12</f>
        <v>155.5</v>
      </c>
      <c r="R16" s="350">
        <f t="shared" si="5"/>
        <v>3505.3647999999998</v>
      </c>
      <c r="S16" s="62">
        <f t="shared" si="1"/>
        <v>0</v>
      </c>
      <c r="T16" s="346">
        <f t="shared" si="6"/>
        <v>3505.3647999999998</v>
      </c>
      <c r="U16" s="386">
        <f t="shared" si="2"/>
        <v>7.7158647143212453E-2</v>
      </c>
      <c r="V16" s="387" t="str">
        <f t="shared" si="3"/>
        <v/>
      </c>
      <c r="W16" s="387">
        <f t="shared" si="4"/>
        <v>7.7158647143212453E-2</v>
      </c>
    </row>
    <row r="17" spans="4:23" hidden="1" outlineLevel="1" x14ac:dyDescent="0.35">
      <c r="E17" s="345" t="s">
        <v>148</v>
      </c>
      <c r="F17" s="195">
        <f>ThaiNguyen!F12</f>
        <v>75.599999999999994</v>
      </c>
      <c r="G17" s="195">
        <f>ThaiNguyen!G12</f>
        <v>127.9</v>
      </c>
      <c r="H17" s="195">
        <f>ThaiNguyen!H12</f>
        <v>206.55</v>
      </c>
      <c r="I17" s="195">
        <f>ThaiNguyen!I12</f>
        <v>173.9</v>
      </c>
      <c r="J17" s="195">
        <f>ThaiNguyen!J12</f>
        <v>239.2</v>
      </c>
      <c r="K17" s="195">
        <f>ThaiNguyen!K12</f>
        <v>249.2</v>
      </c>
      <c r="L17" s="195">
        <f>ThaiNguyen!L12</f>
        <v>272.39999999999998</v>
      </c>
      <c r="M17" s="195">
        <f>ThaiNguyen!M12</f>
        <v>344.6</v>
      </c>
      <c r="N17" s="195">
        <f>ThaiNguyen!N12</f>
        <v>336.3</v>
      </c>
      <c r="O17" s="195">
        <f>ThaiNguyen!O12</f>
        <v>373.3</v>
      </c>
      <c r="P17" s="195">
        <f>ThaiNguyen!P12</f>
        <v>431.7</v>
      </c>
      <c r="Q17" s="195">
        <f>ThaiNguyen!Q12</f>
        <v>448.3</v>
      </c>
      <c r="R17" s="350">
        <f t="shared" si="5"/>
        <v>3278.95</v>
      </c>
      <c r="S17" s="62">
        <f t="shared" si="1"/>
        <v>0</v>
      </c>
      <c r="T17" s="346">
        <f t="shared" si="6"/>
        <v>3278.95</v>
      </c>
      <c r="U17" s="386">
        <f t="shared" si="2"/>
        <v>7.2174897759638729E-2</v>
      </c>
      <c r="V17" s="387" t="str">
        <f t="shared" si="3"/>
        <v/>
      </c>
      <c r="W17" s="387">
        <f t="shared" si="4"/>
        <v>7.2174897759638729E-2</v>
      </c>
    </row>
    <row r="18" spans="4:23" hidden="1" outlineLevel="1" x14ac:dyDescent="0.35">
      <c r="E18" s="345" t="s">
        <v>327</v>
      </c>
      <c r="F18" s="195">
        <f>ThaiBinh!F12</f>
        <v>0</v>
      </c>
      <c r="G18" s="195">
        <f>ThaiBinh!G12</f>
        <v>0</v>
      </c>
      <c r="H18" s="195">
        <f>ThaiBinh!H12</f>
        <v>0</v>
      </c>
      <c r="I18" s="195">
        <f>ThaiBinh!I12</f>
        <v>0</v>
      </c>
      <c r="J18" s="195">
        <f>ThaiBinh!J12</f>
        <v>0</v>
      </c>
      <c r="K18" s="195">
        <f>ThaiBinh!K12</f>
        <v>81.349999999999994</v>
      </c>
      <c r="L18" s="195">
        <f>ThaiBinh!L12</f>
        <v>311.85000000000002</v>
      </c>
      <c r="M18" s="195">
        <f>ThaiBinh!M12</f>
        <v>503.9</v>
      </c>
      <c r="N18" s="195">
        <f>ThaiBinh!N12</f>
        <v>323.54000000000002</v>
      </c>
      <c r="O18" s="195">
        <f>ThaiBinh!O12</f>
        <v>264.19</v>
      </c>
      <c r="P18" s="195">
        <f>ThaiBinh!P12</f>
        <v>229.89</v>
      </c>
      <c r="Q18" s="195">
        <f>ThaiBinh!Q12</f>
        <v>225.57</v>
      </c>
      <c r="R18" s="350">
        <f t="shared" si="5"/>
        <v>1940.2900000000002</v>
      </c>
      <c r="S18" s="62">
        <f t="shared" si="1"/>
        <v>0</v>
      </c>
      <c r="T18" s="346">
        <f t="shared" si="6"/>
        <v>1940.2900000000002</v>
      </c>
      <c r="U18" s="386">
        <f t="shared" si="2"/>
        <v>4.2708864842113926E-2</v>
      </c>
      <c r="V18" s="387" t="str">
        <f t="shared" si="3"/>
        <v/>
      </c>
      <c r="W18" s="387">
        <f t="shared" si="4"/>
        <v>4.2708864842113926E-2</v>
      </c>
    </row>
    <row r="19" spans="4:23" hidden="1" outlineLevel="1" x14ac:dyDescent="0.35">
      <c r="E19" s="345" t="s">
        <v>151</v>
      </c>
      <c r="F19" s="195">
        <f>YetKieu!F12</f>
        <v>156.35</v>
      </c>
      <c r="G19" s="195">
        <f>YetKieu!G12</f>
        <v>265.33999999999997</v>
      </c>
      <c r="H19" s="195">
        <f>YetKieu!H12</f>
        <v>331.05</v>
      </c>
      <c r="I19" s="195">
        <f>YetKieu!I12</f>
        <v>299.79000000000002</v>
      </c>
      <c r="J19" s="195">
        <f>YetKieu!J12</f>
        <v>461</v>
      </c>
      <c r="K19" s="195">
        <f>YetKieu!K12</f>
        <v>563.95000000000005</v>
      </c>
      <c r="L19" s="195">
        <f>YetKieu!L12</f>
        <v>637.80999999999995</v>
      </c>
      <c r="M19" s="195">
        <f>YetKieu!M12</f>
        <v>589.04999999999995</v>
      </c>
      <c r="N19" s="195">
        <f>YetKieu!N12</f>
        <v>600.35</v>
      </c>
      <c r="O19" s="195">
        <f>YetKieu!O12</f>
        <v>640</v>
      </c>
      <c r="P19" s="195">
        <f>YetKieu!P12</f>
        <v>551.08399999999995</v>
      </c>
      <c r="Q19" s="195">
        <f>YetKieu!Q12</f>
        <v>647.87599999999998</v>
      </c>
      <c r="R19" s="350">
        <f t="shared" si="5"/>
        <v>5743.6500000000005</v>
      </c>
      <c r="S19" s="62">
        <f t="shared" si="1"/>
        <v>0</v>
      </c>
      <c r="T19" s="346">
        <f t="shared" si="6"/>
        <v>5743.6500000000005</v>
      </c>
      <c r="U19" s="386">
        <f t="shared" si="2"/>
        <v>0.12642685967067174</v>
      </c>
      <c r="V19" s="387" t="str">
        <f t="shared" si="3"/>
        <v/>
      </c>
      <c r="W19" s="387">
        <f t="shared" si="4"/>
        <v>0.12642685967067174</v>
      </c>
    </row>
    <row r="20" spans="4:23" hidden="1" outlineLevel="1" x14ac:dyDescent="0.35">
      <c r="E20" s="345" t="s">
        <v>153</v>
      </c>
      <c r="F20" s="195">
        <f>NhaTrang!F12</f>
        <v>176.64</v>
      </c>
      <c r="G20" s="195">
        <f>NhaTrang!G12</f>
        <v>297.54000000000002</v>
      </c>
      <c r="H20" s="195">
        <f>NhaTrang!H12</f>
        <v>407.7</v>
      </c>
      <c r="I20" s="195">
        <f>NhaTrang!I12</f>
        <v>399.5</v>
      </c>
      <c r="J20" s="195">
        <f>NhaTrang!J12</f>
        <v>377.15</v>
      </c>
      <c r="K20" s="195">
        <f>NhaTrang!K12</f>
        <v>482.18</v>
      </c>
      <c r="L20" s="195">
        <f>NhaTrang!L12</f>
        <v>496.74</v>
      </c>
      <c r="M20" s="195">
        <f>NhaTrang!M12</f>
        <v>496.5</v>
      </c>
      <c r="N20" s="195">
        <f>NhaTrang!N12</f>
        <v>413.18</v>
      </c>
      <c r="O20" s="195">
        <f>NhaTrang!O12</f>
        <v>615.02099999999996</v>
      </c>
      <c r="P20" s="195">
        <f>NhaTrang!P12</f>
        <v>414.02</v>
      </c>
      <c r="Q20" s="195">
        <f>NhaTrang!Q12</f>
        <v>530.14</v>
      </c>
      <c r="R20" s="350">
        <f t="shared" si="5"/>
        <v>5106.3110000000006</v>
      </c>
      <c r="S20" s="62">
        <f t="shared" si="1"/>
        <v>0</v>
      </c>
      <c r="T20" s="346">
        <f t="shared" si="6"/>
        <v>5106.3110000000006</v>
      </c>
      <c r="U20" s="386">
        <f t="shared" si="2"/>
        <v>0.11239801593617429</v>
      </c>
      <c r="V20" s="387" t="str">
        <f t="shared" si="3"/>
        <v/>
      </c>
      <c r="W20" s="387">
        <f t="shared" si="4"/>
        <v>0.11239801593617429</v>
      </c>
    </row>
    <row r="21" spans="4:23" hidden="1" outlineLevel="1" x14ac:dyDescent="0.35">
      <c r="E21" s="345" t="s">
        <v>154</v>
      </c>
      <c r="F21" s="195">
        <f>0</f>
        <v>0</v>
      </c>
      <c r="G21" s="195">
        <f>0</f>
        <v>0</v>
      </c>
      <c r="H21" s="195">
        <f>0</f>
        <v>0</v>
      </c>
      <c r="I21" s="195">
        <f>0</f>
        <v>0</v>
      </c>
      <c r="J21" s="195">
        <f>0</f>
        <v>0</v>
      </c>
      <c r="K21" s="195">
        <f>0</f>
        <v>0</v>
      </c>
      <c r="L21" s="195">
        <f>0</f>
        <v>0</v>
      </c>
      <c r="M21" s="195">
        <f>0</f>
        <v>0</v>
      </c>
      <c r="N21" s="195">
        <f>0</f>
        <v>0</v>
      </c>
      <c r="O21" s="195">
        <f>0</f>
        <v>0</v>
      </c>
      <c r="P21" s="195">
        <f>0</f>
        <v>0</v>
      </c>
      <c r="Q21" s="195">
        <f>0</f>
        <v>0</v>
      </c>
      <c r="R21" s="350">
        <f t="shared" si="5"/>
        <v>0</v>
      </c>
      <c r="S21" s="62">
        <f t="shared" si="1"/>
        <v>0</v>
      </c>
      <c r="T21" s="346">
        <f t="shared" si="6"/>
        <v>0</v>
      </c>
      <c r="U21" s="386">
        <f t="shared" si="2"/>
        <v>0</v>
      </c>
      <c r="V21" s="387" t="str">
        <f t="shared" si="3"/>
        <v/>
      </c>
      <c r="W21" s="387">
        <f t="shared" si="4"/>
        <v>0</v>
      </c>
    </row>
    <row r="22" spans="4:23" hidden="1" outlineLevel="1" x14ac:dyDescent="0.35">
      <c r="E22" s="347" t="s">
        <v>155</v>
      </c>
      <c r="F22" s="348">
        <f>'SocSon-1'!F22</f>
        <v>0</v>
      </c>
      <c r="G22" s="348">
        <f>'SocSon-1'!G22</f>
        <v>0</v>
      </c>
      <c r="H22" s="348">
        <f>'SocSon-1'!H22</f>
        <v>0</v>
      </c>
      <c r="I22" s="348">
        <f>'SocSon-1'!I22</f>
        <v>0</v>
      </c>
      <c r="J22" s="348">
        <f>'SocSon-1'!J22</f>
        <v>0</v>
      </c>
      <c r="K22" s="348">
        <f>'SocSon-1'!K22</f>
        <v>0</v>
      </c>
      <c r="L22" s="348">
        <f>'SocSon-1'!L22</f>
        <v>0</v>
      </c>
      <c r="M22" s="348">
        <f>'SocSon-1'!M22</f>
        <v>0</v>
      </c>
      <c r="N22" s="348">
        <f>'SocSon-1'!N22</f>
        <v>0</v>
      </c>
      <c r="O22" s="348">
        <f>'SocSon-1'!O22</f>
        <v>27.2</v>
      </c>
      <c r="P22" s="348">
        <f>'SocSon-1'!P22</f>
        <v>71.55</v>
      </c>
      <c r="Q22" s="348">
        <f>'SocSon-1'!Q22</f>
        <v>112.24</v>
      </c>
      <c r="R22" s="352">
        <f t="shared" si="5"/>
        <v>210.99</v>
      </c>
      <c r="S22" s="348">
        <f t="shared" si="1"/>
        <v>0</v>
      </c>
      <c r="T22" s="349">
        <f t="shared" si="6"/>
        <v>210.99</v>
      </c>
      <c r="U22" s="386">
        <f t="shared" si="2"/>
        <v>4.6442250349368478E-3</v>
      </c>
      <c r="V22" s="387" t="str">
        <f t="shared" si="3"/>
        <v/>
      </c>
      <c r="W22" s="387">
        <f t="shared" si="4"/>
        <v>4.6442250349368478E-3</v>
      </c>
    </row>
    <row r="23" spans="4:23" collapsed="1" x14ac:dyDescent="0.35">
      <c r="D23" s="2" t="s">
        <v>8</v>
      </c>
      <c r="E23" s="338"/>
      <c r="F23" s="62">
        <f>SUBTOTAL(9,F24:F29)</f>
        <v>198.65</v>
      </c>
      <c r="G23" s="62">
        <f t="shared" ref="G23:Q23" si="7">SUBTOTAL(9,G24:G29)</f>
        <v>892.38499999999999</v>
      </c>
      <c r="H23" s="62">
        <f t="shared" si="7"/>
        <v>1292.5899999999999</v>
      </c>
      <c r="I23" s="62">
        <f t="shared" si="7"/>
        <v>1093.3588000000002</v>
      </c>
      <c r="J23" s="62">
        <f t="shared" si="7"/>
        <v>1199.2536</v>
      </c>
      <c r="K23" s="62">
        <f t="shared" si="7"/>
        <v>1422.2210000000002</v>
      </c>
      <c r="L23" s="62">
        <f t="shared" si="7"/>
        <v>996.99599999999998</v>
      </c>
      <c r="M23" s="62">
        <f t="shared" si="7"/>
        <v>470.64099999999996</v>
      </c>
      <c r="N23" s="62">
        <f t="shared" si="7"/>
        <v>1583.8953000000001</v>
      </c>
      <c r="O23" s="62">
        <f t="shared" si="7"/>
        <v>435.98</v>
      </c>
      <c r="P23" s="62">
        <f t="shared" si="7"/>
        <v>462.91600000000005</v>
      </c>
      <c r="Q23" s="62">
        <f t="shared" si="7"/>
        <v>360.25</v>
      </c>
      <c r="R23" s="62">
        <f>SUBTOTAL(9,R24:R29)</f>
        <v>10409.136699999999</v>
      </c>
      <c r="S23" s="62">
        <f>SUBTOTAL(9,S24:S29)</f>
        <v>0</v>
      </c>
      <c r="T23" s="62">
        <f>SUBTOTAL(9,T24:T29)</f>
        <v>10409.136699999999</v>
      </c>
      <c r="U23" s="386">
        <f t="shared" si="2"/>
        <v>0.22912163256182719</v>
      </c>
      <c r="V23" s="387" t="str">
        <f t="shared" si="3"/>
        <v/>
      </c>
      <c r="W23" s="387">
        <f t="shared" si="4"/>
        <v>0.22912163256182719</v>
      </c>
    </row>
    <row r="24" spans="4:23" hidden="1" outlineLevel="1" x14ac:dyDescent="0.35">
      <c r="E24" s="341" t="s">
        <v>147</v>
      </c>
      <c r="F24" s="342">
        <f>HaiDuong!F44</f>
        <v>125.8</v>
      </c>
      <c r="G24" s="342">
        <f>HaiDuong!G44</f>
        <v>171</v>
      </c>
      <c r="H24" s="342">
        <f>HaiDuong!H44</f>
        <v>199.5</v>
      </c>
      <c r="I24" s="342">
        <f>HaiDuong!I44</f>
        <v>239.5</v>
      </c>
      <c r="J24" s="342">
        <f>HaiDuong!J44</f>
        <v>155.5</v>
      </c>
      <c r="K24" s="342">
        <f>HaiDuong!K44</f>
        <v>118.5</v>
      </c>
      <c r="L24" s="342">
        <f>HaiDuong!L44</f>
        <v>94.5</v>
      </c>
      <c r="M24" s="342">
        <f>HaiDuong!M44</f>
        <v>93</v>
      </c>
      <c r="N24" s="342">
        <f>HaiDuong!N44</f>
        <v>91</v>
      </c>
      <c r="O24" s="342">
        <f>HaiDuong!O44</f>
        <v>113.3</v>
      </c>
      <c r="P24" s="342">
        <f>HaiDuong!P44</f>
        <v>106.8</v>
      </c>
      <c r="Q24" s="342">
        <f>HaiDuong!Q44</f>
        <v>134.9</v>
      </c>
      <c r="R24" s="343">
        <f t="shared" ref="R24:R46" si="8">SUMIFS($F24:$Q24,$F$7:$Q$7,"A")</f>
        <v>1643.3</v>
      </c>
      <c r="S24" s="343">
        <f t="shared" si="1"/>
        <v>0</v>
      </c>
      <c r="T24" s="344">
        <f t="shared" si="6"/>
        <v>1643.3</v>
      </c>
      <c r="U24" s="386">
        <f t="shared" si="2"/>
        <v>3.6171643205420739E-2</v>
      </c>
      <c r="V24" s="387" t="str">
        <f t="shared" si="3"/>
        <v/>
      </c>
      <c r="W24" s="387">
        <f t="shared" si="4"/>
        <v>3.6171643205420739E-2</v>
      </c>
    </row>
    <row r="25" spans="4:23" hidden="1" outlineLevel="1" x14ac:dyDescent="0.35">
      <c r="E25" s="345" t="s">
        <v>146</v>
      </c>
      <c r="F25" s="351">
        <f>ThanhHoa!F14</f>
        <v>54.6</v>
      </c>
      <c r="G25" s="351">
        <f>ThanhHoa!G14</f>
        <v>690</v>
      </c>
      <c r="H25" s="351">
        <f>ThanhHoa!H14</f>
        <v>1059.2</v>
      </c>
      <c r="I25" s="351">
        <f>ThanhHoa!I14</f>
        <v>810.23879999999997</v>
      </c>
      <c r="J25" s="351">
        <f>ThanhHoa!J14</f>
        <v>1010.7436</v>
      </c>
      <c r="K25" s="351">
        <f>ThanhHoa!K14</f>
        <v>1263.1310000000001</v>
      </c>
      <c r="L25" s="351">
        <f>ThanhHoa!L14</f>
        <v>862.96100000000001</v>
      </c>
      <c r="M25" s="351">
        <f>ThanhHoa!M14</f>
        <v>342.00599999999997</v>
      </c>
      <c r="N25" s="351">
        <f>ThanhHoa!N14</f>
        <v>1206.8453</v>
      </c>
      <c r="O25" s="351">
        <f>ThanhHoa!O14</f>
        <v>33.6</v>
      </c>
      <c r="P25" s="351">
        <f>ThanhHoa!P14</f>
        <v>35</v>
      </c>
      <c r="Q25" s="351">
        <f>ThanhHoa!Q14</f>
        <v>38.4</v>
      </c>
      <c r="R25" s="350">
        <f t="shared" si="8"/>
        <v>7406.7257000000009</v>
      </c>
      <c r="S25" s="195">
        <f t="shared" si="1"/>
        <v>0</v>
      </c>
      <c r="T25" s="346">
        <f t="shared" si="6"/>
        <v>7406.7257000000009</v>
      </c>
      <c r="U25" s="386">
        <f t="shared" si="2"/>
        <v>0.16303379744466634</v>
      </c>
      <c r="V25" s="387" t="str">
        <f t="shared" si="3"/>
        <v/>
      </c>
      <c r="W25" s="387">
        <f t="shared" si="4"/>
        <v>0.16303379744466634</v>
      </c>
    </row>
    <row r="26" spans="4:23" hidden="1" outlineLevel="1" x14ac:dyDescent="0.35">
      <c r="E26" s="345" t="s">
        <v>148</v>
      </c>
      <c r="F26" s="351">
        <f>ThaiNguyen!F14</f>
        <v>0</v>
      </c>
      <c r="G26" s="351">
        <f>ThaiNguyen!G14</f>
        <v>0</v>
      </c>
      <c r="H26" s="351">
        <f>ThaiNguyen!H14</f>
        <v>0</v>
      </c>
      <c r="I26" s="351">
        <f>ThaiNguyen!I14</f>
        <v>0</v>
      </c>
      <c r="J26" s="351">
        <f>ThaiNguyen!J14</f>
        <v>0</v>
      </c>
      <c r="K26" s="351">
        <f>ThaiNguyen!K14</f>
        <v>0</v>
      </c>
      <c r="L26" s="351">
        <f>ThaiNguyen!L14</f>
        <v>1.5</v>
      </c>
      <c r="M26" s="351">
        <f>ThaiNguyen!M14</f>
        <v>1</v>
      </c>
      <c r="N26" s="351">
        <f>ThaiNguyen!N14</f>
        <v>12.25</v>
      </c>
      <c r="O26" s="351">
        <f>ThaiNguyen!O14</f>
        <v>4.5</v>
      </c>
      <c r="P26" s="351">
        <f>ThaiNguyen!P14</f>
        <v>0.75</v>
      </c>
      <c r="Q26" s="351">
        <f>ThaiNguyen!Q14</f>
        <v>15</v>
      </c>
      <c r="R26" s="350">
        <f t="shared" si="8"/>
        <v>35</v>
      </c>
      <c r="S26" s="195">
        <f t="shared" si="1"/>
        <v>0</v>
      </c>
      <c r="T26" s="346">
        <f t="shared" si="6"/>
        <v>35</v>
      </c>
      <c r="U26" s="386">
        <f t="shared" si="2"/>
        <v>7.7040559373804294E-4</v>
      </c>
      <c r="V26" s="387" t="str">
        <f t="shared" si="3"/>
        <v/>
      </c>
      <c r="W26" s="387">
        <f t="shared" si="4"/>
        <v>7.7040559373804294E-4</v>
      </c>
    </row>
    <row r="27" spans="4:23" hidden="1" outlineLevel="1" x14ac:dyDescent="0.35">
      <c r="E27" s="345" t="s">
        <v>151</v>
      </c>
      <c r="F27" s="351">
        <f>YetKieu!F14</f>
        <v>10.95</v>
      </c>
      <c r="G27" s="351">
        <f>YetKieu!G14</f>
        <v>16.850000000000001</v>
      </c>
      <c r="H27" s="351">
        <f>YetKieu!H14</f>
        <v>16.34</v>
      </c>
      <c r="I27" s="351">
        <f>YetKieu!I14</f>
        <v>16.22</v>
      </c>
      <c r="J27" s="351">
        <f>YetKieu!J14</f>
        <v>19.559999999999999</v>
      </c>
      <c r="K27" s="351">
        <f>YetKieu!K14</f>
        <v>26.14</v>
      </c>
      <c r="L27" s="351">
        <f>YetKieu!L14</f>
        <v>23.61</v>
      </c>
      <c r="M27" s="351">
        <f>YetKieu!M14</f>
        <v>19.11</v>
      </c>
      <c r="N27" s="351">
        <f>YetKieu!N14</f>
        <v>20.2</v>
      </c>
      <c r="O27" s="351">
        <f>YetKieu!O14</f>
        <v>30.86</v>
      </c>
      <c r="P27" s="351">
        <f>YetKieu!P14</f>
        <v>30.206</v>
      </c>
      <c r="Q27" s="351">
        <f>YetKieu!Q14</f>
        <v>47.3</v>
      </c>
      <c r="R27" s="350">
        <f t="shared" si="8"/>
        <v>277.346</v>
      </c>
      <c r="S27" s="195">
        <f t="shared" si="1"/>
        <v>0</v>
      </c>
      <c r="T27" s="346">
        <f t="shared" si="6"/>
        <v>277.346</v>
      </c>
      <c r="U27" s="386">
        <f t="shared" si="2"/>
        <v>6.1048259943106073E-3</v>
      </c>
      <c r="V27" s="387" t="str">
        <f t="shared" si="3"/>
        <v/>
      </c>
      <c r="W27" s="387">
        <f t="shared" si="4"/>
        <v>6.1048259943106073E-3</v>
      </c>
    </row>
    <row r="28" spans="4:23" hidden="1" outlineLevel="1" x14ac:dyDescent="0.35">
      <c r="E28" s="345" t="s">
        <v>153</v>
      </c>
      <c r="F28" s="351">
        <f>NhaTrang!F13</f>
        <v>7.3</v>
      </c>
      <c r="G28" s="351">
        <f>NhaTrang!G13</f>
        <v>14.535</v>
      </c>
      <c r="H28" s="351">
        <f>NhaTrang!H13</f>
        <v>17.55</v>
      </c>
      <c r="I28" s="351">
        <f>NhaTrang!I13</f>
        <v>27.4</v>
      </c>
      <c r="J28" s="351">
        <f>NhaTrang!J13</f>
        <v>13.45</v>
      </c>
      <c r="K28" s="351">
        <f>NhaTrang!K13</f>
        <v>14.45</v>
      </c>
      <c r="L28" s="351">
        <f>NhaTrang!L13</f>
        <v>14.425000000000001</v>
      </c>
      <c r="M28" s="351">
        <f>NhaTrang!M13</f>
        <v>15.525</v>
      </c>
      <c r="N28" s="351">
        <f>NhaTrang!N13</f>
        <v>21.2</v>
      </c>
      <c r="O28" s="351">
        <f>NhaTrang!O13</f>
        <v>51.42</v>
      </c>
      <c r="P28" s="351">
        <f>NhaTrang!P13</f>
        <v>115.56</v>
      </c>
      <c r="Q28" s="351">
        <f>NhaTrang!Q13</f>
        <v>40.65</v>
      </c>
      <c r="R28" s="350">
        <f t="shared" si="8"/>
        <v>353.46499999999997</v>
      </c>
      <c r="S28" s="195">
        <f t="shared" si="1"/>
        <v>0</v>
      </c>
      <c r="T28" s="346">
        <f t="shared" si="6"/>
        <v>353.46499999999997</v>
      </c>
      <c r="U28" s="386">
        <f t="shared" si="2"/>
        <v>7.7803260911604947E-3</v>
      </c>
      <c r="V28" s="387" t="str">
        <f t="shared" si="3"/>
        <v/>
      </c>
      <c r="W28" s="387">
        <f t="shared" si="4"/>
        <v>7.7803260911604947E-3</v>
      </c>
    </row>
    <row r="29" spans="4:23" hidden="1" outlineLevel="1" x14ac:dyDescent="0.35">
      <c r="E29" s="347" t="s">
        <v>154</v>
      </c>
      <c r="F29" s="352">
        <f>ThachThat!F12</f>
        <v>0</v>
      </c>
      <c r="G29" s="352">
        <f>ThachThat!G12</f>
        <v>0</v>
      </c>
      <c r="H29" s="352">
        <f>ThachThat!H12</f>
        <v>0</v>
      </c>
      <c r="I29" s="352">
        <f>ThachThat!I12</f>
        <v>0</v>
      </c>
      <c r="J29" s="352">
        <f>ThachThat!J12</f>
        <v>0</v>
      </c>
      <c r="K29" s="352">
        <f>ThachThat!K12</f>
        <v>0</v>
      </c>
      <c r="L29" s="352">
        <f>ThachThat!L12</f>
        <v>0</v>
      </c>
      <c r="M29" s="352">
        <f>ThachThat!M12</f>
        <v>0</v>
      </c>
      <c r="N29" s="352">
        <f>ThachThat!N12</f>
        <v>232.4</v>
      </c>
      <c r="O29" s="352">
        <f>ThachThat!O12</f>
        <v>202.3</v>
      </c>
      <c r="P29" s="352">
        <f>ThachThat!P12</f>
        <v>174.6</v>
      </c>
      <c r="Q29" s="352">
        <f>ThachThat!Q12</f>
        <v>84</v>
      </c>
      <c r="R29" s="348">
        <f t="shared" si="8"/>
        <v>693.30000000000007</v>
      </c>
      <c r="S29" s="348">
        <f t="shared" si="1"/>
        <v>0</v>
      </c>
      <c r="T29" s="349">
        <f t="shared" si="6"/>
        <v>693.30000000000007</v>
      </c>
      <c r="U29" s="386">
        <f t="shared" si="2"/>
        <v>1.5260634232531005E-2</v>
      </c>
      <c r="V29" s="387" t="str">
        <f t="shared" si="3"/>
        <v/>
      </c>
      <c r="W29" s="387">
        <f t="shared" si="4"/>
        <v>1.5260634232531005E-2</v>
      </c>
    </row>
    <row r="30" spans="4:23" collapsed="1" x14ac:dyDescent="0.35">
      <c r="D30" s="2" t="s">
        <v>7</v>
      </c>
      <c r="F30" s="57">
        <f>SUBTOTAL(9,F31:F34)</f>
        <v>14.64</v>
      </c>
      <c r="G30" s="57">
        <f t="shared" ref="G30:Q30" si="9">SUBTOTAL(9,G31:G34)</f>
        <v>20.525000000000002</v>
      </c>
      <c r="H30" s="57">
        <f t="shared" si="9"/>
        <v>40.049999999999997</v>
      </c>
      <c r="I30" s="57">
        <f t="shared" si="9"/>
        <v>39.299999999999997</v>
      </c>
      <c r="J30" s="57">
        <f t="shared" si="9"/>
        <v>72.314999999999998</v>
      </c>
      <c r="K30" s="57">
        <f t="shared" si="9"/>
        <v>57.514999999999993</v>
      </c>
      <c r="L30" s="57">
        <f t="shared" si="9"/>
        <v>43.1</v>
      </c>
      <c r="M30" s="57">
        <f t="shared" si="9"/>
        <v>42.3</v>
      </c>
      <c r="N30" s="57">
        <f t="shared" si="9"/>
        <v>48.065600000000003</v>
      </c>
      <c r="O30" s="57">
        <f t="shared" si="9"/>
        <v>34.414999999999999</v>
      </c>
      <c r="P30" s="57">
        <f t="shared" si="9"/>
        <v>56.135000000000005</v>
      </c>
      <c r="Q30" s="57">
        <f t="shared" si="9"/>
        <v>27.225000000000001</v>
      </c>
      <c r="R30" s="62">
        <f t="shared" si="8"/>
        <v>495.58560000000006</v>
      </c>
      <c r="S30" s="62">
        <f>SUMIFS($F30:$Q30,$F$7:$Q$7,"B")</f>
        <v>0</v>
      </c>
      <c r="T30" s="57">
        <f t="shared" ref="T30:T46" si="10">SUM(R30:S30)</f>
        <v>495.58560000000006</v>
      </c>
      <c r="U30" s="386">
        <f t="shared" si="2"/>
        <v>1.0908626240457837E-2</v>
      </c>
      <c r="V30" s="387" t="str">
        <f t="shared" si="3"/>
        <v/>
      </c>
      <c r="W30" s="387">
        <f t="shared" si="4"/>
        <v>1.0908626240457837E-2</v>
      </c>
    </row>
    <row r="31" spans="4:23" hidden="1" outlineLevel="1" x14ac:dyDescent="0.35">
      <c r="E31" s="341" t="s">
        <v>147</v>
      </c>
      <c r="F31" s="355">
        <f>HaiDuong!F43</f>
        <v>4</v>
      </c>
      <c r="G31" s="355">
        <f>HaiDuong!G43</f>
        <v>9.5</v>
      </c>
      <c r="H31" s="355">
        <f>HaiDuong!H43</f>
        <v>8.5</v>
      </c>
      <c r="I31" s="355">
        <f>HaiDuong!I43</f>
        <v>20.5</v>
      </c>
      <c r="J31" s="355">
        <f>HaiDuong!J43</f>
        <v>11</v>
      </c>
      <c r="K31" s="355">
        <f>HaiDuong!K43</f>
        <v>10.8</v>
      </c>
      <c r="L31" s="355">
        <f>HaiDuong!L43</f>
        <v>10.5</v>
      </c>
      <c r="M31" s="355">
        <f>HaiDuong!M43</f>
        <v>14</v>
      </c>
      <c r="N31" s="355">
        <f>HaiDuong!N43</f>
        <v>10</v>
      </c>
      <c r="O31" s="355">
        <f>HaiDuong!O43</f>
        <v>9</v>
      </c>
      <c r="P31" s="355">
        <f>HaiDuong!P43</f>
        <v>8.5</v>
      </c>
      <c r="Q31" s="355">
        <f>HaiDuong!Q43</f>
        <v>8</v>
      </c>
      <c r="R31" s="342">
        <f t="shared" si="8"/>
        <v>124.3</v>
      </c>
      <c r="S31" s="342">
        <f t="shared" si="1"/>
        <v>0</v>
      </c>
      <c r="T31" s="358">
        <f t="shared" si="10"/>
        <v>124.3</v>
      </c>
      <c r="U31" s="386">
        <f t="shared" si="2"/>
        <v>2.736040437189678E-3</v>
      </c>
      <c r="V31" s="387" t="str">
        <f t="shared" si="3"/>
        <v/>
      </c>
      <c r="W31" s="387">
        <f t="shared" si="4"/>
        <v>2.736040437189678E-3</v>
      </c>
    </row>
    <row r="32" spans="4:23" hidden="1" outlineLevel="1" x14ac:dyDescent="0.35">
      <c r="E32" s="345" t="s">
        <v>150</v>
      </c>
      <c r="F32" s="356">
        <f>CaMau!F13</f>
        <v>8</v>
      </c>
      <c r="G32" s="356">
        <f>CaMau!G13</f>
        <v>8</v>
      </c>
      <c r="H32" s="356">
        <f>CaMau!H13</f>
        <v>25.5</v>
      </c>
      <c r="I32" s="356">
        <f>CaMau!I13</f>
        <v>15.5</v>
      </c>
      <c r="J32" s="356">
        <f>CaMau!J13</f>
        <v>16.8</v>
      </c>
      <c r="K32" s="356">
        <f>CaMau!K13</f>
        <v>39.299999999999997</v>
      </c>
      <c r="L32" s="356">
        <f>CaMau!L13</f>
        <v>19.399999999999999</v>
      </c>
      <c r="M32" s="356">
        <f>CaMau!M13</f>
        <v>24.5</v>
      </c>
      <c r="N32" s="356">
        <f>CaMau!N13</f>
        <v>14</v>
      </c>
      <c r="O32" s="356">
        <f>CaMau!O13</f>
        <v>11.5</v>
      </c>
      <c r="P32" s="356">
        <f>CaMau!P13</f>
        <v>26.2</v>
      </c>
      <c r="Q32" s="356">
        <f>CaMau!Q13</f>
        <v>13.4</v>
      </c>
      <c r="R32" s="351">
        <f t="shared" si="8"/>
        <v>222.1</v>
      </c>
      <c r="S32" s="351">
        <f t="shared" si="1"/>
        <v>0</v>
      </c>
      <c r="T32" s="359">
        <f t="shared" si="10"/>
        <v>222.1</v>
      </c>
      <c r="U32" s="386">
        <f t="shared" si="2"/>
        <v>4.8887737819776952E-3</v>
      </c>
      <c r="V32" s="387" t="str">
        <f t="shared" si="3"/>
        <v/>
      </c>
      <c r="W32" s="387">
        <f t="shared" si="4"/>
        <v>4.8887737819776952E-3</v>
      </c>
    </row>
    <row r="33" spans="2:23" hidden="1" outlineLevel="1" x14ac:dyDescent="0.35">
      <c r="E33" s="345" t="s">
        <v>151</v>
      </c>
      <c r="F33" s="356">
        <f>YetKieu!F13</f>
        <v>0.55000000000000004</v>
      </c>
      <c r="G33" s="356">
        <f>YetKieu!G13</f>
        <v>1.925</v>
      </c>
      <c r="H33" s="356">
        <f>YetKieu!H13</f>
        <v>2.75</v>
      </c>
      <c r="I33" s="356">
        <f>YetKieu!I13</f>
        <v>0.55000000000000004</v>
      </c>
      <c r="J33" s="356">
        <f>YetKieu!J13</f>
        <v>43.14</v>
      </c>
      <c r="K33" s="356">
        <f>YetKieu!K13</f>
        <v>5.49</v>
      </c>
      <c r="L33" s="356">
        <f>YetKieu!L13</f>
        <v>8.8000000000000007</v>
      </c>
      <c r="M33" s="356">
        <f>YetKieu!M13</f>
        <v>1.05</v>
      </c>
      <c r="N33" s="356">
        <f>YetKieu!N13</f>
        <v>6.3155999999999999</v>
      </c>
      <c r="O33" s="356">
        <f>YetKieu!O13</f>
        <v>2.0499999999999998</v>
      </c>
      <c r="P33" s="356">
        <f>YetKieu!P13</f>
        <v>4.13</v>
      </c>
      <c r="Q33" s="356">
        <f>YetKieu!Q13</f>
        <v>2.3149999999999999</v>
      </c>
      <c r="R33" s="351">
        <f t="shared" si="8"/>
        <v>79.065599999999989</v>
      </c>
      <c r="S33" s="351">
        <f t="shared" si="1"/>
        <v>0</v>
      </c>
      <c r="T33" s="359">
        <f t="shared" si="10"/>
        <v>79.065599999999989</v>
      </c>
      <c r="U33" s="386">
        <f t="shared" si="2"/>
        <v>1.7403594432072742E-3</v>
      </c>
      <c r="V33" s="387" t="str">
        <f t="shared" si="3"/>
        <v/>
      </c>
      <c r="W33" s="387">
        <f t="shared" si="4"/>
        <v>1.7403594432072742E-3</v>
      </c>
    </row>
    <row r="34" spans="2:23" hidden="1" outlineLevel="1" x14ac:dyDescent="0.35">
      <c r="E34" s="347" t="s">
        <v>153</v>
      </c>
      <c r="F34" s="357">
        <f>NhaTrang!F14</f>
        <v>2.09</v>
      </c>
      <c r="G34" s="357">
        <f>NhaTrang!G14</f>
        <v>1.1000000000000001</v>
      </c>
      <c r="H34" s="357">
        <f>NhaTrang!H14</f>
        <v>3.3</v>
      </c>
      <c r="I34" s="357">
        <f>NhaTrang!I14</f>
        <v>2.75</v>
      </c>
      <c r="J34" s="357">
        <f>NhaTrang!J14</f>
        <v>1.375</v>
      </c>
      <c r="K34" s="357">
        <f>NhaTrang!K14</f>
        <v>1.925</v>
      </c>
      <c r="L34" s="357">
        <f>NhaTrang!L14</f>
        <v>4.4000000000000004</v>
      </c>
      <c r="M34" s="357">
        <f>NhaTrang!M14</f>
        <v>2.75</v>
      </c>
      <c r="N34" s="357">
        <f>NhaTrang!N14</f>
        <v>17.75</v>
      </c>
      <c r="O34" s="357">
        <f>NhaTrang!O14</f>
        <v>11.865</v>
      </c>
      <c r="P34" s="357">
        <f>NhaTrang!P14</f>
        <v>17.305</v>
      </c>
      <c r="Q34" s="357">
        <f>NhaTrang!Q14</f>
        <v>3.51</v>
      </c>
      <c r="R34" s="352">
        <f t="shared" si="8"/>
        <v>70.12</v>
      </c>
      <c r="S34" s="352">
        <f t="shared" si="1"/>
        <v>0</v>
      </c>
      <c r="T34" s="360">
        <f t="shared" si="10"/>
        <v>70.12</v>
      </c>
      <c r="U34" s="386">
        <f t="shared" si="2"/>
        <v>1.5434525780831877E-3</v>
      </c>
      <c r="V34" s="387" t="str">
        <f t="shared" si="3"/>
        <v/>
      </c>
      <c r="W34" s="387">
        <f t="shared" si="4"/>
        <v>1.5434525780831877E-3</v>
      </c>
    </row>
    <row r="35" spans="2:23" collapsed="1" x14ac:dyDescent="0.35">
      <c r="D35" s="2" t="s">
        <v>9</v>
      </c>
      <c r="F35" s="57">
        <f>SUBTOTAL(9,F36:F39)</f>
        <v>10.225</v>
      </c>
      <c r="G35" s="57">
        <f t="shared" ref="G35:Q35" si="11">SUBTOTAL(9,G36:G39)</f>
        <v>15.75</v>
      </c>
      <c r="H35" s="57">
        <f t="shared" si="11"/>
        <v>29.157000000000004</v>
      </c>
      <c r="I35" s="57">
        <f t="shared" si="11"/>
        <v>35.855000000000004</v>
      </c>
      <c r="J35" s="57">
        <f t="shared" si="11"/>
        <v>29.240000000000002</v>
      </c>
      <c r="K35" s="57">
        <f t="shared" si="11"/>
        <v>33.589999999999996</v>
      </c>
      <c r="L35" s="57">
        <f t="shared" si="11"/>
        <v>38.19</v>
      </c>
      <c r="M35" s="57">
        <f t="shared" si="11"/>
        <v>28.62</v>
      </c>
      <c r="N35" s="57">
        <f t="shared" si="11"/>
        <v>36.08</v>
      </c>
      <c r="O35" s="57">
        <f t="shared" si="11"/>
        <v>36.979999999999997</v>
      </c>
      <c r="P35" s="57">
        <f t="shared" si="11"/>
        <v>37.950000000000003</v>
      </c>
      <c r="Q35" s="57">
        <f t="shared" si="11"/>
        <v>28.769999999999996</v>
      </c>
      <c r="R35" s="62">
        <f t="shared" si="8"/>
        <v>360.40699999999998</v>
      </c>
      <c r="S35" s="62">
        <f t="shared" ref="S35:S46" si="12">SUMIFS($F35:$Q35,$F$7:$Q$7,"B")</f>
        <v>0</v>
      </c>
      <c r="T35" s="57">
        <f t="shared" si="10"/>
        <v>360.40699999999998</v>
      </c>
      <c r="U35" s="386">
        <f t="shared" si="2"/>
        <v>7.9331305377813369E-3</v>
      </c>
      <c r="V35" s="387" t="str">
        <f t="shared" si="3"/>
        <v/>
      </c>
      <c r="W35" s="387">
        <f t="shared" si="4"/>
        <v>7.9331305377813369E-3</v>
      </c>
    </row>
    <row r="36" spans="2:23" hidden="1" outlineLevel="1" x14ac:dyDescent="0.35">
      <c r="E36" s="341" t="s">
        <v>147</v>
      </c>
      <c r="F36" s="355">
        <f>HaiDuong!F45</f>
        <v>8.35</v>
      </c>
      <c r="G36" s="355">
        <f>HaiDuong!G45</f>
        <v>11</v>
      </c>
      <c r="H36" s="355">
        <f>HaiDuong!H45</f>
        <v>23.6</v>
      </c>
      <c r="I36" s="355">
        <f>HaiDuong!I45</f>
        <v>30.75</v>
      </c>
      <c r="J36" s="355">
        <f>HaiDuong!J45</f>
        <v>23.1</v>
      </c>
      <c r="K36" s="355">
        <f>HaiDuong!K45</f>
        <v>25.15</v>
      </c>
      <c r="L36" s="355">
        <f>HaiDuong!L45</f>
        <v>31.35</v>
      </c>
      <c r="M36" s="355">
        <f>HaiDuong!M45</f>
        <v>23.75</v>
      </c>
      <c r="N36" s="355">
        <f>HaiDuong!N45</f>
        <v>28.5</v>
      </c>
      <c r="O36" s="355">
        <f>HaiDuong!O45</f>
        <v>22.7</v>
      </c>
      <c r="P36" s="355">
        <f>HaiDuong!P45</f>
        <v>27.75</v>
      </c>
      <c r="Q36" s="355">
        <f>HaiDuong!Q45</f>
        <v>22.5</v>
      </c>
      <c r="R36" s="343">
        <f t="shared" si="8"/>
        <v>278.5</v>
      </c>
      <c r="S36" s="343">
        <f t="shared" si="12"/>
        <v>0</v>
      </c>
      <c r="T36" s="344">
        <f t="shared" si="10"/>
        <v>278.5</v>
      </c>
      <c r="U36" s="386">
        <f t="shared" si="2"/>
        <v>6.1302273673155697E-3</v>
      </c>
      <c r="V36" s="387" t="str">
        <f t="shared" si="3"/>
        <v/>
      </c>
      <c r="W36" s="387">
        <f t="shared" si="4"/>
        <v>6.1302273673155697E-3</v>
      </c>
    </row>
    <row r="37" spans="2:23" hidden="1" outlineLevel="1" x14ac:dyDescent="0.35">
      <c r="E37" s="345" t="s">
        <v>148</v>
      </c>
      <c r="F37" s="356">
        <f>ThaiNguyen!F15</f>
        <v>0</v>
      </c>
      <c r="G37" s="356">
        <f>ThaiNguyen!G15</f>
        <v>0</v>
      </c>
      <c r="H37" s="356">
        <f>ThaiNguyen!H15</f>
        <v>0</v>
      </c>
      <c r="I37" s="356">
        <f>ThaiNguyen!I15</f>
        <v>0</v>
      </c>
      <c r="J37" s="356">
        <f>ThaiNguyen!J15</f>
        <v>0</v>
      </c>
      <c r="K37" s="356">
        <f>ThaiNguyen!K15</f>
        <v>0</v>
      </c>
      <c r="L37" s="356">
        <f>ThaiNguyen!L15</f>
        <v>0</v>
      </c>
      <c r="M37" s="356">
        <f>ThaiNguyen!M15</f>
        <v>0</v>
      </c>
      <c r="N37" s="356">
        <f>ThaiNguyen!N15</f>
        <v>0.6</v>
      </c>
      <c r="O37" s="356">
        <f>ThaiNguyen!O15</f>
        <v>3.15</v>
      </c>
      <c r="P37" s="356">
        <f>ThaiNguyen!P15</f>
        <v>2.7</v>
      </c>
      <c r="Q37" s="356">
        <f>ThaiNguyen!Q15</f>
        <v>1.65</v>
      </c>
      <c r="R37" s="195">
        <f t="shared" si="8"/>
        <v>8.1</v>
      </c>
      <c r="S37" s="195">
        <f t="shared" si="12"/>
        <v>0</v>
      </c>
      <c r="T37" s="346">
        <f t="shared" si="10"/>
        <v>8.1</v>
      </c>
      <c r="U37" s="386">
        <f t="shared" si="2"/>
        <v>1.7829386597937563E-4</v>
      </c>
      <c r="V37" s="387" t="str">
        <f t="shared" si="3"/>
        <v/>
      </c>
      <c r="W37" s="387">
        <f t="shared" si="4"/>
        <v>1.7829386597937563E-4</v>
      </c>
    </row>
    <row r="38" spans="2:23" hidden="1" outlineLevel="1" x14ac:dyDescent="0.35">
      <c r="E38" s="345" t="s">
        <v>327</v>
      </c>
      <c r="F38" s="356">
        <f>ThaiBinh!F15</f>
        <v>0</v>
      </c>
      <c r="G38" s="356">
        <f>ThaiBinh!G15</f>
        <v>0</v>
      </c>
      <c r="H38" s="356">
        <f>ThaiBinh!H15</f>
        <v>0</v>
      </c>
      <c r="I38" s="356">
        <f>ThaiBinh!I15</f>
        <v>0</v>
      </c>
      <c r="J38" s="356">
        <f>ThaiBinh!J15</f>
        <v>0</v>
      </c>
      <c r="K38" s="356">
        <f>ThaiBinh!K15</f>
        <v>0</v>
      </c>
      <c r="L38" s="356">
        <f>ThaiBinh!L15</f>
        <v>0</v>
      </c>
      <c r="M38" s="356">
        <f>ThaiBinh!M15</f>
        <v>0</v>
      </c>
      <c r="N38" s="356">
        <f>ThaiBinh!N15</f>
        <v>0.7</v>
      </c>
      <c r="O38" s="356">
        <f>ThaiBinh!O15</f>
        <v>1.7</v>
      </c>
      <c r="P38" s="356">
        <f>ThaiBinh!P15</f>
        <v>1.55</v>
      </c>
      <c r="Q38" s="356">
        <f>ThaiBinh!Q15</f>
        <v>2.2000000000000002</v>
      </c>
      <c r="R38" s="195">
        <f t="shared" si="8"/>
        <v>6.15</v>
      </c>
      <c r="S38" s="195">
        <f t="shared" si="12"/>
        <v>0</v>
      </c>
      <c r="T38" s="346">
        <f t="shared" si="10"/>
        <v>6.15</v>
      </c>
      <c r="U38" s="386">
        <f t="shared" si="2"/>
        <v>1.3537126861397041E-4</v>
      </c>
      <c r="V38" s="387" t="str">
        <f t="shared" si="3"/>
        <v/>
      </c>
      <c r="W38" s="387">
        <f t="shared" si="4"/>
        <v>1.3537126861397041E-4</v>
      </c>
    </row>
    <row r="39" spans="2:23" hidden="1" outlineLevel="1" x14ac:dyDescent="0.35">
      <c r="E39" s="361" t="s">
        <v>151</v>
      </c>
      <c r="F39" s="352">
        <f>YetKieu!F15</f>
        <v>1.875</v>
      </c>
      <c r="G39" s="352">
        <f>YetKieu!G15</f>
        <v>4.75</v>
      </c>
      <c r="H39" s="352">
        <f>YetKieu!H15</f>
        <v>5.5570000000000004</v>
      </c>
      <c r="I39" s="352">
        <f>YetKieu!I15</f>
        <v>5.1050000000000004</v>
      </c>
      <c r="J39" s="352">
        <f>YetKieu!J15</f>
        <v>6.14</v>
      </c>
      <c r="K39" s="352">
        <f>YetKieu!K15</f>
        <v>8.44</v>
      </c>
      <c r="L39" s="352">
        <f>YetKieu!L15</f>
        <v>6.84</v>
      </c>
      <c r="M39" s="352">
        <f>YetKieu!M15</f>
        <v>4.87</v>
      </c>
      <c r="N39" s="352">
        <f>YetKieu!N15</f>
        <v>6.28</v>
      </c>
      <c r="O39" s="352">
        <f>YetKieu!O15</f>
        <v>9.43</v>
      </c>
      <c r="P39" s="352">
        <f>YetKieu!P15</f>
        <v>5.95</v>
      </c>
      <c r="Q39" s="352">
        <f>YetKieu!Q15</f>
        <v>2.42</v>
      </c>
      <c r="R39" s="348">
        <f t="shared" si="8"/>
        <v>67.656999999999996</v>
      </c>
      <c r="S39" s="348">
        <f t="shared" si="12"/>
        <v>0</v>
      </c>
      <c r="T39" s="349">
        <f t="shared" si="10"/>
        <v>67.656999999999996</v>
      </c>
      <c r="U39" s="386">
        <f t="shared" si="2"/>
        <v>1.4892380358724219E-3</v>
      </c>
      <c r="V39" s="387" t="str">
        <f t="shared" si="3"/>
        <v/>
      </c>
      <c r="W39" s="387">
        <f t="shared" si="4"/>
        <v>1.4892380358724219E-3</v>
      </c>
    </row>
    <row r="40" spans="2:23" collapsed="1" x14ac:dyDescent="0.35">
      <c r="D40" s="2" t="s">
        <v>10</v>
      </c>
      <c r="F40" s="62">
        <f>SUBTOTAL(9,F41:F42)</f>
        <v>5.7</v>
      </c>
      <c r="G40" s="62">
        <f>SUBTOTAL(9,G41:G42)</f>
        <v>11.1</v>
      </c>
      <c r="H40" s="62">
        <f t="shared" ref="H40:Q40" si="13">SUBTOTAL(9,H41:H42)</f>
        <v>11.299999999999999</v>
      </c>
      <c r="I40" s="62">
        <f t="shared" si="13"/>
        <v>9.3000000000000007</v>
      </c>
      <c r="J40" s="62">
        <f t="shared" si="13"/>
        <v>7.25</v>
      </c>
      <c r="K40" s="62">
        <f t="shared" si="13"/>
        <v>6.55</v>
      </c>
      <c r="L40" s="62">
        <f t="shared" si="13"/>
        <v>13.9</v>
      </c>
      <c r="M40" s="62">
        <f t="shared" si="13"/>
        <v>7.45</v>
      </c>
      <c r="N40" s="62">
        <f t="shared" si="13"/>
        <v>12.3</v>
      </c>
      <c r="O40" s="62">
        <f t="shared" si="13"/>
        <v>18.3</v>
      </c>
      <c r="P40" s="62">
        <f t="shared" si="13"/>
        <v>12.440000000000001</v>
      </c>
      <c r="Q40" s="62">
        <f t="shared" si="13"/>
        <v>15.950000000000001</v>
      </c>
      <c r="R40" s="62">
        <f t="shared" si="8"/>
        <v>131.54</v>
      </c>
      <c r="S40" s="62">
        <f t="shared" si="12"/>
        <v>0</v>
      </c>
      <c r="T40" s="57">
        <f t="shared" si="10"/>
        <v>131.54</v>
      </c>
      <c r="U40" s="386">
        <f t="shared" si="2"/>
        <v>2.8954043371514902E-3</v>
      </c>
      <c r="V40" s="387" t="str">
        <f t="shared" si="3"/>
        <v/>
      </c>
      <c r="W40" s="387">
        <f t="shared" si="4"/>
        <v>2.8954043371514902E-3</v>
      </c>
    </row>
    <row r="41" spans="2:23" hidden="1" outlineLevel="1" x14ac:dyDescent="0.35">
      <c r="E41" s="341" t="s">
        <v>147</v>
      </c>
      <c r="F41" s="342">
        <f>HaiDuong!F46</f>
        <v>5</v>
      </c>
      <c r="G41" s="342">
        <f>HaiDuong!G46</f>
        <v>11.1</v>
      </c>
      <c r="H41" s="342">
        <f>HaiDuong!H46</f>
        <v>10.6</v>
      </c>
      <c r="I41" s="342">
        <f>HaiDuong!I46</f>
        <v>9.0500000000000007</v>
      </c>
      <c r="J41" s="342">
        <f>HaiDuong!J46</f>
        <v>7.15</v>
      </c>
      <c r="K41" s="342">
        <f>HaiDuong!K46</f>
        <v>6.55</v>
      </c>
      <c r="L41" s="342">
        <f>HaiDuong!L46</f>
        <v>13.9</v>
      </c>
      <c r="M41" s="342">
        <f>HaiDuong!M46</f>
        <v>7.45</v>
      </c>
      <c r="N41" s="342">
        <f>HaiDuong!N46</f>
        <v>12.3</v>
      </c>
      <c r="O41" s="342">
        <f>HaiDuong!O46</f>
        <v>13.5</v>
      </c>
      <c r="P41" s="342">
        <f>HaiDuong!P46</f>
        <v>7</v>
      </c>
      <c r="Q41" s="342">
        <f>HaiDuong!Q46</f>
        <v>11.3</v>
      </c>
      <c r="R41" s="342">
        <f t="shared" si="8"/>
        <v>114.89999999999999</v>
      </c>
      <c r="S41" s="343">
        <f t="shared" si="12"/>
        <v>0</v>
      </c>
      <c r="T41" s="358">
        <f t="shared" si="10"/>
        <v>114.89999999999999</v>
      </c>
      <c r="U41" s="386">
        <f t="shared" si="2"/>
        <v>2.5291315063000323E-3</v>
      </c>
      <c r="V41" s="387" t="str">
        <f t="shared" si="3"/>
        <v/>
      </c>
      <c r="W41" s="387">
        <f t="shared" si="4"/>
        <v>2.5291315063000323E-3</v>
      </c>
    </row>
    <row r="42" spans="2:23" hidden="1" outlineLevel="1" x14ac:dyDescent="0.35">
      <c r="E42" s="364" t="s">
        <v>151</v>
      </c>
      <c r="F42" s="351">
        <f>YetKieu!F16</f>
        <v>0.7</v>
      </c>
      <c r="G42" s="351">
        <f>YetKieu!G16</f>
        <v>0</v>
      </c>
      <c r="H42" s="351">
        <f>YetKieu!H16</f>
        <v>0.7</v>
      </c>
      <c r="I42" s="351">
        <f>YetKieu!I16</f>
        <v>0.25</v>
      </c>
      <c r="J42" s="351">
        <f>YetKieu!J16</f>
        <v>0.1</v>
      </c>
      <c r="K42" s="351">
        <f>YetKieu!K16</f>
        <v>0</v>
      </c>
      <c r="L42" s="351">
        <f>YetKieu!L16</f>
        <v>0</v>
      </c>
      <c r="M42" s="351">
        <f>YetKieu!M16</f>
        <v>0</v>
      </c>
      <c r="N42" s="351">
        <f>YetKieu!N16</f>
        <v>0</v>
      </c>
      <c r="O42" s="351">
        <f>YetKieu!O16</f>
        <v>4.8</v>
      </c>
      <c r="P42" s="351">
        <f>YetKieu!P16</f>
        <v>5.44</v>
      </c>
      <c r="Q42" s="351">
        <f>YetKieu!Q16</f>
        <v>4.6500000000000004</v>
      </c>
      <c r="R42" s="351">
        <f t="shared" si="8"/>
        <v>16.64</v>
      </c>
      <c r="S42" s="195">
        <f t="shared" si="12"/>
        <v>0</v>
      </c>
      <c r="T42" s="359">
        <f t="shared" si="10"/>
        <v>16.64</v>
      </c>
      <c r="U42" s="386">
        <f t="shared" si="2"/>
        <v>3.6627283085145811E-4</v>
      </c>
      <c r="V42" s="387" t="str">
        <f t="shared" si="3"/>
        <v/>
      </c>
      <c r="W42" s="387">
        <f t="shared" si="4"/>
        <v>3.6627283085145811E-4</v>
      </c>
    </row>
    <row r="43" spans="2:23" collapsed="1" x14ac:dyDescent="0.35">
      <c r="C43" s="362" t="s">
        <v>13</v>
      </c>
      <c r="D43" s="363"/>
      <c r="E43" s="365"/>
      <c r="F43" s="366">
        <f>SUBTOTAL(9,F13:F42)</f>
        <v>1481.5849999999996</v>
      </c>
      <c r="G43" s="366">
        <f t="shared" ref="G43:Q43" si="14">SUBTOTAL(9,G13:G42)</f>
        <v>3069.64</v>
      </c>
      <c r="H43" s="366">
        <f t="shared" si="14"/>
        <v>3894.7690000000002</v>
      </c>
      <c r="I43" s="366">
        <f t="shared" si="14"/>
        <v>3957.0754000000002</v>
      </c>
      <c r="J43" s="366">
        <f t="shared" si="14"/>
        <v>4260.1387000000013</v>
      </c>
      <c r="K43" s="366">
        <f t="shared" si="14"/>
        <v>4547.1527999999998</v>
      </c>
      <c r="L43" s="366">
        <f t="shared" si="14"/>
        <v>4410.0359999999991</v>
      </c>
      <c r="M43" s="366">
        <f t="shared" si="14"/>
        <v>3999.4609999999998</v>
      </c>
      <c r="N43" s="366">
        <f t="shared" si="14"/>
        <v>4802.1651999999985</v>
      </c>
      <c r="O43" s="366">
        <f t="shared" si="14"/>
        <v>3797.6660000000002</v>
      </c>
      <c r="P43" s="366">
        <f t="shared" si="14"/>
        <v>3541.3849999999998</v>
      </c>
      <c r="Q43" s="366">
        <f t="shared" si="14"/>
        <v>3605.8710000000005</v>
      </c>
      <c r="R43" s="366">
        <f t="shared" si="8"/>
        <v>45366.945099999997</v>
      </c>
      <c r="S43" s="366">
        <f t="shared" si="12"/>
        <v>0</v>
      </c>
      <c r="T43" s="366">
        <f t="shared" si="10"/>
        <v>45366.945099999997</v>
      </c>
      <c r="U43" s="383">
        <f t="shared" si="2"/>
        <v>0.99859852216704836</v>
      </c>
      <c r="V43" s="387" t="str">
        <f t="shared" si="3"/>
        <v/>
      </c>
      <c r="W43" s="387">
        <f t="shared" si="4"/>
        <v>0.99859852216704836</v>
      </c>
    </row>
    <row r="44" spans="2:23" ht="13.15" thickBot="1" x14ac:dyDescent="0.4">
      <c r="B44" s="29"/>
      <c r="C44" s="68" t="s">
        <v>19</v>
      </c>
      <c r="D44" s="68"/>
      <c r="E44" s="68"/>
      <c r="F44" s="69">
        <f>SUM(HaiDuong!F48,CaMau!F18,ThanhHoa!F18,ThaiNguyen!F18,YetKieu!F17,NhaTrang!F15)</f>
        <v>0</v>
      </c>
      <c r="G44" s="69">
        <f>SUM(HaiDuong!G48,CaMau!G18,ThanhHoa!G18,ThaiNguyen!G18,YetKieu!G17,NhaTrang!G15)</f>
        <v>1.85</v>
      </c>
      <c r="H44" s="69">
        <f>SUM(HaiDuong!H48,CaMau!H18,ThanhHoa!H18,ThaiNguyen!H18,YetKieu!H17,NhaTrang!H15)</f>
        <v>1.05</v>
      </c>
      <c r="I44" s="69">
        <f>SUM(HaiDuong!I48,CaMau!I18,ThanhHoa!I18,ThaiNguyen!I18,YetKieu!I17,NhaTrang!I15)</f>
        <v>6.6</v>
      </c>
      <c r="J44" s="69">
        <f>SUM(HaiDuong!J48,CaMau!J18,ThanhHoa!J18,ThaiNguyen!J18,YetKieu!J17,NhaTrang!J15)</f>
        <v>4.8999999999999995</v>
      </c>
      <c r="K44" s="69">
        <f>SUM(HaiDuong!K48,CaMau!K18,ThanhHoa!K18,ThaiNguyen!K18,YetKieu!K17,NhaTrang!K15)</f>
        <v>9.3000000000000007</v>
      </c>
      <c r="L44" s="69">
        <f>SUM(HaiDuong!L48,CaMau!L18,ThanhHoa!L18,ThaiNguyen!L18,YetKieu!L17,NhaTrang!L15)</f>
        <v>6.8</v>
      </c>
      <c r="M44" s="69">
        <f>SUM(HaiDuong!M48,CaMau!M18,ThanhHoa!M18,ThaiNguyen!M18,YetKieu!M17,NhaTrang!M15)</f>
        <v>5.95</v>
      </c>
      <c r="N44" s="69">
        <f>SUM(HaiDuong!N48,CaMau!N18,ThanhHoa!N18,ThaiNguyen!N18,YetKieu!N17,NhaTrang!N15)</f>
        <v>5.65</v>
      </c>
      <c r="O44" s="69">
        <f>SUM(HaiDuong!O48,CaMau!O18,ThanhHoa!O18,ThaiNguyen!O18,YetKieu!O17,NhaTrang!O15)</f>
        <v>12.42</v>
      </c>
      <c r="P44" s="69">
        <f>SUM(HaiDuong!P48,CaMau!P18,ThanhHoa!P18,ThaiNguyen!P18,YetKieu!P17,NhaTrang!P15)</f>
        <v>3.5</v>
      </c>
      <c r="Q44" s="69">
        <f>SUM(HaiDuong!Q48,CaMau!Q18,ThanhHoa!Q18,ThaiNguyen!Q18,YetKieu!Q17,NhaTrang!Q15)</f>
        <v>5.6499999999999995</v>
      </c>
      <c r="R44" s="69">
        <f t="shared" si="8"/>
        <v>63.67</v>
      </c>
      <c r="S44" s="69">
        <f t="shared" si="12"/>
        <v>0</v>
      </c>
      <c r="T44" s="69">
        <f t="shared" si="10"/>
        <v>63.67</v>
      </c>
      <c r="U44" s="388">
        <f t="shared" si="2"/>
        <v>1.4014778329514627E-3</v>
      </c>
      <c r="V44" s="387" t="str">
        <f t="shared" si="3"/>
        <v/>
      </c>
      <c r="W44" s="387">
        <f t="shared" si="4"/>
        <v>1.4014778329514627E-3</v>
      </c>
    </row>
    <row r="45" spans="2:23" x14ac:dyDescent="0.35">
      <c r="B45" s="27" t="s">
        <v>20</v>
      </c>
      <c r="F45" s="71">
        <f>SUM(F43:F44)</f>
        <v>1481.5849999999996</v>
      </c>
      <c r="G45" s="71">
        <f t="shared" ref="G45:Q45" si="15">SUM(G43,G44)</f>
        <v>3071.49</v>
      </c>
      <c r="H45" s="71">
        <f t="shared" si="15"/>
        <v>3895.8190000000004</v>
      </c>
      <c r="I45" s="71">
        <f t="shared" si="15"/>
        <v>3963.6754000000001</v>
      </c>
      <c r="J45" s="71">
        <f t="shared" si="15"/>
        <v>4265.038700000001</v>
      </c>
      <c r="K45" s="71">
        <f t="shared" si="15"/>
        <v>4556.4528</v>
      </c>
      <c r="L45" s="71">
        <f t="shared" si="15"/>
        <v>4416.8359999999993</v>
      </c>
      <c r="M45" s="71">
        <f t="shared" si="15"/>
        <v>4005.4109999999996</v>
      </c>
      <c r="N45" s="71">
        <f t="shared" si="15"/>
        <v>4807.8151999999982</v>
      </c>
      <c r="O45" s="71">
        <f t="shared" si="15"/>
        <v>3810.0860000000002</v>
      </c>
      <c r="P45" s="71">
        <f t="shared" si="15"/>
        <v>3544.8849999999998</v>
      </c>
      <c r="Q45" s="71">
        <f t="shared" si="15"/>
        <v>3611.5210000000006</v>
      </c>
      <c r="R45" s="71">
        <f t="shared" si="8"/>
        <v>45430.615100000003</v>
      </c>
      <c r="S45" s="71">
        <f t="shared" si="12"/>
        <v>0</v>
      </c>
      <c r="T45" s="71">
        <f t="shared" si="10"/>
        <v>45430.615100000003</v>
      </c>
      <c r="U45" s="385">
        <f t="shared" si="2"/>
        <v>1</v>
      </c>
      <c r="V45" s="387" t="str">
        <f t="shared" si="3"/>
        <v/>
      </c>
      <c r="W45" s="387">
        <f t="shared" si="4"/>
        <v>1</v>
      </c>
    </row>
    <row r="46" spans="2:23" x14ac:dyDescent="0.35">
      <c r="B46" s="2" t="s">
        <v>21</v>
      </c>
      <c r="F46" s="62">
        <f>SUM(HaiDuong!F50,CaMau!F20,ThanhHoa!F20,ThaiNguyen!F20)</f>
        <v>0.1</v>
      </c>
      <c r="G46" s="62">
        <f>SUM(HaiDuong!G50,CaMau!G20,ThanhHoa!G20,ThaiNguyen!G20)</f>
        <v>26.36</v>
      </c>
      <c r="H46" s="62">
        <f>SUM(HaiDuong!H50,CaMau!H20,ThanhHoa!H20,ThaiNguyen!H20)</f>
        <v>49.46</v>
      </c>
      <c r="I46" s="62">
        <f>SUM(HaiDuong!I50,CaMau!I20,ThanhHoa!I20,ThaiNguyen!I20)</f>
        <v>43.69</v>
      </c>
      <c r="J46" s="62">
        <f>SUM(HaiDuong!J50,CaMau!J20,ThanhHoa!J20,ThaiNguyen!J20)</f>
        <v>65.38</v>
      </c>
      <c r="K46" s="62">
        <f>SUM(HaiDuong!K50,CaMau!K20,ThanhHoa!K20,ThaiNguyen!K20)</f>
        <v>57.760000000000005</v>
      </c>
      <c r="L46" s="62">
        <f>SUM(HaiDuong!L50,CaMau!L20,ThanhHoa!L20,ThaiNguyen!L20)</f>
        <v>54.66</v>
      </c>
      <c r="M46" s="62">
        <f>SUM(HaiDuong!M50,CaMau!M20,ThanhHoa!M20,ThaiNguyen!M20)</f>
        <v>83.46</v>
      </c>
      <c r="N46" s="62">
        <f>SUM(HaiDuong!N50,CaMau!N20,ThanhHoa!N20,ThaiNguyen!N20)</f>
        <v>75.195000000000007</v>
      </c>
      <c r="O46" s="62">
        <f>SUM(HaiDuong!O50,CaMau!O20,ThanhHoa!O20,ThaiNguyen!O20)</f>
        <v>80.2</v>
      </c>
      <c r="P46" s="62">
        <f>SUM(HaiDuong!P50,CaMau!P20,ThanhHoa!P20,ThaiNguyen!P20)</f>
        <v>109.27000000000001</v>
      </c>
      <c r="Q46" s="62">
        <f>SUM(HaiDuong!Q50,CaMau!Q20,ThanhHoa!Q20,ThaiNguyen!Q20)</f>
        <v>111.6</v>
      </c>
      <c r="R46" s="62">
        <f t="shared" si="8"/>
        <v>757.13499999999999</v>
      </c>
      <c r="S46" s="62">
        <f t="shared" si="12"/>
        <v>0</v>
      </c>
      <c r="T46" s="57">
        <f t="shared" si="10"/>
        <v>757.13499999999999</v>
      </c>
      <c r="U46" s="389">
        <f t="shared" si="2"/>
        <v>1.6665743977567232E-2</v>
      </c>
      <c r="V46" s="387" t="str">
        <f t="shared" si="3"/>
        <v/>
      </c>
      <c r="W46" s="387">
        <f t="shared" si="4"/>
        <v>1.6665743977567232E-2</v>
      </c>
    </row>
    <row r="47" spans="2:23" x14ac:dyDescent="0.35">
      <c r="B47" s="27" t="s">
        <v>177</v>
      </c>
      <c r="U47" s="387">
        <f t="shared" si="2"/>
        <v>0</v>
      </c>
      <c r="V47" s="387" t="str">
        <f t="shared" si="3"/>
        <v/>
      </c>
      <c r="W47" s="387">
        <f t="shared" si="4"/>
        <v>0</v>
      </c>
    </row>
    <row r="48" spans="2:23" x14ac:dyDescent="0.35">
      <c r="C48" s="6" t="s">
        <v>23</v>
      </c>
      <c r="F48" s="62">
        <f>SUBTOTAL(9,F49:F57)</f>
        <v>63.451029579562942</v>
      </c>
      <c r="G48" s="62">
        <f t="shared" ref="G48:Q48" si="16">SUBTOTAL(9,G49:G57)</f>
        <v>131.05510435180057</v>
      </c>
      <c r="H48" s="62">
        <f t="shared" si="16"/>
        <v>151.5924732203755</v>
      </c>
      <c r="I48" s="62">
        <f t="shared" si="16"/>
        <v>156.25848502770083</v>
      </c>
      <c r="J48" s="62">
        <f t="shared" si="16"/>
        <v>179.39332457586951</v>
      </c>
      <c r="K48" s="62">
        <f t="shared" si="16"/>
        <v>174.63694660726375</v>
      </c>
      <c r="L48" s="62">
        <f t="shared" si="16"/>
        <v>177.38941287534627</v>
      </c>
      <c r="M48" s="62">
        <f t="shared" si="16"/>
        <v>174.39064772822405</v>
      </c>
      <c r="N48" s="62">
        <f t="shared" si="16"/>
        <v>197.59737506802091</v>
      </c>
      <c r="O48" s="62">
        <f t="shared" si="16"/>
        <v>178.4729846774392</v>
      </c>
      <c r="P48" s="62">
        <f t="shared" si="16"/>
        <v>163.68302563188672</v>
      </c>
      <c r="Q48" s="62">
        <f t="shared" si="16"/>
        <v>155.67430965650968</v>
      </c>
      <c r="R48" s="62">
        <f>SUMIFS($F48:$Q48,$F$7:$Q$7,"A")</f>
        <v>1903.5951189999998</v>
      </c>
      <c r="S48" s="62">
        <f>SUMIFS($F48:$Q48,$F$7:$Q$7,"B")</f>
        <v>0</v>
      </c>
      <c r="T48" s="57">
        <f>SUM(R48:S48)</f>
        <v>1903.5951189999998</v>
      </c>
      <c r="U48" s="386">
        <f t="shared" si="2"/>
        <v>4.1901152225429582E-2</v>
      </c>
      <c r="V48" s="387" t="str">
        <f t="shared" si="3"/>
        <v/>
      </c>
      <c r="W48" s="387">
        <f t="shared" si="4"/>
        <v>4.1901152225429582E-2</v>
      </c>
    </row>
    <row r="49" spans="3:23" hidden="1" outlineLevel="1" x14ac:dyDescent="0.35">
      <c r="D49" s="341" t="s">
        <v>147</v>
      </c>
      <c r="E49" s="367"/>
      <c r="F49" s="342">
        <f>HaiDuong!F57</f>
        <v>25.903983</v>
      </c>
      <c r="G49" s="342">
        <f>HaiDuong!G57</f>
        <v>42.191046999999998</v>
      </c>
      <c r="H49" s="342">
        <f>HaiDuong!H57</f>
        <v>48.855016999999997</v>
      </c>
      <c r="I49" s="342">
        <f>HaiDuong!I57</f>
        <v>51.247995000000003</v>
      </c>
      <c r="J49" s="342">
        <f>HaiDuong!J57</f>
        <v>49.248269000000001</v>
      </c>
      <c r="K49" s="342">
        <f>HaiDuong!K57</f>
        <v>40.210768999999999</v>
      </c>
      <c r="L49" s="342">
        <f>HaiDuong!L57</f>
        <v>40.563080999999997</v>
      </c>
      <c r="M49" s="342">
        <f>HaiDuong!M57</f>
        <v>33.949967000000001</v>
      </c>
      <c r="N49" s="342">
        <f>HaiDuong!N57</f>
        <v>38.389676000000001</v>
      </c>
      <c r="O49" s="342">
        <f>HaiDuong!O57</f>
        <v>36.456761</v>
      </c>
      <c r="P49" s="342">
        <f>HaiDuong!P57</f>
        <v>33.953794000000002</v>
      </c>
      <c r="Q49" s="342">
        <f>HaiDuong!Q57</f>
        <v>39.015565000000002</v>
      </c>
      <c r="R49" s="342">
        <f t="shared" ref="R49:R57" si="17">SUMIFS($F49:$Q49,$F$7:$Q$7,"A")</f>
        <v>479.98592400000001</v>
      </c>
      <c r="S49" s="342">
        <f t="shared" ref="S49:S57" si="18">SUMIFS($F49:$Q49,$F$7:$Q$7,"B")</f>
        <v>0</v>
      </c>
      <c r="T49" s="358">
        <f t="shared" ref="T49:T57" si="19">SUM(R49:S49)</f>
        <v>479.98592400000001</v>
      </c>
      <c r="U49" s="386">
        <f t="shared" si="2"/>
        <v>1.0565252593289233E-2</v>
      </c>
      <c r="V49" s="387" t="str">
        <f t="shared" si="3"/>
        <v/>
      </c>
      <c r="W49" s="387">
        <f t="shared" si="4"/>
        <v>1.0565252593289233E-2</v>
      </c>
    </row>
    <row r="50" spans="3:23" hidden="1" outlineLevel="1" x14ac:dyDescent="0.35">
      <c r="D50" s="345" t="s">
        <v>150</v>
      </c>
      <c r="F50" s="351">
        <f>CaMau!F27</f>
        <v>0.8970335795629425</v>
      </c>
      <c r="G50" s="351">
        <f>CaMau!G27</f>
        <v>1.571793351800554</v>
      </c>
      <c r="H50" s="351">
        <f>CaMau!H27</f>
        <v>2.1354162203755003</v>
      </c>
      <c r="I50" s="351">
        <f>CaMau!I27</f>
        <v>2.3576900277008312</v>
      </c>
      <c r="J50" s="351">
        <f>CaMau!J27</f>
        <v>2.3021215758694984</v>
      </c>
      <c r="K50" s="351">
        <f>CaMau!K27</f>
        <v>3.2547236072637737</v>
      </c>
      <c r="L50" s="351">
        <f>CaMau!L27</f>
        <v>2.2862448753462608</v>
      </c>
      <c r="M50" s="351">
        <f>CaMau!M27</f>
        <v>2.3735667282240689</v>
      </c>
      <c r="N50" s="351">
        <f>CaMau!N27</f>
        <v>2.0639710680209298</v>
      </c>
      <c r="O50" s="351">
        <f>CaMau!O27</f>
        <v>2.3497516774392118</v>
      </c>
      <c r="P50" s="351">
        <f>CaMau!P27</f>
        <v>2.4847036318867342</v>
      </c>
      <c r="Q50" s="351">
        <f>CaMau!Q27</f>
        <v>1.7146836565096952</v>
      </c>
      <c r="R50" s="351">
        <f t="shared" si="17"/>
        <v>25.791700000000002</v>
      </c>
      <c r="S50" s="351">
        <f t="shared" si="18"/>
        <v>0</v>
      </c>
      <c r="T50" s="359">
        <f t="shared" si="19"/>
        <v>25.791700000000002</v>
      </c>
      <c r="U50" s="386">
        <f t="shared" si="2"/>
        <v>5.6771628434324243E-4</v>
      </c>
      <c r="V50" s="387" t="str">
        <f t="shared" si="3"/>
        <v/>
      </c>
      <c r="W50" s="387">
        <f t="shared" si="4"/>
        <v>5.6771628434324243E-4</v>
      </c>
    </row>
    <row r="51" spans="3:23" hidden="1" outlineLevel="1" x14ac:dyDescent="0.35">
      <c r="D51" s="345" t="s">
        <v>146</v>
      </c>
      <c r="F51" s="351">
        <f>ThanhHoa!F26</f>
        <v>3.9825810000000001</v>
      </c>
      <c r="G51" s="351">
        <f>ThanhHoa!G26</f>
        <v>34.967990999999998</v>
      </c>
      <c r="H51" s="351">
        <f>ThanhHoa!H26</f>
        <v>43.656483000000001</v>
      </c>
      <c r="I51" s="351">
        <f>ThanhHoa!I26</f>
        <v>38.436352999999997</v>
      </c>
      <c r="J51" s="351">
        <f>ThanhHoa!J26</f>
        <v>55.687973</v>
      </c>
      <c r="K51" s="351">
        <f>ThanhHoa!K26</f>
        <v>38.616177</v>
      </c>
      <c r="L51" s="351">
        <f>ThanhHoa!L26</f>
        <v>31.978999999999999</v>
      </c>
      <c r="M51" s="351">
        <f>ThanhHoa!M26</f>
        <v>19.227958999999998</v>
      </c>
      <c r="N51" s="351">
        <f>ThanhHoa!N26</f>
        <v>43.976478999999998</v>
      </c>
      <c r="O51" s="351">
        <f>ThanhHoa!O26</f>
        <v>1.966107</v>
      </c>
      <c r="P51" s="351">
        <f>ThanhHoa!P26</f>
        <v>2.4869889999999999</v>
      </c>
      <c r="Q51" s="351">
        <f>ThanhHoa!Q26</f>
        <v>1.350152</v>
      </c>
      <c r="R51" s="351">
        <f t="shared" si="17"/>
        <v>316.33424399999996</v>
      </c>
      <c r="S51" s="351">
        <f t="shared" si="18"/>
        <v>0</v>
      </c>
      <c r="T51" s="359">
        <f t="shared" si="19"/>
        <v>316.33424399999996</v>
      </c>
      <c r="U51" s="386">
        <f t="shared" si="2"/>
        <v>6.9630191733855689E-3</v>
      </c>
      <c r="V51" s="387" t="str">
        <f t="shared" si="3"/>
        <v/>
      </c>
      <c r="W51" s="387">
        <f t="shared" si="4"/>
        <v>6.9630191733855689E-3</v>
      </c>
    </row>
    <row r="52" spans="3:23" hidden="1" outlineLevel="1" x14ac:dyDescent="0.35">
      <c r="D52" s="345" t="s">
        <v>148</v>
      </c>
      <c r="F52" s="351">
        <f>ThaiNguyen!F27</f>
        <v>2.4794999999999998</v>
      </c>
      <c r="G52" s="351">
        <f>ThaiNguyen!G27</f>
        <v>4.0754999999999999</v>
      </c>
      <c r="H52" s="351">
        <f>ThaiNguyen!H27</f>
        <v>6.9824999999999999</v>
      </c>
      <c r="I52" s="351">
        <f>ThaiNguyen!I27</f>
        <v>5.6715</v>
      </c>
      <c r="J52" s="351">
        <f>ThaiNguyen!J27</f>
        <v>7.6094999999999997</v>
      </c>
      <c r="K52" s="351">
        <f>ThaiNguyen!K27</f>
        <v>13.025048999999999</v>
      </c>
      <c r="L52" s="351">
        <f>ThaiNguyen!L27</f>
        <v>9.1996230000000008</v>
      </c>
      <c r="M52" s="351">
        <f>ThaiNguyen!M27</f>
        <v>11.153324</v>
      </c>
      <c r="N52" s="351">
        <f>ThaiNguyen!N27</f>
        <v>10.855305</v>
      </c>
      <c r="O52" s="351">
        <f>ThaiNguyen!O27</f>
        <v>11.724031</v>
      </c>
      <c r="P52" s="351">
        <f>ThaiNguyen!P27</f>
        <v>14.04125</v>
      </c>
      <c r="Q52" s="351">
        <f>ThaiNguyen!Q27</f>
        <v>14.599017999999999</v>
      </c>
      <c r="R52" s="351">
        <f t="shared" si="17"/>
        <v>111.4161</v>
      </c>
      <c r="S52" s="351">
        <f t="shared" si="18"/>
        <v>0</v>
      </c>
      <c r="T52" s="359">
        <f t="shared" si="19"/>
        <v>111.4161</v>
      </c>
      <c r="U52" s="386">
        <f t="shared" si="2"/>
        <v>2.4524453334993476E-3</v>
      </c>
      <c r="V52" s="387" t="str">
        <f t="shared" si="3"/>
        <v/>
      </c>
      <c r="W52" s="387">
        <f t="shared" si="4"/>
        <v>2.4524453334993476E-3</v>
      </c>
    </row>
    <row r="53" spans="3:23" hidden="1" outlineLevel="1" x14ac:dyDescent="0.35">
      <c r="D53" s="345" t="s">
        <v>327</v>
      </c>
      <c r="F53" s="351">
        <f>ThaiBinh!F21</f>
        <v>0</v>
      </c>
      <c r="G53" s="351">
        <f>ThaiBinh!G21</f>
        <v>0</v>
      </c>
      <c r="H53" s="351">
        <f>ThaiBinh!H21</f>
        <v>0</v>
      </c>
      <c r="I53" s="351">
        <f>ThaiBinh!I21</f>
        <v>0</v>
      </c>
      <c r="J53" s="351">
        <f>ThaiBinh!J21</f>
        <v>0</v>
      </c>
      <c r="K53" s="351">
        <f>ThaiBinh!K21</f>
        <v>5.13</v>
      </c>
      <c r="L53" s="351">
        <f>ThaiBinh!L21</f>
        <v>19.351500000000001</v>
      </c>
      <c r="M53" s="351">
        <f>ThaiBinh!M21</f>
        <v>35.168999999999997</v>
      </c>
      <c r="N53" s="351">
        <f>ThaiBinh!N21</f>
        <v>13.039</v>
      </c>
      <c r="O53" s="351">
        <f>ThaiBinh!O21</f>
        <v>19.504999999999999</v>
      </c>
      <c r="P53" s="351">
        <f>ThaiBinh!P21</f>
        <v>8.7494999999999994</v>
      </c>
      <c r="Q53" s="351">
        <f>ThaiBinh!Q21</f>
        <v>8.8655000000000008</v>
      </c>
      <c r="R53" s="351">
        <f t="shared" si="17"/>
        <v>109.80949999999999</v>
      </c>
      <c r="S53" s="351">
        <f t="shared" si="18"/>
        <v>0</v>
      </c>
      <c r="T53" s="359">
        <f t="shared" si="19"/>
        <v>109.80949999999999</v>
      </c>
      <c r="U53" s="386">
        <f t="shared" si="2"/>
        <v>2.4170815155879319E-3</v>
      </c>
      <c r="V53" s="387" t="str">
        <f t="shared" si="3"/>
        <v/>
      </c>
      <c r="W53" s="387">
        <f t="shared" si="4"/>
        <v>2.4170815155879319E-3</v>
      </c>
    </row>
    <row r="54" spans="3:23" hidden="1" outlineLevel="1" x14ac:dyDescent="0.35">
      <c r="D54" s="345" t="s">
        <v>151</v>
      </c>
      <c r="F54" s="351">
        <f>YetKieu!F28</f>
        <v>22.658860000000001</v>
      </c>
      <c r="G54" s="351">
        <f>YetKieu!G28</f>
        <v>36.383828999999999</v>
      </c>
      <c r="H54" s="351">
        <f>YetKieu!H28</f>
        <v>41.245697</v>
      </c>
      <c r="I54" s="351">
        <f>YetKieu!I28</f>
        <v>42.079650999999998</v>
      </c>
      <c r="J54" s="351">
        <f>YetKieu!J28</f>
        <v>49.376165</v>
      </c>
      <c r="K54" s="351">
        <f>YetKieu!K28</f>
        <v>55.891939999999998</v>
      </c>
      <c r="L54" s="351">
        <f>YetKieu!L28</f>
        <v>54.326172</v>
      </c>
      <c r="M54" s="351">
        <f>YetKieu!M28</f>
        <v>53.441054999999999</v>
      </c>
      <c r="N54" s="351">
        <f>YetKieu!N28</f>
        <v>59.163263999999998</v>
      </c>
      <c r="O54" s="351">
        <f>YetKieu!O28</f>
        <v>70.849188999999996</v>
      </c>
      <c r="P54" s="351">
        <f>YetKieu!P28</f>
        <v>63.195217999999997</v>
      </c>
      <c r="Q54" s="351">
        <f>YetKieu!Q28</f>
        <v>59.399267999999999</v>
      </c>
      <c r="R54" s="351">
        <f t="shared" si="17"/>
        <v>608.01030800000001</v>
      </c>
      <c r="S54" s="351">
        <f t="shared" si="18"/>
        <v>0</v>
      </c>
      <c r="T54" s="359">
        <f t="shared" si="19"/>
        <v>608.01030800000001</v>
      </c>
      <c r="U54" s="386">
        <f t="shared" si="2"/>
        <v>1.3383272638102581E-2</v>
      </c>
      <c r="V54" s="387" t="str">
        <f t="shared" si="3"/>
        <v/>
      </c>
      <c r="W54" s="387">
        <f t="shared" si="4"/>
        <v>1.3383272638102581E-2</v>
      </c>
    </row>
    <row r="55" spans="3:23" hidden="1" outlineLevel="1" x14ac:dyDescent="0.35">
      <c r="D55" s="345" t="s">
        <v>153</v>
      </c>
      <c r="F55" s="351">
        <f>NhaTrang!F24</f>
        <v>7.5290720000000002</v>
      </c>
      <c r="G55" s="351">
        <f>NhaTrang!G24</f>
        <v>11.864943999999999</v>
      </c>
      <c r="H55" s="351">
        <f>NhaTrang!H24</f>
        <v>8.7173599999999993</v>
      </c>
      <c r="I55" s="351">
        <f>NhaTrang!I24</f>
        <v>16.465295999999999</v>
      </c>
      <c r="J55" s="351">
        <f>NhaTrang!J24</f>
        <v>15.169295999999999</v>
      </c>
      <c r="K55" s="351">
        <f>NhaTrang!K24</f>
        <v>18.508288</v>
      </c>
      <c r="L55" s="351">
        <f>NhaTrang!L24</f>
        <v>19.683792</v>
      </c>
      <c r="M55" s="351">
        <f>NhaTrang!M24</f>
        <v>19.075776000000001</v>
      </c>
      <c r="N55" s="351">
        <f>NhaTrang!N24</f>
        <v>18.83248</v>
      </c>
      <c r="O55" s="351">
        <f>NhaTrang!O24</f>
        <v>26.572644</v>
      </c>
      <c r="P55" s="351">
        <f>NhaTrang!P24</f>
        <v>23.961872</v>
      </c>
      <c r="Q55" s="351">
        <f>NhaTrang!Q24</f>
        <v>20.343222999999998</v>
      </c>
      <c r="R55" s="351">
        <f t="shared" si="17"/>
        <v>206.72404299999999</v>
      </c>
      <c r="S55" s="351">
        <f t="shared" si="18"/>
        <v>0</v>
      </c>
      <c r="T55" s="359">
        <f t="shared" si="19"/>
        <v>206.72404299999999</v>
      </c>
      <c r="U55" s="386">
        <f t="shared" si="2"/>
        <v>4.5503245453526776E-3</v>
      </c>
      <c r="V55" s="387" t="str">
        <f t="shared" si="3"/>
        <v/>
      </c>
      <c r="W55" s="387">
        <f t="shared" si="4"/>
        <v>4.5503245453526776E-3</v>
      </c>
    </row>
    <row r="56" spans="3:23" hidden="1" outlineLevel="1" x14ac:dyDescent="0.35">
      <c r="D56" s="345" t="s">
        <v>154</v>
      </c>
      <c r="F56" s="351">
        <f>ThachThat!F17</f>
        <v>0</v>
      </c>
      <c r="G56" s="351">
        <f>ThachThat!G17</f>
        <v>0</v>
      </c>
      <c r="H56" s="351">
        <f>ThachThat!H17</f>
        <v>0</v>
      </c>
      <c r="I56" s="351">
        <f>ThachThat!I17</f>
        <v>0</v>
      </c>
      <c r="J56" s="351">
        <f>ThachThat!J17</f>
        <v>0</v>
      </c>
      <c r="K56" s="351">
        <f>ThachThat!K17</f>
        <v>0</v>
      </c>
      <c r="L56" s="351">
        <f>ThachThat!L17</f>
        <v>0</v>
      </c>
      <c r="M56" s="351">
        <f>ThachThat!M17</f>
        <v>0</v>
      </c>
      <c r="N56" s="351">
        <f>ThachThat!N17</f>
        <v>11.277200000000001</v>
      </c>
      <c r="O56" s="351">
        <f>ThachThat!O17</f>
        <v>9.0495009999999994</v>
      </c>
      <c r="P56" s="351">
        <f>ThachThat!P17</f>
        <v>9.7677990000000001</v>
      </c>
      <c r="Q56" s="351">
        <f>ThachThat!Q17</f>
        <v>3.9615</v>
      </c>
      <c r="R56" s="351">
        <f t="shared" si="17"/>
        <v>34.055999999999997</v>
      </c>
      <c r="S56" s="351">
        <f t="shared" si="18"/>
        <v>0</v>
      </c>
      <c r="T56" s="359">
        <f t="shared" si="19"/>
        <v>34.055999999999997</v>
      </c>
      <c r="U56" s="386">
        <f t="shared" si="2"/>
        <v>7.4962665429550816E-4</v>
      </c>
      <c r="V56" s="387" t="str">
        <f t="shared" si="3"/>
        <v/>
      </c>
      <c r="W56" s="387">
        <f t="shared" si="4"/>
        <v>7.4962665429550816E-4</v>
      </c>
    </row>
    <row r="57" spans="3:23" hidden="1" outlineLevel="1" x14ac:dyDescent="0.35">
      <c r="D57" s="347" t="s">
        <v>155</v>
      </c>
      <c r="E57" s="368"/>
      <c r="F57" s="352">
        <f>'SocSon-1'!F26</f>
        <v>0</v>
      </c>
      <c r="G57" s="352">
        <f>'SocSon-1'!G26</f>
        <v>0</v>
      </c>
      <c r="H57" s="352">
        <f>'SocSon-1'!H26</f>
        <v>0</v>
      </c>
      <c r="I57" s="352">
        <f>'SocSon-1'!I26</f>
        <v>0</v>
      </c>
      <c r="J57" s="352">
        <f>'SocSon-1'!J26</f>
        <v>0</v>
      </c>
      <c r="K57" s="352">
        <f>'SocSon-1'!K26</f>
        <v>0</v>
      </c>
      <c r="L57" s="352">
        <f>'SocSon-1'!L26</f>
        <v>0</v>
      </c>
      <c r="M57" s="352">
        <f>'SocSon-1'!M26</f>
        <v>0</v>
      </c>
      <c r="N57" s="352">
        <f>'SocSon-1'!N26</f>
        <v>0</v>
      </c>
      <c r="O57" s="352">
        <f>'SocSon-1'!O26</f>
        <v>0</v>
      </c>
      <c r="P57" s="352">
        <f>'SocSon-1'!P26</f>
        <v>5.0419</v>
      </c>
      <c r="Q57" s="352">
        <f>'SocSon-1'!Q26</f>
        <v>6.4253999999999998</v>
      </c>
      <c r="R57" s="352">
        <f t="shared" si="17"/>
        <v>11.4673</v>
      </c>
      <c r="S57" s="352">
        <f t="shared" si="18"/>
        <v>0</v>
      </c>
      <c r="T57" s="360">
        <f t="shared" si="19"/>
        <v>11.4673</v>
      </c>
      <c r="U57" s="386">
        <f t="shared" si="2"/>
        <v>2.5241348757349313E-4</v>
      </c>
      <c r="V57" s="387" t="str">
        <f t="shared" si="3"/>
        <v/>
      </c>
      <c r="W57" s="387">
        <f t="shared" si="4"/>
        <v>2.5241348757349313E-4</v>
      </c>
    </row>
    <row r="58" spans="3:23" collapsed="1" x14ac:dyDescent="0.35">
      <c r="C58" s="6" t="s">
        <v>143</v>
      </c>
      <c r="D58" s="6"/>
      <c r="F58" s="57">
        <f>SUBTOTAL(9,F59:F67)</f>
        <v>100.57000000000002</v>
      </c>
      <c r="G58" s="57">
        <f t="shared" ref="G58:Q58" si="20">SUBTOTAL(9,G59:G67)</f>
        <v>209.79500000000007</v>
      </c>
      <c r="H58" s="57">
        <f t="shared" si="20"/>
        <v>276.17500000000001</v>
      </c>
      <c r="I58" s="57">
        <f t="shared" si="20"/>
        <v>267.49499999999995</v>
      </c>
      <c r="J58" s="57">
        <f t="shared" si="20"/>
        <v>352.45499999999998</v>
      </c>
      <c r="K58" s="57">
        <f t="shared" si="20"/>
        <v>338.67</v>
      </c>
      <c r="L58" s="57">
        <f t="shared" si="20"/>
        <v>326.59999999999997</v>
      </c>
      <c r="M58" s="57">
        <f t="shared" si="20"/>
        <v>290.16499999999996</v>
      </c>
      <c r="N58" s="57">
        <f t="shared" si="20"/>
        <v>375.31100000000004</v>
      </c>
      <c r="O58" s="57">
        <f t="shared" si="20"/>
        <v>258.60300000000001</v>
      </c>
      <c r="P58" s="57">
        <f t="shared" si="20"/>
        <v>255.14599999999999</v>
      </c>
      <c r="Q58" s="57">
        <f t="shared" si="20"/>
        <v>244.25100000000003</v>
      </c>
      <c r="R58" s="62">
        <f>SUMIFS($F58:$Q58,$F$7:$Q$7,"A")</f>
        <v>3295.2360000000008</v>
      </c>
      <c r="S58" s="62">
        <f>SUMIFS($F58:$Q58,$F$7:$Q$7,"B")</f>
        <v>0</v>
      </c>
      <c r="T58" s="57">
        <f>SUM(R58:S58)</f>
        <v>3295.2360000000008</v>
      </c>
      <c r="U58" s="386">
        <f t="shared" si="2"/>
        <v>7.2533378488199268E-2</v>
      </c>
      <c r="V58" s="387" t="str">
        <f t="shared" si="3"/>
        <v/>
      </c>
      <c r="W58" s="387">
        <f t="shared" si="4"/>
        <v>7.2533378488199268E-2</v>
      </c>
    </row>
    <row r="59" spans="3:23" hidden="1" outlineLevel="1" x14ac:dyDescent="0.35">
      <c r="D59" s="341" t="s">
        <v>147</v>
      </c>
      <c r="E59" s="367"/>
      <c r="F59" s="355">
        <f>HaiDuong!F58</f>
        <v>45.220000000000006</v>
      </c>
      <c r="G59" s="355">
        <f>HaiDuong!G58</f>
        <v>64.950000000000017</v>
      </c>
      <c r="H59" s="355">
        <f>HaiDuong!H58</f>
        <v>73.75</v>
      </c>
      <c r="I59" s="355">
        <f>HaiDuong!I58</f>
        <v>87.965000000000003</v>
      </c>
      <c r="J59" s="355">
        <f>HaiDuong!J58</f>
        <v>70.765000000000001</v>
      </c>
      <c r="K59" s="355">
        <f>HaiDuong!K58</f>
        <v>67.405000000000001</v>
      </c>
      <c r="L59" s="355">
        <f>HaiDuong!L58</f>
        <v>67.389999999999986</v>
      </c>
      <c r="M59" s="355">
        <f>HaiDuong!M58</f>
        <v>50.830000000000005</v>
      </c>
      <c r="N59" s="355">
        <f>HaiDuong!N58</f>
        <v>55.847000000000001</v>
      </c>
      <c r="O59" s="355">
        <f>HaiDuong!O58</f>
        <v>52.924999999999997</v>
      </c>
      <c r="P59" s="355">
        <f>HaiDuong!P58</f>
        <v>48.994</v>
      </c>
      <c r="Q59" s="355">
        <f>HaiDuong!Q58</f>
        <v>56.792999999999999</v>
      </c>
      <c r="R59" s="342">
        <f t="shared" ref="R59:R67" si="21">SUMIFS($F59:$Q59,$F$7:$Q$7,"A")</f>
        <v>742.83399999999995</v>
      </c>
      <c r="S59" s="342">
        <f t="shared" ref="S59:S67" si="22">SUMIFS($F59:$Q59,$F$7:$Q$7,"B")</f>
        <v>0</v>
      </c>
      <c r="T59" s="358">
        <f t="shared" ref="T59:T67" si="23">SUM(R59:S59)</f>
        <v>742.83399999999995</v>
      </c>
      <c r="U59" s="386">
        <f t="shared" si="2"/>
        <v>1.6350956251965868E-2</v>
      </c>
      <c r="V59" s="387" t="str">
        <f t="shared" si="3"/>
        <v/>
      </c>
      <c r="W59" s="387">
        <f t="shared" si="4"/>
        <v>1.6350956251965868E-2</v>
      </c>
    </row>
    <row r="60" spans="3:23" hidden="1" outlineLevel="1" x14ac:dyDescent="0.35">
      <c r="D60" s="345" t="s">
        <v>150</v>
      </c>
      <c r="F60" s="356">
        <f>CaMau!F28</f>
        <v>12.345000000000001</v>
      </c>
      <c r="G60" s="356">
        <f>CaMau!G28</f>
        <v>21.89</v>
      </c>
      <c r="H60" s="356">
        <f>CaMau!H28</f>
        <v>28.13</v>
      </c>
      <c r="I60" s="356">
        <f>CaMau!I28</f>
        <v>32.450000000000003</v>
      </c>
      <c r="J60" s="356">
        <f>CaMau!J28</f>
        <v>31.425000000000001</v>
      </c>
      <c r="K60" s="356">
        <f>CaMau!K28</f>
        <v>42.255000000000003</v>
      </c>
      <c r="L60" s="356">
        <f>CaMau!L28</f>
        <v>30.92</v>
      </c>
      <c r="M60" s="356">
        <f>CaMau!M28</f>
        <v>32.18</v>
      </c>
      <c r="N60" s="356">
        <f>CaMau!N28</f>
        <v>28.824999999999999</v>
      </c>
      <c r="O60" s="356">
        <f>CaMau!O28</f>
        <v>33.005000000000003</v>
      </c>
      <c r="P60" s="356">
        <f>CaMau!P28</f>
        <v>33.384999999999998</v>
      </c>
      <c r="Q60" s="356">
        <f>CaMau!Q28</f>
        <v>23.695</v>
      </c>
      <c r="R60" s="351">
        <f t="shared" si="21"/>
        <v>350.505</v>
      </c>
      <c r="S60" s="351">
        <f t="shared" si="22"/>
        <v>0</v>
      </c>
      <c r="T60" s="359">
        <f t="shared" si="23"/>
        <v>350.505</v>
      </c>
      <c r="U60" s="386">
        <f t="shared" si="2"/>
        <v>7.7151717895186491E-3</v>
      </c>
      <c r="V60" s="387" t="str">
        <f t="shared" si="3"/>
        <v/>
      </c>
      <c r="W60" s="387">
        <f t="shared" si="4"/>
        <v>7.7151717895186491E-3</v>
      </c>
    </row>
    <row r="61" spans="3:23" hidden="1" outlineLevel="1" x14ac:dyDescent="0.35">
      <c r="D61" s="345" t="s">
        <v>146</v>
      </c>
      <c r="F61" s="356">
        <f>ThanhHoa!F27</f>
        <v>15.41</v>
      </c>
      <c r="G61" s="356">
        <f>ThanhHoa!G27</f>
        <v>75.555000000000007</v>
      </c>
      <c r="H61" s="356">
        <f>ThanhHoa!H27</f>
        <v>108.79</v>
      </c>
      <c r="I61" s="356">
        <f>ThanhHoa!I27</f>
        <v>88.534999999999997</v>
      </c>
      <c r="J61" s="356">
        <f>ThanhHoa!J27</f>
        <v>176.32</v>
      </c>
      <c r="K61" s="356">
        <f>ThanhHoa!K27</f>
        <v>136.37</v>
      </c>
      <c r="L61" s="356">
        <f>ThanhHoa!L27</f>
        <v>100.83</v>
      </c>
      <c r="M61" s="356">
        <f>ThanhHoa!M27</f>
        <v>50.93</v>
      </c>
      <c r="N61" s="356">
        <f>ThanhHoa!N27</f>
        <v>133.30000000000001</v>
      </c>
      <c r="O61" s="356">
        <f>ThanhHoa!O27</f>
        <v>15.065</v>
      </c>
      <c r="P61" s="356">
        <f>ThanhHoa!P27</f>
        <v>14.33</v>
      </c>
      <c r="Q61" s="356">
        <f>ThanhHoa!Q27</f>
        <v>13.685</v>
      </c>
      <c r="R61" s="351">
        <f t="shared" si="21"/>
        <v>929.12</v>
      </c>
      <c r="S61" s="351">
        <f t="shared" si="22"/>
        <v>0</v>
      </c>
      <c r="T61" s="359">
        <f t="shared" si="23"/>
        <v>929.12</v>
      </c>
      <c r="U61" s="386">
        <f t="shared" si="2"/>
        <v>2.0451407007254011E-2</v>
      </c>
      <c r="V61" s="387" t="str">
        <f t="shared" si="3"/>
        <v/>
      </c>
      <c r="W61" s="387">
        <f t="shared" si="4"/>
        <v>2.0451407007254011E-2</v>
      </c>
    </row>
    <row r="62" spans="3:23" hidden="1" outlineLevel="1" x14ac:dyDescent="0.35">
      <c r="D62" s="345" t="s">
        <v>148</v>
      </c>
      <c r="F62" s="356">
        <f>ThaiNguyen!F28</f>
        <v>4.95</v>
      </c>
      <c r="G62" s="356">
        <f>ThaiNguyen!G28</f>
        <v>7.7050000000000001</v>
      </c>
      <c r="H62" s="356">
        <f>ThaiNguyen!H28</f>
        <v>13.11</v>
      </c>
      <c r="I62" s="356">
        <f>ThaiNguyen!I28</f>
        <v>11.04</v>
      </c>
      <c r="J62" s="356">
        <f>ThaiNguyen!J28</f>
        <v>14.145</v>
      </c>
      <c r="K62" s="356">
        <f>ThaiNguyen!K28</f>
        <v>14.95</v>
      </c>
      <c r="L62" s="356">
        <f>ThaiNguyen!L28</f>
        <v>16.79</v>
      </c>
      <c r="M62" s="356">
        <f>ThaiNguyen!M28</f>
        <v>20.93</v>
      </c>
      <c r="N62" s="356">
        <f>ThaiNguyen!N28</f>
        <v>22.173999999999999</v>
      </c>
      <c r="O62" s="356">
        <f>ThaiNguyen!O28</f>
        <v>24.512</v>
      </c>
      <c r="P62" s="356">
        <f>ThaiNguyen!P28</f>
        <v>26.995000000000001</v>
      </c>
      <c r="Q62" s="356">
        <f>ThaiNguyen!Q28</f>
        <v>29.89</v>
      </c>
      <c r="R62" s="351">
        <f t="shared" si="21"/>
        <v>207.19100000000003</v>
      </c>
      <c r="S62" s="351">
        <f t="shared" si="22"/>
        <v>0</v>
      </c>
      <c r="T62" s="359">
        <f t="shared" si="23"/>
        <v>207.19100000000003</v>
      </c>
      <c r="U62" s="386">
        <f t="shared" si="2"/>
        <v>4.5606030106336822E-3</v>
      </c>
      <c r="V62" s="387" t="str">
        <f t="shared" si="3"/>
        <v/>
      </c>
      <c r="W62" s="387">
        <f t="shared" si="4"/>
        <v>4.5606030106336822E-3</v>
      </c>
    </row>
    <row r="63" spans="3:23" hidden="1" outlineLevel="1" x14ac:dyDescent="0.35">
      <c r="D63" s="345" t="s">
        <v>327</v>
      </c>
      <c r="F63" s="356">
        <f>ThaiBinh!F22</f>
        <v>0</v>
      </c>
      <c r="G63" s="356">
        <f>ThaiBinh!G22</f>
        <v>0</v>
      </c>
      <c r="H63" s="356">
        <f>ThaiBinh!H22</f>
        <v>0</v>
      </c>
      <c r="I63" s="356">
        <f>ThaiBinh!I22</f>
        <v>0</v>
      </c>
      <c r="J63" s="356">
        <f>ThaiBinh!J22</f>
        <v>0</v>
      </c>
      <c r="K63" s="356">
        <f>ThaiBinh!K22</f>
        <v>8.9700000000000006</v>
      </c>
      <c r="L63" s="356">
        <f>ThaiBinh!L22</f>
        <v>36.914999999999999</v>
      </c>
      <c r="M63" s="356">
        <f>ThaiBinh!M22</f>
        <v>68.08</v>
      </c>
      <c r="N63" s="356">
        <f>ThaiBinh!N22</f>
        <v>29.23</v>
      </c>
      <c r="O63" s="356">
        <f>ThaiBinh!O22</f>
        <v>20.317</v>
      </c>
      <c r="P63" s="356">
        <f>ThaiBinh!P22</f>
        <v>17.646000000000001</v>
      </c>
      <c r="Q63" s="356">
        <f>ThaiBinh!Q22</f>
        <v>17.440000000000001</v>
      </c>
      <c r="R63" s="351">
        <f t="shared" si="21"/>
        <v>198.59800000000001</v>
      </c>
      <c r="S63" s="351">
        <f t="shared" si="22"/>
        <v>0</v>
      </c>
      <c r="T63" s="359">
        <f t="shared" si="23"/>
        <v>198.59800000000001</v>
      </c>
      <c r="U63" s="386">
        <f t="shared" si="2"/>
        <v>4.3714574315767956E-3</v>
      </c>
      <c r="V63" s="387" t="str">
        <f t="shared" si="3"/>
        <v/>
      </c>
      <c r="W63" s="387">
        <f t="shared" si="4"/>
        <v>4.3714574315767956E-3</v>
      </c>
    </row>
    <row r="64" spans="3:23" hidden="1" outlineLevel="1" x14ac:dyDescent="0.35">
      <c r="D64" s="345" t="s">
        <v>151</v>
      </c>
      <c r="F64" s="356">
        <f>YetKieu!F29</f>
        <v>10.555</v>
      </c>
      <c r="G64" s="356">
        <f>YetKieu!G29</f>
        <v>19.274999999999999</v>
      </c>
      <c r="H64" s="356">
        <f>YetKieu!H29</f>
        <v>24.6</v>
      </c>
      <c r="I64" s="356">
        <f>YetKieu!I29</f>
        <v>19.945</v>
      </c>
      <c r="J64" s="356">
        <f>YetKieu!J29</f>
        <v>34.604999999999997</v>
      </c>
      <c r="K64" s="356">
        <f>YetKieu!K29</f>
        <v>38.005000000000003</v>
      </c>
      <c r="L64" s="356">
        <f>YetKieu!L29</f>
        <v>40.49</v>
      </c>
      <c r="M64" s="356">
        <f>YetKieu!M29</f>
        <v>36.094999999999999</v>
      </c>
      <c r="N64" s="356">
        <f>YetKieu!N29</f>
        <v>40.284999999999997</v>
      </c>
      <c r="O64" s="356">
        <f>YetKieu!O29</f>
        <v>38.728999999999999</v>
      </c>
      <c r="P64" s="356">
        <f>YetKieu!P29</f>
        <v>34.470999999999997</v>
      </c>
      <c r="Q64" s="356">
        <f>YetKieu!Q29</f>
        <v>41.887999999999998</v>
      </c>
      <c r="R64" s="351">
        <f t="shared" si="21"/>
        <v>378.94299999999998</v>
      </c>
      <c r="S64" s="351">
        <f t="shared" si="22"/>
        <v>0</v>
      </c>
      <c r="T64" s="359">
        <f t="shared" si="23"/>
        <v>378.94299999999998</v>
      </c>
      <c r="U64" s="386">
        <f t="shared" si="2"/>
        <v>8.3411373402250046E-3</v>
      </c>
      <c r="V64" s="387" t="str">
        <f t="shared" si="3"/>
        <v/>
      </c>
      <c r="W64" s="387">
        <f t="shared" si="4"/>
        <v>8.3411373402250046E-3</v>
      </c>
    </row>
    <row r="65" spans="3:23" hidden="1" outlineLevel="1" x14ac:dyDescent="0.35">
      <c r="D65" s="345" t="s">
        <v>153</v>
      </c>
      <c r="F65" s="356">
        <f>NhaTrang!F27</f>
        <v>12.09</v>
      </c>
      <c r="G65" s="356">
        <f>NhaTrang!G27</f>
        <v>20.420000000000002</v>
      </c>
      <c r="H65" s="356">
        <f>NhaTrang!H27</f>
        <v>27.795000000000002</v>
      </c>
      <c r="I65" s="356">
        <f>NhaTrang!I27</f>
        <v>27.56</v>
      </c>
      <c r="J65" s="356">
        <f>NhaTrang!J27</f>
        <v>25.195</v>
      </c>
      <c r="K65" s="356">
        <f>NhaTrang!K27</f>
        <v>30.715</v>
      </c>
      <c r="L65" s="356">
        <f>NhaTrang!L27</f>
        <v>33.265000000000001</v>
      </c>
      <c r="M65" s="356">
        <f>NhaTrang!M27</f>
        <v>31.12</v>
      </c>
      <c r="N65" s="356">
        <f>NhaTrang!N27</f>
        <v>33.909999999999997</v>
      </c>
      <c r="O65" s="356">
        <f>NhaTrang!O27</f>
        <v>46.795000000000002</v>
      </c>
      <c r="P65" s="356">
        <f>NhaTrang!P27</f>
        <v>46.55</v>
      </c>
      <c r="Q65" s="356">
        <f>NhaTrang!Q27</f>
        <v>38.090000000000003</v>
      </c>
      <c r="R65" s="351">
        <f t="shared" si="21"/>
        <v>373.505</v>
      </c>
      <c r="S65" s="351">
        <f t="shared" si="22"/>
        <v>0</v>
      </c>
      <c r="T65" s="359">
        <f t="shared" si="23"/>
        <v>373.505</v>
      </c>
      <c r="U65" s="386">
        <f t="shared" si="2"/>
        <v>8.2214383225465062E-3</v>
      </c>
      <c r="V65" s="387" t="str">
        <f t="shared" si="3"/>
        <v/>
      </c>
      <c r="W65" s="387">
        <f t="shared" si="4"/>
        <v>8.2214383225465062E-3</v>
      </c>
    </row>
    <row r="66" spans="3:23" hidden="1" outlineLevel="1" x14ac:dyDescent="0.35">
      <c r="D66" s="345" t="s">
        <v>154</v>
      </c>
      <c r="F66" s="356">
        <f>ThachThat!F20</f>
        <v>0</v>
      </c>
      <c r="G66" s="356">
        <f>ThachThat!G20</f>
        <v>0</v>
      </c>
      <c r="H66" s="356">
        <f>ThachThat!H20</f>
        <v>0</v>
      </c>
      <c r="I66" s="356">
        <f>ThachThat!I20</f>
        <v>0</v>
      </c>
      <c r="J66" s="356">
        <f>ThachThat!J20</f>
        <v>0</v>
      </c>
      <c r="K66" s="356">
        <f>ThachThat!K20</f>
        <v>0</v>
      </c>
      <c r="L66" s="356">
        <f>ThachThat!L20</f>
        <v>0</v>
      </c>
      <c r="M66" s="356">
        <f>ThachThat!M20</f>
        <v>0</v>
      </c>
      <c r="N66" s="356">
        <f>ThachThat!N20</f>
        <v>31.74</v>
      </c>
      <c r="O66" s="356">
        <f>ThachThat!O20</f>
        <v>27.254999999999999</v>
      </c>
      <c r="P66" s="356">
        <f>ThachThat!P20</f>
        <v>23.69</v>
      </c>
      <c r="Q66" s="356">
        <f>ThachThat!Q20</f>
        <v>11.845000000000001</v>
      </c>
      <c r="R66" s="351">
        <f t="shared" si="21"/>
        <v>94.53</v>
      </c>
      <c r="S66" s="351">
        <f t="shared" si="22"/>
        <v>0</v>
      </c>
      <c r="T66" s="359">
        <f t="shared" si="23"/>
        <v>94.53</v>
      </c>
      <c r="U66" s="386">
        <f t="shared" si="2"/>
        <v>2.0807554507444913E-3</v>
      </c>
      <c r="V66" s="387" t="str">
        <f t="shared" si="3"/>
        <v/>
      </c>
      <c r="W66" s="387">
        <f t="shared" si="4"/>
        <v>2.0807554507444913E-3</v>
      </c>
    </row>
    <row r="67" spans="3:23" hidden="1" outlineLevel="1" x14ac:dyDescent="0.35">
      <c r="D67" s="347" t="s">
        <v>155</v>
      </c>
      <c r="E67" s="368"/>
      <c r="F67" s="357">
        <f>'SocSon-1'!F27</f>
        <v>0</v>
      </c>
      <c r="G67" s="357">
        <f>'SocSon-1'!G27</f>
        <v>0</v>
      </c>
      <c r="H67" s="357">
        <f>'SocSon-1'!H27</f>
        <v>0</v>
      </c>
      <c r="I67" s="357">
        <f>'SocSon-1'!I27</f>
        <v>0</v>
      </c>
      <c r="J67" s="357">
        <f>'SocSon-1'!J27</f>
        <v>0</v>
      </c>
      <c r="K67" s="357">
        <f>'SocSon-1'!K27</f>
        <v>0</v>
      </c>
      <c r="L67" s="357">
        <f>'SocSon-1'!L27</f>
        <v>0</v>
      </c>
      <c r="M67" s="357">
        <f>'SocSon-1'!M27</f>
        <v>0</v>
      </c>
      <c r="N67" s="357">
        <f>'SocSon-1'!N27</f>
        <v>0</v>
      </c>
      <c r="O67" s="357">
        <f>'SocSon-1'!O27</f>
        <v>0</v>
      </c>
      <c r="P67" s="357">
        <f>'SocSon-1'!P27</f>
        <v>9.0850000000000009</v>
      </c>
      <c r="Q67" s="357">
        <f>'SocSon-1'!Q27</f>
        <v>10.925000000000001</v>
      </c>
      <c r="R67" s="352">
        <f t="shared" si="21"/>
        <v>20.010000000000002</v>
      </c>
      <c r="S67" s="352">
        <f t="shared" si="22"/>
        <v>0</v>
      </c>
      <c r="T67" s="360">
        <f t="shared" si="23"/>
        <v>20.010000000000002</v>
      </c>
      <c r="U67" s="386">
        <f t="shared" si="2"/>
        <v>4.4045188373423544E-4</v>
      </c>
      <c r="V67" s="387" t="str">
        <f t="shared" si="3"/>
        <v/>
      </c>
      <c r="W67" s="387">
        <f t="shared" si="4"/>
        <v>4.4045188373423544E-4</v>
      </c>
    </row>
    <row r="68" spans="3:23" collapsed="1" x14ac:dyDescent="0.35">
      <c r="C68" s="6" t="s">
        <v>24</v>
      </c>
      <c r="D68" s="6"/>
      <c r="F68" s="57">
        <f>SUBTOTAL(9,F69:F77)</f>
        <v>34.441652000000005</v>
      </c>
      <c r="G68" s="57">
        <f t="shared" ref="G68:Q68" si="24">SUBTOTAL(9,G69:G77)</f>
        <v>179.17272</v>
      </c>
      <c r="H68" s="57">
        <f t="shared" si="24"/>
        <v>230.66080299999999</v>
      </c>
      <c r="I68" s="57">
        <f t="shared" si="24"/>
        <v>151.900216</v>
      </c>
      <c r="J68" s="57">
        <f t="shared" si="24"/>
        <v>42.167563999999999</v>
      </c>
      <c r="K68" s="57">
        <f t="shared" si="24"/>
        <v>34.239852999999997</v>
      </c>
      <c r="L68" s="57">
        <f t="shared" si="24"/>
        <v>54.791784000000007</v>
      </c>
      <c r="M68" s="57">
        <f t="shared" si="24"/>
        <v>109.355976</v>
      </c>
      <c r="N68" s="57">
        <f t="shared" si="24"/>
        <v>33.402358999999997</v>
      </c>
      <c r="O68" s="57">
        <f t="shared" si="24"/>
        <v>42.206572999999999</v>
      </c>
      <c r="P68" s="57">
        <f t="shared" si="24"/>
        <v>37.611606999999992</v>
      </c>
      <c r="Q68" s="57">
        <f t="shared" si="24"/>
        <v>29.402736000000001</v>
      </c>
      <c r="R68" s="62">
        <f>SUMIFS($F68:$Q68,$F$7:$Q$7,"A")</f>
        <v>979.3538430000001</v>
      </c>
      <c r="S68" s="62">
        <f>SUMIFS($F68:$Q68,$F$7:$Q$7,"B")</f>
        <v>0</v>
      </c>
      <c r="T68" s="57">
        <f>SUM(R68:S68)</f>
        <v>979.3538430000001</v>
      </c>
      <c r="U68" s="386">
        <f t="shared" si="2"/>
        <v>2.155713368274426E-2</v>
      </c>
      <c r="V68" s="387" t="str">
        <f t="shared" si="3"/>
        <v/>
      </c>
      <c r="W68" s="387">
        <f t="shared" si="4"/>
        <v>2.155713368274426E-2</v>
      </c>
    </row>
    <row r="69" spans="3:23" hidden="1" outlineLevel="1" x14ac:dyDescent="0.35">
      <c r="D69" s="341" t="s">
        <v>147</v>
      </c>
      <c r="E69" s="367"/>
      <c r="F69" s="353">
        <f>HaiDuong!F59</f>
        <v>19.077652</v>
      </c>
      <c r="G69" s="353">
        <f>HaiDuong!G59</f>
        <v>37.564719999999994</v>
      </c>
      <c r="H69" s="353">
        <f>HaiDuong!H59</f>
        <v>33.844802999999999</v>
      </c>
      <c r="I69" s="353">
        <f>HaiDuong!I59</f>
        <v>35.630216000000004</v>
      </c>
      <c r="J69" s="353">
        <f>HaiDuong!J59</f>
        <v>25.877564</v>
      </c>
      <c r="K69" s="353">
        <f>HaiDuong!K59</f>
        <v>14.219853000000001</v>
      </c>
      <c r="L69" s="353">
        <f>HaiDuong!L59</f>
        <v>26.795784000000001</v>
      </c>
      <c r="M69" s="353">
        <f>HaiDuong!M59</f>
        <v>27.845976</v>
      </c>
      <c r="N69" s="353">
        <f>HaiDuong!N59</f>
        <v>23.262358999999996</v>
      </c>
      <c r="O69" s="353">
        <f>HaiDuong!O59</f>
        <v>27.724572999999999</v>
      </c>
      <c r="P69" s="353">
        <f>HaiDuong!P59</f>
        <v>28.849606999999995</v>
      </c>
      <c r="Q69" s="353">
        <f>HaiDuong!Q59</f>
        <v>21.862736000000002</v>
      </c>
      <c r="R69" s="343">
        <f t="shared" ref="R69:R77" si="25">SUMIFS($F69:$Q69,$F$7:$Q$7,"A")</f>
        <v>322.55584299999998</v>
      </c>
      <c r="S69" s="343">
        <f t="shared" ref="S69:S77" si="26">SUMIFS($F69:$Q69,$F$7:$Q$7,"B")</f>
        <v>0</v>
      </c>
      <c r="T69" s="344">
        <f t="shared" ref="T69:T77" si="27">SUM(R69:S69)</f>
        <v>322.55584299999998</v>
      </c>
      <c r="U69" s="386">
        <f t="shared" si="2"/>
        <v>7.099966449716855E-3</v>
      </c>
      <c r="V69" s="387" t="str">
        <f t="shared" si="3"/>
        <v/>
      </c>
      <c r="W69" s="387">
        <f t="shared" si="4"/>
        <v>7.099966449716855E-3</v>
      </c>
    </row>
    <row r="70" spans="3:23" hidden="1" outlineLevel="1" x14ac:dyDescent="0.35">
      <c r="D70" s="345" t="s">
        <v>150</v>
      </c>
      <c r="F70" s="57">
        <f>CaMau!F29</f>
        <v>0</v>
      </c>
      <c r="G70" s="57">
        <f>CaMau!G29</f>
        <v>0</v>
      </c>
      <c r="H70" s="57">
        <f>CaMau!H29</f>
        <v>0</v>
      </c>
      <c r="I70" s="57">
        <f>CaMau!I29</f>
        <v>0</v>
      </c>
      <c r="J70" s="57">
        <f>CaMau!J29</f>
        <v>0</v>
      </c>
      <c r="K70" s="57">
        <f>CaMau!K29</f>
        <v>0</v>
      </c>
      <c r="L70" s="57">
        <f>CaMau!L29</f>
        <v>0</v>
      </c>
      <c r="M70" s="57">
        <f>CaMau!M29</f>
        <v>0</v>
      </c>
      <c r="N70" s="57">
        <f>CaMau!N29</f>
        <v>0</v>
      </c>
      <c r="O70" s="57">
        <f>CaMau!O29</f>
        <v>0</v>
      </c>
      <c r="P70" s="57">
        <f>CaMau!P29</f>
        <v>0</v>
      </c>
      <c r="Q70" s="57">
        <f>CaMau!Q29</f>
        <v>0</v>
      </c>
      <c r="R70" s="195">
        <f t="shared" si="25"/>
        <v>0</v>
      </c>
      <c r="S70" s="195">
        <f t="shared" si="26"/>
        <v>0</v>
      </c>
      <c r="T70" s="346">
        <f t="shared" si="27"/>
        <v>0</v>
      </c>
      <c r="U70" s="386">
        <f t="shared" si="2"/>
        <v>0</v>
      </c>
      <c r="V70" s="387" t="str">
        <f t="shared" si="3"/>
        <v/>
      </c>
      <c r="W70" s="387">
        <f t="shared" si="4"/>
        <v>0</v>
      </c>
    </row>
    <row r="71" spans="3:23" hidden="1" outlineLevel="1" x14ac:dyDescent="0.35">
      <c r="D71" s="345" t="s">
        <v>146</v>
      </c>
      <c r="F71" s="57">
        <f>ThanhHoa!F28</f>
        <v>15.364000000000001</v>
      </c>
      <c r="G71" s="57">
        <f>ThanhHoa!G28</f>
        <v>141.608</v>
      </c>
      <c r="H71" s="57">
        <f>ThanhHoa!H28</f>
        <v>196.816</v>
      </c>
      <c r="I71" s="57">
        <f>ThanhHoa!I28</f>
        <v>116.27</v>
      </c>
      <c r="J71" s="57">
        <f>ThanhHoa!J28</f>
        <v>16.29</v>
      </c>
      <c r="K71" s="57">
        <f>ThanhHoa!K28</f>
        <v>20.02</v>
      </c>
      <c r="L71" s="57">
        <f>ThanhHoa!L28</f>
        <v>21.704000000000001</v>
      </c>
      <c r="M71" s="57">
        <f>ThanhHoa!M28</f>
        <v>75.218000000000004</v>
      </c>
      <c r="N71" s="57">
        <f>ThanhHoa!N28</f>
        <v>4.42</v>
      </c>
      <c r="O71" s="57">
        <f>ThanhHoa!O28</f>
        <v>8.19</v>
      </c>
      <c r="P71" s="57">
        <f>ThanhHoa!P28</f>
        <v>3.0419999999999998</v>
      </c>
      <c r="Q71" s="57">
        <f>ThanhHoa!Q28</f>
        <v>4.1079999999999997</v>
      </c>
      <c r="R71" s="195">
        <f t="shared" si="25"/>
        <v>623.04999999999995</v>
      </c>
      <c r="S71" s="195">
        <f t="shared" si="26"/>
        <v>0</v>
      </c>
      <c r="T71" s="346">
        <f t="shared" si="27"/>
        <v>623.04999999999995</v>
      </c>
      <c r="U71" s="386">
        <f t="shared" si="2"/>
        <v>1.371432014795679E-2</v>
      </c>
      <c r="V71" s="387" t="str">
        <f t="shared" si="3"/>
        <v/>
      </c>
      <c r="W71" s="387">
        <f t="shared" si="4"/>
        <v>1.371432014795679E-2</v>
      </c>
    </row>
    <row r="72" spans="3:23" hidden="1" outlineLevel="1" x14ac:dyDescent="0.35">
      <c r="D72" s="345" t="s">
        <v>148</v>
      </c>
      <c r="F72" s="57">
        <f>ThaiNguyen!F29</f>
        <v>0</v>
      </c>
      <c r="G72" s="57">
        <f>ThaiNguyen!G29</f>
        <v>0</v>
      </c>
      <c r="H72" s="57">
        <f>ThaiNguyen!H29</f>
        <v>0</v>
      </c>
      <c r="I72" s="57">
        <f>ThaiNguyen!I29</f>
        <v>0</v>
      </c>
      <c r="J72" s="57">
        <f>ThaiNguyen!J29</f>
        <v>0</v>
      </c>
      <c r="K72" s="57">
        <f>ThaiNguyen!K29</f>
        <v>0</v>
      </c>
      <c r="L72" s="57">
        <f>ThaiNguyen!L29</f>
        <v>6.2919999999999998</v>
      </c>
      <c r="M72" s="57">
        <f>ThaiNguyen!M29</f>
        <v>6.2919999999999998</v>
      </c>
      <c r="N72" s="57">
        <f>ThaiNguyen!N29</f>
        <v>5.72</v>
      </c>
      <c r="O72" s="57">
        <f>ThaiNguyen!O29</f>
        <v>6.2919999999999998</v>
      </c>
      <c r="P72" s="57">
        <f>ThaiNguyen!P29</f>
        <v>5.72</v>
      </c>
      <c r="Q72" s="57">
        <f>ThaiNguyen!Q29</f>
        <v>3.4319999999999999</v>
      </c>
      <c r="R72" s="195">
        <f t="shared" si="25"/>
        <v>33.747999999999998</v>
      </c>
      <c r="S72" s="195">
        <f t="shared" si="26"/>
        <v>0</v>
      </c>
      <c r="T72" s="346">
        <f t="shared" si="27"/>
        <v>33.747999999999998</v>
      </c>
      <c r="U72" s="386">
        <f t="shared" si="2"/>
        <v>7.4284708507061346E-4</v>
      </c>
      <c r="V72" s="387" t="str">
        <f t="shared" si="3"/>
        <v/>
      </c>
      <c r="W72" s="387">
        <f t="shared" si="4"/>
        <v>7.4284708507061346E-4</v>
      </c>
    </row>
    <row r="73" spans="3:23" hidden="1" outlineLevel="1" x14ac:dyDescent="0.35">
      <c r="D73" s="345" t="s">
        <v>327</v>
      </c>
      <c r="F73" s="57">
        <v>0</v>
      </c>
      <c r="G73" s="57">
        <f>$F73</f>
        <v>0</v>
      </c>
      <c r="H73" s="57">
        <f t="shared" ref="H73:Q73" si="28">$F73</f>
        <v>0</v>
      </c>
      <c r="I73" s="57">
        <f t="shared" si="28"/>
        <v>0</v>
      </c>
      <c r="J73" s="57">
        <f t="shared" si="28"/>
        <v>0</v>
      </c>
      <c r="K73" s="57">
        <f t="shared" si="28"/>
        <v>0</v>
      </c>
      <c r="L73" s="57">
        <f t="shared" si="28"/>
        <v>0</v>
      </c>
      <c r="M73" s="57">
        <f t="shared" si="28"/>
        <v>0</v>
      </c>
      <c r="N73" s="57">
        <f t="shared" si="28"/>
        <v>0</v>
      </c>
      <c r="O73" s="57">
        <f t="shared" si="28"/>
        <v>0</v>
      </c>
      <c r="P73" s="57">
        <f t="shared" si="28"/>
        <v>0</v>
      </c>
      <c r="Q73" s="57">
        <f t="shared" si="28"/>
        <v>0</v>
      </c>
      <c r="R73" s="195">
        <f t="shared" si="25"/>
        <v>0</v>
      </c>
      <c r="S73" s="195">
        <f t="shared" si="26"/>
        <v>0</v>
      </c>
      <c r="T73" s="346">
        <f t="shared" si="27"/>
        <v>0</v>
      </c>
      <c r="U73" s="386">
        <f t="shared" si="2"/>
        <v>0</v>
      </c>
      <c r="V73" s="387" t="str">
        <f t="shared" si="3"/>
        <v/>
      </c>
      <c r="W73" s="387">
        <f t="shared" si="4"/>
        <v>0</v>
      </c>
    </row>
    <row r="74" spans="3:23" hidden="1" outlineLevel="1" x14ac:dyDescent="0.35">
      <c r="D74" s="345" t="s">
        <v>151</v>
      </c>
      <c r="F74" s="57">
        <f>0</f>
        <v>0</v>
      </c>
      <c r="G74" s="57">
        <f t="shared" ref="G74:Q77" si="29">$F74</f>
        <v>0</v>
      </c>
      <c r="H74" s="57">
        <f t="shared" si="29"/>
        <v>0</v>
      </c>
      <c r="I74" s="57">
        <f t="shared" si="29"/>
        <v>0</v>
      </c>
      <c r="J74" s="57">
        <f t="shared" si="29"/>
        <v>0</v>
      </c>
      <c r="K74" s="57">
        <f t="shared" si="29"/>
        <v>0</v>
      </c>
      <c r="L74" s="57">
        <f t="shared" si="29"/>
        <v>0</v>
      </c>
      <c r="M74" s="57">
        <f t="shared" si="29"/>
        <v>0</v>
      </c>
      <c r="N74" s="57">
        <f t="shared" si="29"/>
        <v>0</v>
      </c>
      <c r="O74" s="57">
        <f t="shared" si="29"/>
        <v>0</v>
      </c>
      <c r="P74" s="57">
        <f t="shared" si="29"/>
        <v>0</v>
      </c>
      <c r="Q74" s="57">
        <f t="shared" si="29"/>
        <v>0</v>
      </c>
      <c r="R74" s="195">
        <f t="shared" si="25"/>
        <v>0</v>
      </c>
      <c r="S74" s="195">
        <f t="shared" si="26"/>
        <v>0</v>
      </c>
      <c r="T74" s="346">
        <f t="shared" si="27"/>
        <v>0</v>
      </c>
      <c r="U74" s="386">
        <f t="shared" si="2"/>
        <v>0</v>
      </c>
      <c r="V74" s="387" t="str">
        <f t="shared" si="3"/>
        <v/>
      </c>
      <c r="W74" s="387">
        <f t="shared" si="4"/>
        <v>0</v>
      </c>
    </row>
    <row r="75" spans="3:23" hidden="1" outlineLevel="1" x14ac:dyDescent="0.35">
      <c r="D75" s="345" t="s">
        <v>153</v>
      </c>
      <c r="F75" s="57">
        <v>0</v>
      </c>
      <c r="G75" s="57">
        <f t="shared" si="29"/>
        <v>0</v>
      </c>
      <c r="H75" s="57">
        <f t="shared" si="29"/>
        <v>0</v>
      </c>
      <c r="I75" s="57">
        <f t="shared" si="29"/>
        <v>0</v>
      </c>
      <c r="J75" s="57">
        <f t="shared" si="29"/>
        <v>0</v>
      </c>
      <c r="K75" s="57">
        <f t="shared" si="29"/>
        <v>0</v>
      </c>
      <c r="L75" s="57">
        <f t="shared" si="29"/>
        <v>0</v>
      </c>
      <c r="M75" s="57">
        <f t="shared" si="29"/>
        <v>0</v>
      </c>
      <c r="N75" s="57">
        <f t="shared" si="29"/>
        <v>0</v>
      </c>
      <c r="O75" s="57">
        <f t="shared" si="29"/>
        <v>0</v>
      </c>
      <c r="P75" s="57">
        <f t="shared" si="29"/>
        <v>0</v>
      </c>
      <c r="Q75" s="57">
        <f t="shared" si="29"/>
        <v>0</v>
      </c>
      <c r="R75" s="195">
        <f t="shared" si="25"/>
        <v>0</v>
      </c>
      <c r="S75" s="195">
        <f t="shared" si="26"/>
        <v>0</v>
      </c>
      <c r="T75" s="346">
        <f t="shared" si="27"/>
        <v>0</v>
      </c>
      <c r="U75" s="386">
        <f t="shared" si="2"/>
        <v>0</v>
      </c>
      <c r="V75" s="387" t="str">
        <f t="shared" si="3"/>
        <v/>
      </c>
      <c r="W75" s="387">
        <f t="shared" si="4"/>
        <v>0</v>
      </c>
    </row>
    <row r="76" spans="3:23" hidden="1" outlineLevel="1" x14ac:dyDescent="0.35">
      <c r="D76" s="345" t="s">
        <v>154</v>
      </c>
      <c r="F76" s="57">
        <v>0</v>
      </c>
      <c r="G76" s="57">
        <f t="shared" si="29"/>
        <v>0</v>
      </c>
      <c r="H76" s="57">
        <f t="shared" si="29"/>
        <v>0</v>
      </c>
      <c r="I76" s="57">
        <f t="shared" si="29"/>
        <v>0</v>
      </c>
      <c r="J76" s="57">
        <f t="shared" si="29"/>
        <v>0</v>
      </c>
      <c r="K76" s="57">
        <f t="shared" si="29"/>
        <v>0</v>
      </c>
      <c r="L76" s="57">
        <f t="shared" si="29"/>
        <v>0</v>
      </c>
      <c r="M76" s="57">
        <f t="shared" si="29"/>
        <v>0</v>
      </c>
      <c r="N76" s="57">
        <f t="shared" si="29"/>
        <v>0</v>
      </c>
      <c r="O76" s="57">
        <f t="shared" si="29"/>
        <v>0</v>
      </c>
      <c r="P76" s="57">
        <f t="shared" si="29"/>
        <v>0</v>
      </c>
      <c r="Q76" s="57">
        <f t="shared" si="29"/>
        <v>0</v>
      </c>
      <c r="R76" s="195">
        <f t="shared" si="25"/>
        <v>0</v>
      </c>
      <c r="S76" s="195">
        <f t="shared" si="26"/>
        <v>0</v>
      </c>
      <c r="T76" s="346">
        <f t="shared" si="27"/>
        <v>0</v>
      </c>
      <c r="U76" s="386">
        <f t="shared" si="2"/>
        <v>0</v>
      </c>
      <c r="V76" s="387" t="str">
        <f t="shared" si="3"/>
        <v/>
      </c>
      <c r="W76" s="387">
        <f t="shared" si="4"/>
        <v>0</v>
      </c>
    </row>
    <row r="77" spans="3:23" hidden="1" outlineLevel="1" x14ac:dyDescent="0.35">
      <c r="D77" s="347" t="s">
        <v>155</v>
      </c>
      <c r="E77" s="368"/>
      <c r="F77" s="354">
        <f>0</f>
        <v>0</v>
      </c>
      <c r="G77" s="354">
        <f t="shared" si="29"/>
        <v>0</v>
      </c>
      <c r="H77" s="354">
        <f t="shared" si="29"/>
        <v>0</v>
      </c>
      <c r="I77" s="354">
        <f t="shared" si="29"/>
        <v>0</v>
      </c>
      <c r="J77" s="354">
        <f t="shared" si="29"/>
        <v>0</v>
      </c>
      <c r="K77" s="354">
        <f t="shared" si="29"/>
        <v>0</v>
      </c>
      <c r="L77" s="354">
        <f t="shared" si="29"/>
        <v>0</v>
      </c>
      <c r="M77" s="354">
        <f t="shared" si="29"/>
        <v>0</v>
      </c>
      <c r="N77" s="354">
        <f t="shared" si="29"/>
        <v>0</v>
      </c>
      <c r="O77" s="354">
        <f t="shared" si="29"/>
        <v>0</v>
      </c>
      <c r="P77" s="354">
        <f t="shared" si="29"/>
        <v>0</v>
      </c>
      <c r="Q77" s="354">
        <f t="shared" si="29"/>
        <v>0</v>
      </c>
      <c r="R77" s="348">
        <f t="shared" si="25"/>
        <v>0</v>
      </c>
      <c r="S77" s="348">
        <f t="shared" si="26"/>
        <v>0</v>
      </c>
      <c r="T77" s="349">
        <f t="shared" si="27"/>
        <v>0</v>
      </c>
      <c r="U77" s="386">
        <f t="shared" si="2"/>
        <v>0</v>
      </c>
      <c r="V77" s="387" t="str">
        <f t="shared" si="3"/>
        <v/>
      </c>
      <c r="W77" s="387">
        <f t="shared" si="4"/>
        <v>0</v>
      </c>
    </row>
    <row r="78" spans="3:23" collapsed="1" x14ac:dyDescent="0.35">
      <c r="C78" s="6" t="s">
        <v>612</v>
      </c>
      <c r="D78" s="6"/>
      <c r="F78" s="57">
        <f>SUBTOTAL(9,F79:F87)</f>
        <v>218.65999999999997</v>
      </c>
      <c r="G78" s="57">
        <f t="shared" ref="G78:Q78" si="30">SUBTOTAL(9,G79:G87)</f>
        <v>419.29799999999994</v>
      </c>
      <c r="H78" s="57">
        <f t="shared" si="30"/>
        <v>547.36900000000003</v>
      </c>
      <c r="I78" s="57">
        <f t="shared" si="30"/>
        <v>556.41200000000003</v>
      </c>
      <c r="J78" s="57">
        <f t="shared" si="30"/>
        <v>499.15800000000002</v>
      </c>
      <c r="K78" s="57">
        <f t="shared" si="30"/>
        <v>492.71300000000002</v>
      </c>
      <c r="L78" s="57">
        <f t="shared" si="30"/>
        <v>604.548</v>
      </c>
      <c r="M78" s="57">
        <f t="shared" si="30"/>
        <v>597.03899999999999</v>
      </c>
      <c r="N78" s="57">
        <f t="shared" si="30"/>
        <v>537.33000000000004</v>
      </c>
      <c r="O78" s="57">
        <f t="shared" si="30"/>
        <v>504.91699999999997</v>
      </c>
      <c r="P78" s="57">
        <f t="shared" si="30"/>
        <v>484.40799999999996</v>
      </c>
      <c r="Q78" s="57">
        <f t="shared" si="30"/>
        <v>481.75200000000007</v>
      </c>
      <c r="R78" s="62">
        <f>SUMIFS($F78:$Q78,$F$7:$Q$7,"A")</f>
        <v>5943.6040000000012</v>
      </c>
      <c r="S78" s="62">
        <f>SUMIFS($F78:$Q78,$F$7:$Q$7,"B")</f>
        <v>0</v>
      </c>
      <c r="T78" s="57">
        <f>SUM(R78:S78)</f>
        <v>5943.6040000000012</v>
      </c>
      <c r="U78" s="386">
        <f t="shared" ref="U78:U141" si="31">IFERROR(R78/R$45,"")</f>
        <v>0.13082816481610879</v>
      </c>
      <c r="V78" s="387" t="str">
        <f t="shared" ref="V78:V141" si="32">IFERROR(S78/S$45,"")</f>
        <v/>
      </c>
      <c r="W78" s="387">
        <f t="shared" ref="W78:W141" si="33">IFERROR(T78/T$45,"")</f>
        <v>0.13082816481610879</v>
      </c>
    </row>
    <row r="79" spans="3:23" hidden="1" outlineLevel="1" x14ac:dyDescent="0.35">
      <c r="D79" s="341" t="s">
        <v>147</v>
      </c>
      <c r="E79" s="367"/>
      <c r="F79" s="355">
        <f>HaiDuong!F60</f>
        <v>82.3</v>
      </c>
      <c r="G79" s="355">
        <f>HaiDuong!G60</f>
        <v>111.7</v>
      </c>
      <c r="H79" s="355">
        <f>HaiDuong!H60</f>
        <v>138.69999999999999</v>
      </c>
      <c r="I79" s="355">
        <f>HaiDuong!I60</f>
        <v>167.4</v>
      </c>
      <c r="J79" s="355">
        <f>HaiDuong!J60</f>
        <v>127</v>
      </c>
      <c r="K79" s="355">
        <f>HaiDuong!K60</f>
        <v>114.2</v>
      </c>
      <c r="L79" s="355">
        <f>HaiDuong!L60</f>
        <v>116.3</v>
      </c>
      <c r="M79" s="355">
        <f>HaiDuong!M60</f>
        <v>99.6</v>
      </c>
      <c r="N79" s="355">
        <f>HaiDuong!N60</f>
        <v>91.9</v>
      </c>
      <c r="O79" s="355">
        <f>HaiDuong!O60</f>
        <v>93.1</v>
      </c>
      <c r="P79" s="355">
        <f>HaiDuong!P60</f>
        <v>96.5</v>
      </c>
      <c r="Q79" s="355">
        <f>HaiDuong!Q60</f>
        <v>100.4</v>
      </c>
      <c r="R79" s="342">
        <f t="shared" ref="R79:R87" si="34">SUMIFS($F79:$Q79,$F$7:$Q$7,"A")</f>
        <v>1339.1000000000001</v>
      </c>
      <c r="S79" s="342">
        <f t="shared" ref="S79:S87" si="35">SUMIFS($F79:$Q79,$F$7:$Q$7,"B")</f>
        <v>0</v>
      </c>
      <c r="T79" s="358">
        <f t="shared" ref="T79:T87" si="36">SUM(R79:S79)</f>
        <v>1339.1000000000001</v>
      </c>
      <c r="U79" s="386">
        <f t="shared" si="31"/>
        <v>2.9475718016417525E-2</v>
      </c>
      <c r="V79" s="387" t="str">
        <f t="shared" si="32"/>
        <v/>
      </c>
      <c r="W79" s="387">
        <f t="shared" si="33"/>
        <v>2.9475718016417525E-2</v>
      </c>
    </row>
    <row r="80" spans="3:23" hidden="1" outlineLevel="1" x14ac:dyDescent="0.35">
      <c r="D80" s="345" t="s">
        <v>150</v>
      </c>
      <c r="F80" s="356">
        <f>CaMau!F30</f>
        <v>31.3</v>
      </c>
      <c r="G80" s="356">
        <f>CaMau!G30</f>
        <v>55.9</v>
      </c>
      <c r="H80" s="356">
        <f>CaMau!H30</f>
        <v>69.900000000000006</v>
      </c>
      <c r="I80" s="356">
        <f>CaMau!I30</f>
        <v>82.7</v>
      </c>
      <c r="J80" s="356">
        <f>CaMau!J30</f>
        <v>76</v>
      </c>
      <c r="K80" s="356">
        <f>CaMau!K30</f>
        <v>75.349999999999994</v>
      </c>
      <c r="L80" s="356">
        <f>CaMau!L30</f>
        <v>64.94</v>
      </c>
      <c r="M80" s="356">
        <f>CaMau!M30</f>
        <v>69.930000000000007</v>
      </c>
      <c r="N80" s="356">
        <f>CaMau!N30</f>
        <v>63.41</v>
      </c>
      <c r="O80" s="356">
        <f>CaMau!O30</f>
        <v>76</v>
      </c>
      <c r="P80" s="356">
        <f>CaMau!P30</f>
        <v>69.37</v>
      </c>
      <c r="Q80" s="356">
        <f>CaMau!Q30</f>
        <v>52.35</v>
      </c>
      <c r="R80" s="351">
        <f t="shared" si="34"/>
        <v>787.15</v>
      </c>
      <c r="S80" s="351">
        <f t="shared" si="35"/>
        <v>0</v>
      </c>
      <c r="T80" s="359">
        <f t="shared" si="36"/>
        <v>787.15</v>
      </c>
      <c r="U80" s="386">
        <f t="shared" si="31"/>
        <v>1.7326421803168585E-2</v>
      </c>
      <c r="V80" s="387" t="str">
        <f t="shared" si="32"/>
        <v/>
      </c>
      <c r="W80" s="387">
        <f t="shared" si="33"/>
        <v>1.7326421803168585E-2</v>
      </c>
    </row>
    <row r="81" spans="3:23" hidden="1" outlineLevel="1" x14ac:dyDescent="0.35">
      <c r="D81" s="345" t="s">
        <v>146</v>
      </c>
      <c r="F81" s="356">
        <f>ThanhHoa!F29</f>
        <v>34.799999999999997</v>
      </c>
      <c r="G81" s="356">
        <f>ThanhHoa!G29</f>
        <v>142.30000000000001</v>
      </c>
      <c r="H81" s="356">
        <f>ThanhHoa!H29</f>
        <v>193.4</v>
      </c>
      <c r="I81" s="356">
        <f>ThanhHoa!I29</f>
        <v>165.01</v>
      </c>
      <c r="J81" s="356">
        <f>ThanhHoa!J29</f>
        <v>123.72499999999999</v>
      </c>
      <c r="K81" s="356">
        <f>ThanhHoa!K29</f>
        <v>71.17</v>
      </c>
      <c r="L81" s="356">
        <f>ThanhHoa!L29</f>
        <v>112.58</v>
      </c>
      <c r="M81" s="356">
        <f>ThanhHoa!M29</f>
        <v>90.6</v>
      </c>
      <c r="N81" s="356">
        <f>ThanhHoa!N29</f>
        <v>98.21</v>
      </c>
      <c r="O81" s="356">
        <f>ThanhHoa!O29</f>
        <v>28.8</v>
      </c>
      <c r="P81" s="356">
        <f>ThanhHoa!P29</f>
        <v>24.6</v>
      </c>
      <c r="Q81" s="356">
        <f>ThanhHoa!Q29</f>
        <v>27.5</v>
      </c>
      <c r="R81" s="351">
        <f t="shared" si="34"/>
        <v>1112.6949999999999</v>
      </c>
      <c r="S81" s="351">
        <f t="shared" si="35"/>
        <v>0</v>
      </c>
      <c r="T81" s="359">
        <f t="shared" si="36"/>
        <v>1112.6949999999999</v>
      </c>
      <c r="U81" s="386">
        <f t="shared" si="31"/>
        <v>2.4492184346410047E-2</v>
      </c>
      <c r="V81" s="387" t="str">
        <f t="shared" si="32"/>
        <v/>
      </c>
      <c r="W81" s="387">
        <f t="shared" si="33"/>
        <v>2.4492184346410047E-2</v>
      </c>
    </row>
    <row r="82" spans="3:23" hidden="1" outlineLevel="1" x14ac:dyDescent="0.35">
      <c r="D82" s="345" t="s">
        <v>148</v>
      </c>
      <c r="F82" s="356">
        <f>ThaiNguyen!F30</f>
        <v>12.6</v>
      </c>
      <c r="G82" s="356">
        <f>ThaiNguyen!G30</f>
        <v>19.95</v>
      </c>
      <c r="H82" s="356">
        <f>ThaiNguyen!H30</f>
        <v>32.200000000000003</v>
      </c>
      <c r="I82" s="356">
        <f>ThaiNguyen!I30</f>
        <v>26.85</v>
      </c>
      <c r="J82" s="356">
        <f>ThaiNguyen!J30</f>
        <v>32.65</v>
      </c>
      <c r="K82" s="356">
        <f>ThaiNguyen!K30</f>
        <v>35.950000000000003</v>
      </c>
      <c r="L82" s="356">
        <f>ThaiNguyen!L30</f>
        <v>41</v>
      </c>
      <c r="M82" s="356">
        <f>ThaiNguyen!M30</f>
        <v>50.1</v>
      </c>
      <c r="N82" s="356">
        <f>ThaiNguyen!N30</f>
        <v>47.75</v>
      </c>
      <c r="O82" s="356">
        <f>ThaiNguyen!O30</f>
        <v>48.6</v>
      </c>
      <c r="P82" s="356">
        <f>ThaiNguyen!P30</f>
        <v>56.9</v>
      </c>
      <c r="Q82" s="356">
        <f>ThaiNguyen!Q30</f>
        <v>61.85</v>
      </c>
      <c r="R82" s="351">
        <f t="shared" si="34"/>
        <v>466.4</v>
      </c>
      <c r="S82" s="351">
        <f t="shared" si="35"/>
        <v>0</v>
      </c>
      <c r="T82" s="359">
        <f t="shared" si="36"/>
        <v>466.4</v>
      </c>
      <c r="U82" s="386">
        <f t="shared" si="31"/>
        <v>1.0266204826269235E-2</v>
      </c>
      <c r="V82" s="387" t="str">
        <f t="shared" si="32"/>
        <v/>
      </c>
      <c r="W82" s="387">
        <f t="shared" si="33"/>
        <v>1.0266204826269235E-2</v>
      </c>
    </row>
    <row r="83" spans="3:23" hidden="1" outlineLevel="1" x14ac:dyDescent="0.35">
      <c r="D83" s="345" t="s">
        <v>327</v>
      </c>
      <c r="F83" s="356">
        <f>ThaiBinh!F24</f>
        <v>0</v>
      </c>
      <c r="G83" s="356">
        <f>ThaiBinh!G24</f>
        <v>0</v>
      </c>
      <c r="H83" s="356">
        <f>ThaiBinh!H24</f>
        <v>0</v>
      </c>
      <c r="I83" s="356">
        <f>ThaiBinh!I24</f>
        <v>0</v>
      </c>
      <c r="J83" s="356">
        <f>ThaiBinh!J24</f>
        <v>0</v>
      </c>
      <c r="K83" s="356">
        <f>ThaiBinh!K24</f>
        <v>16.75</v>
      </c>
      <c r="L83" s="356">
        <f>ThaiBinh!L24</f>
        <v>60</v>
      </c>
      <c r="M83" s="356">
        <f>ThaiBinh!M24</f>
        <v>85.75</v>
      </c>
      <c r="N83" s="356">
        <f>ThaiBinh!N24</f>
        <v>44.5</v>
      </c>
      <c r="O83" s="356">
        <f>ThaiBinh!O24</f>
        <v>37.75</v>
      </c>
      <c r="P83" s="356">
        <f>ThaiBinh!P24</f>
        <v>30</v>
      </c>
      <c r="Q83" s="356">
        <f>ThaiBinh!Q24</f>
        <v>31.75</v>
      </c>
      <c r="R83" s="351">
        <f t="shared" si="34"/>
        <v>306.5</v>
      </c>
      <c r="S83" s="351">
        <f t="shared" si="35"/>
        <v>0</v>
      </c>
      <c r="T83" s="359">
        <f t="shared" si="36"/>
        <v>306.5</v>
      </c>
      <c r="U83" s="386">
        <f t="shared" si="31"/>
        <v>6.7465518423060044E-3</v>
      </c>
      <c r="V83" s="387" t="str">
        <f t="shared" si="32"/>
        <v/>
      </c>
      <c r="W83" s="387">
        <f t="shared" si="33"/>
        <v>6.7465518423060044E-3</v>
      </c>
    </row>
    <row r="84" spans="3:23" hidden="1" outlineLevel="1" x14ac:dyDescent="0.35">
      <c r="D84" s="345" t="s">
        <v>151</v>
      </c>
      <c r="F84" s="356">
        <f>YetKieu!F31</f>
        <v>24.27</v>
      </c>
      <c r="G84" s="356">
        <f>YetKieu!G31</f>
        <v>34.448</v>
      </c>
      <c r="H84" s="356">
        <f>YetKieu!H31</f>
        <v>41.804000000000002</v>
      </c>
      <c r="I84" s="356">
        <f>YetKieu!I31</f>
        <v>41.392000000000003</v>
      </c>
      <c r="J84" s="356">
        <f>YetKieu!J31</f>
        <v>74.418000000000006</v>
      </c>
      <c r="K84" s="356">
        <f>YetKieu!K31</f>
        <v>95.498000000000005</v>
      </c>
      <c r="L84" s="356">
        <f>YetKieu!L31</f>
        <v>121.928</v>
      </c>
      <c r="M84" s="356">
        <f>YetKieu!M31</f>
        <v>111.934</v>
      </c>
      <c r="N84" s="356">
        <f>YetKieu!N31</f>
        <v>93.42</v>
      </c>
      <c r="O84" s="356">
        <f>YetKieu!O31</f>
        <v>92.531999999999996</v>
      </c>
      <c r="P84" s="356">
        <f>YetKieu!P31</f>
        <v>78.177999999999997</v>
      </c>
      <c r="Q84" s="356">
        <f>YetKieu!Q31</f>
        <v>88.831999999999994</v>
      </c>
      <c r="R84" s="351">
        <f t="shared" si="34"/>
        <v>898.654</v>
      </c>
      <c r="S84" s="351">
        <f t="shared" si="35"/>
        <v>0</v>
      </c>
      <c r="T84" s="359">
        <f t="shared" si="36"/>
        <v>898.654</v>
      </c>
      <c r="U84" s="386">
        <f t="shared" si="31"/>
        <v>1.9780801955287634E-2</v>
      </c>
      <c r="V84" s="387" t="str">
        <f t="shared" si="32"/>
        <v/>
      </c>
      <c r="W84" s="387">
        <f t="shared" si="33"/>
        <v>1.9780801955287634E-2</v>
      </c>
    </row>
    <row r="85" spans="3:23" hidden="1" outlineLevel="1" x14ac:dyDescent="0.35">
      <c r="D85" s="345" t="s">
        <v>153</v>
      </c>
      <c r="F85" s="356">
        <f>NhaTrang!F26</f>
        <v>33.39</v>
      </c>
      <c r="G85" s="356">
        <f>NhaTrang!G26</f>
        <v>55</v>
      </c>
      <c r="H85" s="356">
        <f>NhaTrang!H26</f>
        <v>71.364999999999995</v>
      </c>
      <c r="I85" s="356">
        <f>NhaTrang!I26</f>
        <v>73.06</v>
      </c>
      <c r="J85" s="356">
        <f>NhaTrang!J26</f>
        <v>65.364999999999995</v>
      </c>
      <c r="K85" s="356">
        <f>NhaTrang!K26</f>
        <v>83.795000000000002</v>
      </c>
      <c r="L85" s="356">
        <f>NhaTrang!L26</f>
        <v>87.8</v>
      </c>
      <c r="M85" s="356">
        <f>NhaTrang!M26</f>
        <v>89.125</v>
      </c>
      <c r="N85" s="356">
        <f>NhaTrang!N26</f>
        <v>72.540000000000006</v>
      </c>
      <c r="O85" s="356">
        <f>NhaTrang!O26</f>
        <v>105.735</v>
      </c>
      <c r="P85" s="356">
        <f>NhaTrang!P26</f>
        <v>80.78</v>
      </c>
      <c r="Q85" s="356">
        <f>NhaTrang!Q26</f>
        <v>93.92</v>
      </c>
      <c r="R85" s="351">
        <f t="shared" si="34"/>
        <v>911.875</v>
      </c>
      <c r="S85" s="351">
        <f t="shared" si="35"/>
        <v>0</v>
      </c>
      <c r="T85" s="359">
        <f t="shared" si="36"/>
        <v>911.875</v>
      </c>
      <c r="U85" s="386">
        <f t="shared" si="31"/>
        <v>2.0071817165425082E-2</v>
      </c>
      <c r="V85" s="387" t="str">
        <f t="shared" si="32"/>
        <v/>
      </c>
      <c r="W85" s="387">
        <f t="shared" si="33"/>
        <v>2.0071817165425082E-2</v>
      </c>
    </row>
    <row r="86" spans="3:23" hidden="1" outlineLevel="1" x14ac:dyDescent="0.35">
      <c r="D86" s="345" t="s">
        <v>154</v>
      </c>
      <c r="F86" s="356">
        <f>ThachThat!F19</f>
        <v>0</v>
      </c>
      <c r="G86" s="356">
        <f>ThachThat!G19</f>
        <v>0</v>
      </c>
      <c r="H86" s="356">
        <f>ThachThat!H19</f>
        <v>0</v>
      </c>
      <c r="I86" s="356">
        <f>ThachThat!I19</f>
        <v>0</v>
      </c>
      <c r="J86" s="356">
        <f>ThachThat!J19</f>
        <v>0</v>
      </c>
      <c r="K86" s="356">
        <f>ThachThat!K19</f>
        <v>0</v>
      </c>
      <c r="L86" s="356">
        <f>ThachThat!L19</f>
        <v>0</v>
      </c>
      <c r="M86" s="356">
        <f>ThachThat!M19</f>
        <v>0</v>
      </c>
      <c r="N86" s="356">
        <f>ThachThat!N19</f>
        <v>25.6</v>
      </c>
      <c r="O86" s="356">
        <f>ThachThat!O19</f>
        <v>22.4</v>
      </c>
      <c r="P86" s="356">
        <f>ThachThat!P19</f>
        <v>40.450000000000003</v>
      </c>
      <c r="Q86" s="356">
        <f>ThachThat!Q19</f>
        <v>14.55</v>
      </c>
      <c r="R86" s="351">
        <f t="shared" si="34"/>
        <v>103</v>
      </c>
      <c r="S86" s="351">
        <f t="shared" si="35"/>
        <v>0</v>
      </c>
      <c r="T86" s="359">
        <f t="shared" si="36"/>
        <v>103</v>
      </c>
      <c r="U86" s="386">
        <f t="shared" si="31"/>
        <v>2.2671936044290977E-3</v>
      </c>
      <c r="V86" s="387" t="str">
        <f t="shared" si="32"/>
        <v/>
      </c>
      <c r="W86" s="387">
        <f t="shared" si="33"/>
        <v>2.2671936044290977E-3</v>
      </c>
    </row>
    <row r="87" spans="3:23" hidden="1" outlineLevel="1" x14ac:dyDescent="0.35">
      <c r="D87" s="347" t="s">
        <v>155</v>
      </c>
      <c r="E87" s="368"/>
      <c r="F87" s="357">
        <f>'SocSon-1'!F29</f>
        <v>0</v>
      </c>
      <c r="G87" s="357">
        <f>'SocSon-1'!G29</f>
        <v>0</v>
      </c>
      <c r="H87" s="357">
        <f>'SocSon-1'!H29</f>
        <v>0</v>
      </c>
      <c r="I87" s="357">
        <f>'SocSon-1'!I29</f>
        <v>0</v>
      </c>
      <c r="J87" s="357">
        <f>'SocSon-1'!J29</f>
        <v>0</v>
      </c>
      <c r="K87" s="357">
        <f>'SocSon-1'!K29</f>
        <v>0</v>
      </c>
      <c r="L87" s="357">
        <f>'SocSon-1'!L29</f>
        <v>0</v>
      </c>
      <c r="M87" s="357">
        <f>'SocSon-1'!M29</f>
        <v>0</v>
      </c>
      <c r="N87" s="357">
        <f>'SocSon-1'!N29</f>
        <v>0</v>
      </c>
      <c r="O87" s="357">
        <f>'SocSon-1'!O29</f>
        <v>0</v>
      </c>
      <c r="P87" s="357">
        <f>'SocSon-1'!P29</f>
        <v>7.63</v>
      </c>
      <c r="Q87" s="357">
        <f>'SocSon-1'!Q29</f>
        <v>10.6</v>
      </c>
      <c r="R87" s="352">
        <f t="shared" si="34"/>
        <v>18.23</v>
      </c>
      <c r="S87" s="352">
        <f t="shared" si="35"/>
        <v>0</v>
      </c>
      <c r="T87" s="360">
        <f t="shared" si="36"/>
        <v>18.23</v>
      </c>
      <c r="U87" s="386">
        <f t="shared" si="31"/>
        <v>4.0127125639555781E-4</v>
      </c>
      <c r="V87" s="387" t="str">
        <f t="shared" si="32"/>
        <v/>
      </c>
      <c r="W87" s="387">
        <f t="shared" si="33"/>
        <v>4.0127125639555781E-4</v>
      </c>
    </row>
    <row r="88" spans="3:23" collapsed="1" x14ac:dyDescent="0.35">
      <c r="C88" s="6" t="s">
        <v>179</v>
      </c>
      <c r="D88" s="6"/>
      <c r="F88" s="57" t="e">
        <f>SUBTOTAL(9,F89:F97)</f>
        <v>#REF!</v>
      </c>
      <c r="G88" s="57">
        <f t="shared" ref="G88:Q88" si="37">SUBTOTAL(9,G89:G97)</f>
        <v>33.9709</v>
      </c>
      <c r="H88" s="57">
        <f t="shared" si="37"/>
        <v>68.322499999999991</v>
      </c>
      <c r="I88" s="57">
        <f t="shared" si="37"/>
        <v>89.821264999999997</v>
      </c>
      <c r="J88" s="57">
        <f t="shared" si="37"/>
        <v>61.647415000000002</v>
      </c>
      <c r="K88" s="57">
        <f t="shared" si="37"/>
        <v>169.14759999999998</v>
      </c>
      <c r="L88" s="57">
        <f t="shared" si="37"/>
        <v>117.39030000000001</v>
      </c>
      <c r="M88" s="57">
        <f t="shared" si="37"/>
        <v>75.443999999999988</v>
      </c>
      <c r="N88" s="57">
        <f t="shared" si="37"/>
        <v>120.97380000000001</v>
      </c>
      <c r="O88" s="57">
        <f t="shared" si="37"/>
        <v>50.162500000000001</v>
      </c>
      <c r="P88" s="57">
        <f t="shared" si="37"/>
        <v>66.884100000000004</v>
      </c>
      <c r="Q88" s="57">
        <f t="shared" si="37"/>
        <v>72.064300000000003</v>
      </c>
      <c r="R88" s="62" t="e">
        <f>SUMIFS($F88:$Q88,$F$7:$Q$7,"A")</f>
        <v>#REF!</v>
      </c>
      <c r="S88" s="62">
        <f>SUMIFS($F88:$Q88,$F$7:$Q$7,"B")</f>
        <v>0</v>
      </c>
      <c r="T88" s="57" t="e">
        <f>SUM(R88:S88)</f>
        <v>#REF!</v>
      </c>
      <c r="U88" s="386" t="str">
        <f t="shared" si="31"/>
        <v/>
      </c>
      <c r="V88" s="387" t="str">
        <f t="shared" si="32"/>
        <v/>
      </c>
      <c r="W88" s="387" t="str">
        <f t="shared" si="33"/>
        <v/>
      </c>
    </row>
    <row r="89" spans="3:23" hidden="1" outlineLevel="1" x14ac:dyDescent="0.35">
      <c r="D89" s="341" t="s">
        <v>147</v>
      </c>
      <c r="E89" s="367"/>
      <c r="F89" s="355">
        <f>HaiDuong!F61</f>
        <v>12.5</v>
      </c>
      <c r="G89" s="355">
        <f>HaiDuong!G61</f>
        <v>19.07</v>
      </c>
      <c r="H89" s="355">
        <f>HaiDuong!H61</f>
        <v>29.2575</v>
      </c>
      <c r="I89" s="355">
        <f>HaiDuong!I61</f>
        <v>36.622500000000002</v>
      </c>
      <c r="J89" s="355">
        <f>HaiDuong!J61</f>
        <v>28.85</v>
      </c>
      <c r="K89" s="355">
        <f>HaiDuong!K61</f>
        <v>25.795000000000002</v>
      </c>
      <c r="L89" s="355">
        <f>HaiDuong!L61</f>
        <v>25.635000000000002</v>
      </c>
      <c r="M89" s="355">
        <f>HaiDuong!M61</f>
        <v>19.815000000000001</v>
      </c>
      <c r="N89" s="355">
        <f>HaiDuong!N61</f>
        <v>21.344999999999999</v>
      </c>
      <c r="O89" s="355">
        <f>HaiDuong!O61</f>
        <v>19.952500000000001</v>
      </c>
      <c r="P89" s="355">
        <f>HaiDuong!P61</f>
        <v>18.510000000000002</v>
      </c>
      <c r="Q89" s="355">
        <f>HaiDuong!Q61</f>
        <v>21.067499999999999</v>
      </c>
      <c r="R89" s="342">
        <f t="shared" ref="R89:R107" si="38">SUMIFS($F89:$Q89,$F$7:$Q$7,"A")</f>
        <v>278.42</v>
      </c>
      <c r="S89" s="342">
        <f t="shared" ref="S89:S107" si="39">SUMIFS($F89:$Q89,$F$7:$Q$7,"B")</f>
        <v>0</v>
      </c>
      <c r="T89" s="358">
        <f t="shared" ref="T89:T107" si="40">SUM(R89:S89)</f>
        <v>278.42</v>
      </c>
      <c r="U89" s="386">
        <f t="shared" si="31"/>
        <v>6.1284664402441692E-3</v>
      </c>
      <c r="V89" s="387" t="str">
        <f t="shared" si="32"/>
        <v/>
      </c>
      <c r="W89" s="387">
        <f t="shared" si="33"/>
        <v>6.1284664402441692E-3</v>
      </c>
    </row>
    <row r="90" spans="3:23" hidden="1" outlineLevel="1" x14ac:dyDescent="0.35">
      <c r="D90" s="345" t="s">
        <v>150</v>
      </c>
      <c r="F90" s="356">
        <f>CaMau!F31</f>
        <v>0</v>
      </c>
      <c r="G90" s="356">
        <f>CaMau!G31</f>
        <v>0</v>
      </c>
      <c r="H90" s="356">
        <f>CaMau!H31</f>
        <v>0</v>
      </c>
      <c r="I90" s="356">
        <f>CaMau!I31</f>
        <v>0</v>
      </c>
      <c r="J90" s="356">
        <f>CaMau!J31</f>
        <v>0</v>
      </c>
      <c r="K90" s="356">
        <f>CaMau!K31</f>
        <v>0</v>
      </c>
      <c r="L90" s="356">
        <f>CaMau!L31</f>
        <v>0</v>
      </c>
      <c r="M90" s="356">
        <f>CaMau!M31</f>
        <v>0</v>
      </c>
      <c r="N90" s="356">
        <f>CaMau!N31</f>
        <v>0</v>
      </c>
      <c r="O90" s="356">
        <f>CaMau!O31</f>
        <v>0</v>
      </c>
      <c r="P90" s="356">
        <f>CaMau!P31</f>
        <v>0</v>
      </c>
      <c r="Q90" s="356">
        <f>CaMau!Q31</f>
        <v>0</v>
      </c>
      <c r="R90" s="351">
        <f t="shared" si="38"/>
        <v>0</v>
      </c>
      <c r="S90" s="351">
        <f t="shared" si="39"/>
        <v>0</v>
      </c>
      <c r="T90" s="359">
        <f t="shared" si="40"/>
        <v>0</v>
      </c>
      <c r="U90" s="386">
        <f t="shared" si="31"/>
        <v>0</v>
      </c>
      <c r="V90" s="387" t="str">
        <f t="shared" si="32"/>
        <v/>
      </c>
      <c r="W90" s="387">
        <f t="shared" si="33"/>
        <v>0</v>
      </c>
    </row>
    <row r="91" spans="3:23" hidden="1" outlineLevel="1" x14ac:dyDescent="0.35">
      <c r="D91" s="345" t="s">
        <v>146</v>
      </c>
      <c r="F91" s="356">
        <f>ThanhHoa!F30</f>
        <v>4.34</v>
      </c>
      <c r="G91" s="356">
        <f>ThanhHoa!G30</f>
        <v>8.16</v>
      </c>
      <c r="H91" s="356">
        <f>ThanhHoa!H30</f>
        <v>20.48</v>
      </c>
      <c r="I91" s="356">
        <f>ThanhHoa!I30</f>
        <v>39.964399999999998</v>
      </c>
      <c r="J91" s="356">
        <f>ThanhHoa!J30</f>
        <v>16.489999999999998</v>
      </c>
      <c r="K91" s="356">
        <f>ThanhHoa!K30</f>
        <v>113.316</v>
      </c>
      <c r="L91" s="356">
        <f>ThanhHoa!L30</f>
        <v>53</v>
      </c>
      <c r="M91" s="356">
        <f>ThanhHoa!M30</f>
        <v>17.66</v>
      </c>
      <c r="N91" s="356">
        <f>ThanhHoa!N30</f>
        <v>45.195999999999998</v>
      </c>
      <c r="O91" s="356">
        <f>ThanhHoa!O30</f>
        <v>4.4400000000000004</v>
      </c>
      <c r="P91" s="356">
        <f>ThanhHoa!P30</f>
        <v>4.3</v>
      </c>
      <c r="Q91" s="356">
        <f>ThanhHoa!Q30</f>
        <v>4.08</v>
      </c>
      <c r="R91" s="351">
        <f t="shared" si="38"/>
        <v>331.4264</v>
      </c>
      <c r="S91" s="351">
        <f t="shared" si="39"/>
        <v>0</v>
      </c>
      <c r="T91" s="359">
        <f t="shared" si="40"/>
        <v>331.4264</v>
      </c>
      <c r="U91" s="386">
        <f t="shared" si="31"/>
        <v>7.2952214992132031E-3</v>
      </c>
      <c r="V91" s="387" t="str">
        <f t="shared" si="32"/>
        <v/>
      </c>
      <c r="W91" s="387">
        <f t="shared" si="33"/>
        <v>7.2952214992132031E-3</v>
      </c>
    </row>
    <row r="92" spans="3:23" hidden="1" outlineLevel="1" x14ac:dyDescent="0.35">
      <c r="D92" s="345" t="s">
        <v>148</v>
      </c>
      <c r="F92" s="356">
        <f>ThaiNguyen!F31</f>
        <v>0</v>
      </c>
      <c r="G92" s="356">
        <f>ThaiNguyen!G31</f>
        <v>0</v>
      </c>
      <c r="H92" s="356">
        <f>ThaiNguyen!H31</f>
        <v>4.4400000000000004</v>
      </c>
      <c r="I92" s="356">
        <f>ThaiNguyen!I31</f>
        <v>3.7</v>
      </c>
      <c r="J92" s="356">
        <f>ThaiNguyen!J31</f>
        <v>4.58</v>
      </c>
      <c r="K92" s="356">
        <f>ThaiNguyen!K31</f>
        <v>5.16</v>
      </c>
      <c r="L92" s="356">
        <f>ThaiNguyen!L31</f>
        <v>6.28</v>
      </c>
      <c r="M92" s="356">
        <f>ThaiNguyen!M31</f>
        <v>7.6</v>
      </c>
      <c r="N92" s="356">
        <f>ThaiNguyen!N31</f>
        <v>8.76</v>
      </c>
      <c r="O92" s="356">
        <f>ThaiNguyen!O31</f>
        <v>9.8699999999999992</v>
      </c>
      <c r="P92" s="356">
        <f>ThaiNguyen!P31</f>
        <v>11.25</v>
      </c>
      <c r="Q92" s="356">
        <f>ThaiNguyen!Q31</f>
        <v>12.29</v>
      </c>
      <c r="R92" s="351">
        <f t="shared" si="38"/>
        <v>73.930000000000007</v>
      </c>
      <c r="S92" s="351">
        <f t="shared" si="39"/>
        <v>0</v>
      </c>
      <c r="T92" s="359">
        <f t="shared" si="40"/>
        <v>73.930000000000007</v>
      </c>
      <c r="U92" s="386">
        <f t="shared" si="31"/>
        <v>1.6273167298586719E-3</v>
      </c>
      <c r="V92" s="387" t="str">
        <f t="shared" si="32"/>
        <v/>
      </c>
      <c r="W92" s="387">
        <f t="shared" si="33"/>
        <v>1.6273167298586719E-3</v>
      </c>
    </row>
    <row r="93" spans="3:23" hidden="1" outlineLevel="1" x14ac:dyDescent="0.35">
      <c r="D93" s="345" t="s">
        <v>327</v>
      </c>
      <c r="F93" s="356">
        <f>ThaiBinh!F25</f>
        <v>0</v>
      </c>
      <c r="G93" s="356">
        <f>ThaiBinh!G25</f>
        <v>0</v>
      </c>
      <c r="H93" s="356">
        <f>ThaiBinh!H25</f>
        <v>0</v>
      </c>
      <c r="I93" s="356">
        <f>ThaiBinh!I25</f>
        <v>0</v>
      </c>
      <c r="J93" s="356">
        <f>ThaiBinh!J25</f>
        <v>0</v>
      </c>
      <c r="K93" s="356">
        <f>ThaiBinh!K25</f>
        <v>0</v>
      </c>
      <c r="L93" s="356">
        <f>ThaiBinh!L25</f>
        <v>0</v>
      </c>
      <c r="M93" s="356">
        <f>ThaiBinh!M25</f>
        <v>0</v>
      </c>
      <c r="N93" s="356">
        <f>ThaiBinh!N25</f>
        <v>0</v>
      </c>
      <c r="O93" s="356">
        <f>ThaiBinh!O25</f>
        <v>0</v>
      </c>
      <c r="P93" s="356">
        <f>ThaiBinh!P25</f>
        <v>6.04</v>
      </c>
      <c r="Q93" s="356">
        <f>ThaiBinh!Q25</f>
        <v>6</v>
      </c>
      <c r="R93" s="351">
        <f t="shared" si="38"/>
        <v>12.04</v>
      </c>
      <c r="S93" s="351">
        <f t="shared" si="39"/>
        <v>0</v>
      </c>
      <c r="T93" s="359">
        <f t="shared" si="40"/>
        <v>12.04</v>
      </c>
      <c r="U93" s="386">
        <f t="shared" si="31"/>
        <v>2.6501952424588674E-4</v>
      </c>
      <c r="V93" s="387" t="str">
        <f t="shared" si="32"/>
        <v/>
      </c>
      <c r="W93" s="387">
        <f t="shared" si="33"/>
        <v>2.6501952424588674E-4</v>
      </c>
    </row>
    <row r="94" spans="3:23" hidden="1" outlineLevel="1" x14ac:dyDescent="0.35">
      <c r="D94" s="345" t="s">
        <v>151</v>
      </c>
      <c r="F94" s="356">
        <f>YetKieu!F32</f>
        <v>10.861699</v>
      </c>
      <c r="G94" s="356">
        <f>YetKieu!G32</f>
        <v>1.3855999999999999</v>
      </c>
      <c r="H94" s="356">
        <f>YetKieu!H32</f>
        <v>14.145</v>
      </c>
      <c r="I94" s="356">
        <f>YetKieu!I32</f>
        <v>1.7386649999999999</v>
      </c>
      <c r="J94" s="356">
        <f>YetKieu!J32</f>
        <v>2.7254149999999999</v>
      </c>
      <c r="K94" s="356">
        <f>YetKieu!K32</f>
        <v>16.100000000000001</v>
      </c>
      <c r="L94" s="356">
        <f>YetKieu!L32</f>
        <v>22.427</v>
      </c>
      <c r="M94" s="356">
        <f>YetKieu!M32</f>
        <v>21.274999999999999</v>
      </c>
      <c r="N94" s="356">
        <f>YetKieu!N32</f>
        <v>37.914999999999999</v>
      </c>
      <c r="O94" s="356">
        <f>YetKieu!O32</f>
        <v>15.9</v>
      </c>
      <c r="P94" s="356">
        <f>YetKieu!P32</f>
        <v>16.344999999999999</v>
      </c>
      <c r="Q94" s="356">
        <f>YetKieu!Q32</f>
        <v>19.068000000000001</v>
      </c>
      <c r="R94" s="351">
        <f t="shared" si="38"/>
        <v>179.88637900000001</v>
      </c>
      <c r="S94" s="351">
        <f t="shared" si="39"/>
        <v>0</v>
      </c>
      <c r="T94" s="359">
        <f t="shared" si="40"/>
        <v>179.88637900000001</v>
      </c>
      <c r="U94" s="386">
        <f t="shared" si="31"/>
        <v>3.9595849319680465E-3</v>
      </c>
      <c r="V94" s="387" t="str">
        <f t="shared" si="32"/>
        <v/>
      </c>
      <c r="W94" s="387">
        <f t="shared" si="33"/>
        <v>3.9595849319680465E-3</v>
      </c>
    </row>
    <row r="95" spans="3:23" hidden="1" outlineLevel="1" x14ac:dyDescent="0.35">
      <c r="D95" s="345" t="s">
        <v>153</v>
      </c>
      <c r="F95" s="356">
        <f>NhaTrang!F25</f>
        <v>12.472099999999999</v>
      </c>
      <c r="G95" s="356">
        <f>NhaTrang!G25</f>
        <v>5.3552999999999997</v>
      </c>
      <c r="H95" s="356">
        <f>NhaTrang!H25</f>
        <v>0</v>
      </c>
      <c r="I95" s="356">
        <f>NhaTrang!I25</f>
        <v>7.7957000000000001</v>
      </c>
      <c r="J95" s="356">
        <f>NhaTrang!J25</f>
        <v>9.0020000000000007</v>
      </c>
      <c r="K95" s="356">
        <f>NhaTrang!K25</f>
        <v>8.7766000000000002</v>
      </c>
      <c r="L95" s="356">
        <f>NhaTrang!L25</f>
        <v>10.048299999999999</v>
      </c>
      <c r="M95" s="356">
        <f>NhaTrang!M25</f>
        <v>9.0939999999999994</v>
      </c>
      <c r="N95" s="356">
        <f>NhaTrang!N25</f>
        <v>7.7577999999999996</v>
      </c>
      <c r="O95" s="356">
        <f>NhaTrang!O25</f>
        <v>0</v>
      </c>
      <c r="P95" s="356">
        <f>NhaTrang!P25</f>
        <v>10.4391</v>
      </c>
      <c r="Q95" s="356">
        <f>NhaTrang!Q25</f>
        <v>9.5587999999999997</v>
      </c>
      <c r="R95" s="351">
        <f t="shared" si="38"/>
        <v>90.299700000000001</v>
      </c>
      <c r="S95" s="351">
        <f t="shared" si="39"/>
        <v>0</v>
      </c>
      <c r="T95" s="359">
        <f t="shared" si="40"/>
        <v>90.299700000000001</v>
      </c>
      <c r="U95" s="386">
        <f t="shared" si="31"/>
        <v>1.987639828367633E-3</v>
      </c>
      <c r="V95" s="387" t="str">
        <f t="shared" si="32"/>
        <v/>
      </c>
      <c r="W95" s="387">
        <f t="shared" si="33"/>
        <v>1.987639828367633E-3</v>
      </c>
    </row>
    <row r="96" spans="3:23" hidden="1" outlineLevel="1" x14ac:dyDescent="0.35">
      <c r="D96" s="345" t="s">
        <v>154</v>
      </c>
      <c r="F96" s="356">
        <f>ThachThat!F18</f>
        <v>0</v>
      </c>
      <c r="G96" s="356">
        <f>ThachThat!G18</f>
        <v>0</v>
      </c>
      <c r="H96" s="356">
        <f>ThachThat!H18</f>
        <v>0</v>
      </c>
      <c r="I96" s="356">
        <f>ThachThat!I18</f>
        <v>0</v>
      </c>
      <c r="J96" s="356">
        <f>ThachThat!J18</f>
        <v>0</v>
      </c>
      <c r="K96" s="356">
        <f>ThachThat!K18</f>
        <v>0</v>
      </c>
      <c r="L96" s="356">
        <f>ThachThat!L18</f>
        <v>0</v>
      </c>
      <c r="M96" s="356">
        <f>ThachThat!M18</f>
        <v>0</v>
      </c>
      <c r="N96" s="356">
        <f>ThachThat!N18</f>
        <v>0</v>
      </c>
      <c r="O96" s="356">
        <f>ThachThat!O18</f>
        <v>0</v>
      </c>
      <c r="P96" s="356">
        <f>ThachThat!P18</f>
        <v>0</v>
      </c>
      <c r="Q96" s="356">
        <f>ThachThat!Q18</f>
        <v>0</v>
      </c>
      <c r="R96" s="351">
        <f t="shared" si="38"/>
        <v>0</v>
      </c>
      <c r="S96" s="351">
        <f t="shared" si="39"/>
        <v>0</v>
      </c>
      <c r="T96" s="359">
        <f t="shared" si="40"/>
        <v>0</v>
      </c>
      <c r="U96" s="386">
        <f t="shared" si="31"/>
        <v>0</v>
      </c>
      <c r="V96" s="387" t="str">
        <f t="shared" si="32"/>
        <v/>
      </c>
      <c r="W96" s="387">
        <f t="shared" si="33"/>
        <v>0</v>
      </c>
    </row>
    <row r="97" spans="2:23" hidden="1" outlineLevel="1" x14ac:dyDescent="0.35">
      <c r="D97" s="347" t="s">
        <v>155</v>
      </c>
      <c r="E97" s="368"/>
      <c r="F97" s="357" t="e">
        <f>'SocSon-1'!#REF!</f>
        <v>#REF!</v>
      </c>
      <c r="G97" s="357">
        <f>'SocSon-1'!F30</f>
        <v>0</v>
      </c>
      <c r="H97" s="357">
        <f>'SocSon-1'!G30</f>
        <v>0</v>
      </c>
      <c r="I97" s="357">
        <f>'SocSon-1'!H30</f>
        <v>0</v>
      </c>
      <c r="J97" s="357">
        <f>'SocSon-1'!I30</f>
        <v>0</v>
      </c>
      <c r="K97" s="357">
        <f>'SocSon-1'!J30</f>
        <v>0</v>
      </c>
      <c r="L97" s="357">
        <f>'SocSon-1'!K30</f>
        <v>0</v>
      </c>
      <c r="M97" s="357">
        <f>'SocSon-1'!L30</f>
        <v>0</v>
      </c>
      <c r="N97" s="357">
        <f>'SocSon-1'!M30</f>
        <v>0</v>
      </c>
      <c r="O97" s="357">
        <f>'SocSon-1'!N30</f>
        <v>0</v>
      </c>
      <c r="P97" s="357">
        <f>'SocSon-1'!O30</f>
        <v>0</v>
      </c>
      <c r="Q97" s="357">
        <f>'SocSon-1'!P30</f>
        <v>0</v>
      </c>
      <c r="R97" s="352" t="e">
        <f t="shared" si="38"/>
        <v>#REF!</v>
      </c>
      <c r="S97" s="352">
        <f t="shared" si="39"/>
        <v>0</v>
      </c>
      <c r="T97" s="360" t="e">
        <f t="shared" si="40"/>
        <v>#REF!</v>
      </c>
      <c r="U97" s="386" t="str">
        <f t="shared" si="31"/>
        <v/>
      </c>
      <c r="V97" s="387" t="str">
        <f t="shared" si="32"/>
        <v/>
      </c>
      <c r="W97" s="387" t="str">
        <f t="shared" si="33"/>
        <v/>
      </c>
    </row>
    <row r="98" spans="2:23" collapsed="1" x14ac:dyDescent="0.35">
      <c r="C98" s="6" t="s">
        <v>183</v>
      </c>
      <c r="D98" s="338"/>
      <c r="F98" s="57">
        <f>SUBTOTAL(9,F99:F107)</f>
        <v>43.883202000000004</v>
      </c>
      <c r="G98" s="57">
        <f t="shared" ref="G98:Q98" si="41">SUBTOTAL(9,G99:G107)</f>
        <v>18.438281999999997</v>
      </c>
      <c r="H98" s="57">
        <f t="shared" si="41"/>
        <v>13.486756</v>
      </c>
      <c r="I98" s="57">
        <f t="shared" si="41"/>
        <v>16.975611000000001</v>
      </c>
      <c r="J98" s="57">
        <f t="shared" si="41"/>
        <v>11.933332999999999</v>
      </c>
      <c r="K98" s="57">
        <f t="shared" si="41"/>
        <v>1.4333340000000001</v>
      </c>
      <c r="L98" s="57">
        <f t="shared" si="41"/>
        <v>5.7848170000000003</v>
      </c>
      <c r="M98" s="57">
        <f t="shared" si="41"/>
        <v>39.562660000000001</v>
      </c>
      <c r="N98" s="57">
        <f t="shared" si="41"/>
        <v>40.717103000000002</v>
      </c>
      <c r="O98" s="57">
        <f t="shared" si="41"/>
        <v>38.007398999999999</v>
      </c>
      <c r="P98" s="57">
        <f t="shared" si="41"/>
        <v>102.815648</v>
      </c>
      <c r="Q98" s="57">
        <f t="shared" si="41"/>
        <v>11.966000000000001</v>
      </c>
      <c r="R98" s="62">
        <f t="shared" si="38"/>
        <v>345.00414499999999</v>
      </c>
      <c r="S98" s="62">
        <f t="shared" si="39"/>
        <v>0</v>
      </c>
      <c r="T98" s="57">
        <f t="shared" si="40"/>
        <v>345.00414499999999</v>
      </c>
      <c r="U98" s="386">
        <f t="shared" si="31"/>
        <v>7.594089233451738E-3</v>
      </c>
      <c r="V98" s="387" t="str">
        <f t="shared" si="32"/>
        <v/>
      </c>
      <c r="W98" s="387">
        <f t="shared" si="33"/>
        <v>7.594089233451738E-3</v>
      </c>
    </row>
    <row r="99" spans="2:23" hidden="1" outlineLevel="1" x14ac:dyDescent="0.35">
      <c r="D99" s="369" t="s">
        <v>147</v>
      </c>
      <c r="E99" s="370"/>
      <c r="F99" s="373">
        <f>HaiDuong!F62</f>
        <v>24.857320000000001</v>
      </c>
      <c r="G99" s="373">
        <f>HaiDuong!G62</f>
        <v>3.35</v>
      </c>
      <c r="H99" s="373">
        <f>HaiDuong!H62</f>
        <v>0.25919999999999999</v>
      </c>
      <c r="I99" s="373">
        <f>HaiDuong!I62</f>
        <v>0</v>
      </c>
      <c r="J99" s="373">
        <f>HaiDuong!J62</f>
        <v>0</v>
      </c>
      <c r="K99" s="373">
        <f>HaiDuong!K62</f>
        <v>0</v>
      </c>
      <c r="L99" s="373">
        <f>HaiDuong!L62</f>
        <v>1.0488170000000001</v>
      </c>
      <c r="M99" s="373">
        <f>HaiDuong!M62</f>
        <v>9.0712799999999998</v>
      </c>
      <c r="N99" s="373">
        <f>HaiDuong!N62</f>
        <v>18.040551000000001</v>
      </c>
      <c r="O99" s="373">
        <f>HaiDuong!O62</f>
        <v>15.979797</v>
      </c>
      <c r="P99" s="373">
        <f>HaiDuong!P62</f>
        <v>6.0669490000000001</v>
      </c>
      <c r="Q99" s="373">
        <f>HaiDuong!Q62</f>
        <v>0</v>
      </c>
      <c r="R99" s="375">
        <f t="shared" si="38"/>
        <v>78.673913999999996</v>
      </c>
      <c r="S99" s="375">
        <f t="shared" si="39"/>
        <v>0</v>
      </c>
      <c r="T99" s="376">
        <f t="shared" si="40"/>
        <v>78.673913999999996</v>
      </c>
      <c r="U99" s="386">
        <f t="shared" si="31"/>
        <v>1.7317378121961635E-3</v>
      </c>
      <c r="V99" s="387" t="str">
        <f t="shared" si="32"/>
        <v/>
      </c>
      <c r="W99" s="387">
        <f t="shared" si="33"/>
        <v>1.7317378121961635E-3</v>
      </c>
    </row>
    <row r="100" spans="2:23" hidden="1" outlineLevel="1" x14ac:dyDescent="0.35">
      <c r="D100" s="371" t="s">
        <v>150</v>
      </c>
      <c r="F100" s="356">
        <f>CaMau!F32</f>
        <v>0</v>
      </c>
      <c r="G100" s="356">
        <f>CaMau!G32</f>
        <v>0</v>
      </c>
      <c r="H100" s="356">
        <f>CaMau!H32</f>
        <v>0</v>
      </c>
      <c r="I100" s="356">
        <f>CaMau!I32</f>
        <v>0</v>
      </c>
      <c r="J100" s="356">
        <f>CaMau!J32</f>
        <v>0</v>
      </c>
      <c r="K100" s="356">
        <f>CaMau!K32</f>
        <v>0</v>
      </c>
      <c r="L100" s="356">
        <f>CaMau!L32</f>
        <v>0</v>
      </c>
      <c r="M100" s="356">
        <f>CaMau!M32</f>
        <v>0</v>
      </c>
      <c r="N100" s="356">
        <f>CaMau!N32</f>
        <v>0</v>
      </c>
      <c r="O100" s="356">
        <f>CaMau!O32</f>
        <v>0</v>
      </c>
      <c r="P100" s="356">
        <f>CaMau!P32</f>
        <v>0</v>
      </c>
      <c r="Q100" s="356">
        <f>CaMau!Q32</f>
        <v>0</v>
      </c>
      <c r="R100" s="351">
        <f t="shared" si="38"/>
        <v>0</v>
      </c>
      <c r="S100" s="351">
        <f t="shared" si="39"/>
        <v>0</v>
      </c>
      <c r="T100" s="377">
        <f t="shared" si="40"/>
        <v>0</v>
      </c>
      <c r="U100" s="386">
        <f t="shared" si="31"/>
        <v>0</v>
      </c>
      <c r="V100" s="387" t="str">
        <f t="shared" si="32"/>
        <v/>
      </c>
      <c r="W100" s="387">
        <f t="shared" si="33"/>
        <v>0</v>
      </c>
    </row>
    <row r="101" spans="2:23" hidden="1" outlineLevel="1" x14ac:dyDescent="0.35">
      <c r="D101" s="371" t="s">
        <v>146</v>
      </c>
      <c r="F101" s="356">
        <f>ThanhHoa!F31</f>
        <v>17.886282000000001</v>
      </c>
      <c r="G101" s="356">
        <f>ThanhHoa!G31</f>
        <v>14.938281999999999</v>
      </c>
      <c r="H101" s="356">
        <f>ThanhHoa!H31</f>
        <v>13.227556</v>
      </c>
      <c r="I101" s="356">
        <f>ThanhHoa!I31</f>
        <v>12.788278</v>
      </c>
      <c r="J101" s="356">
        <f>ThanhHoa!J31</f>
        <v>0</v>
      </c>
      <c r="K101" s="356">
        <f>ThanhHoa!K31</f>
        <v>0</v>
      </c>
      <c r="L101" s="356">
        <f>ThanhHoa!L31</f>
        <v>2.9</v>
      </c>
      <c r="M101" s="356">
        <f>ThanhHoa!M31</f>
        <v>2.1</v>
      </c>
      <c r="N101" s="356">
        <f>ThanhHoa!N31</f>
        <v>7.6822189999999999</v>
      </c>
      <c r="O101" s="356">
        <f>ThanhHoa!O31</f>
        <v>8.7391030000000001</v>
      </c>
      <c r="P101" s="356">
        <f>ThanhHoa!P31</f>
        <v>4.5734950000000003</v>
      </c>
      <c r="Q101" s="356">
        <f>ThanhHoa!Q31</f>
        <v>7.8360000000000003</v>
      </c>
      <c r="R101" s="351">
        <f t="shared" si="38"/>
        <v>92.671214999999989</v>
      </c>
      <c r="S101" s="351">
        <f t="shared" si="39"/>
        <v>0</v>
      </c>
      <c r="T101" s="377">
        <f t="shared" si="40"/>
        <v>92.671214999999989</v>
      </c>
      <c r="U101" s="386">
        <f t="shared" si="31"/>
        <v>2.0398406404143091E-3</v>
      </c>
      <c r="V101" s="387" t="str">
        <f t="shared" si="32"/>
        <v/>
      </c>
      <c r="W101" s="387">
        <f t="shared" si="33"/>
        <v>2.0398406404143091E-3</v>
      </c>
    </row>
    <row r="102" spans="2:23" hidden="1" outlineLevel="1" x14ac:dyDescent="0.35">
      <c r="D102" s="371" t="s">
        <v>148</v>
      </c>
      <c r="F102" s="356">
        <f>ThaiNguyen!F32</f>
        <v>1.1395999999999999</v>
      </c>
      <c r="G102" s="356">
        <f>ThaiNguyen!G32</f>
        <v>0.15</v>
      </c>
      <c r="H102" s="356">
        <f>ThaiNguyen!H32</f>
        <v>0</v>
      </c>
      <c r="I102" s="356">
        <f>ThaiNguyen!I32</f>
        <v>4.1873329999999997</v>
      </c>
      <c r="J102" s="356">
        <f>ThaiNguyen!J32</f>
        <v>11.933332999999999</v>
      </c>
      <c r="K102" s="356">
        <f>ThaiNguyen!K32</f>
        <v>1.4333340000000001</v>
      </c>
      <c r="L102" s="356">
        <f>ThaiNguyen!L32</f>
        <v>1.8360000000000001</v>
      </c>
      <c r="M102" s="356">
        <f>ThaiNguyen!M32</f>
        <v>28.391380000000002</v>
      </c>
      <c r="N102" s="356">
        <f>ThaiNguyen!N32</f>
        <v>14.994332999999999</v>
      </c>
      <c r="O102" s="356">
        <f>ThaiNguyen!O32</f>
        <v>13.288499</v>
      </c>
      <c r="P102" s="356">
        <f>ThaiNguyen!P32</f>
        <v>17.825203999999999</v>
      </c>
      <c r="Q102" s="356">
        <f>ThaiNguyen!Q32</f>
        <v>2.25</v>
      </c>
      <c r="R102" s="351">
        <f t="shared" si="38"/>
        <v>97.429016000000004</v>
      </c>
      <c r="S102" s="351">
        <f t="shared" si="39"/>
        <v>0</v>
      </c>
      <c r="T102" s="377">
        <f t="shared" si="40"/>
        <v>97.429016000000004</v>
      </c>
      <c r="U102" s="386">
        <f t="shared" si="31"/>
        <v>2.1445673976798084E-3</v>
      </c>
      <c r="V102" s="387" t="str">
        <f t="shared" si="32"/>
        <v/>
      </c>
      <c r="W102" s="387">
        <f t="shared" si="33"/>
        <v>2.1445673976798084E-3</v>
      </c>
    </row>
    <row r="103" spans="2:23" hidden="1" outlineLevel="1" x14ac:dyDescent="0.35">
      <c r="D103" s="371" t="s">
        <v>327</v>
      </c>
      <c r="F103" s="356">
        <f>0</f>
        <v>0</v>
      </c>
      <c r="G103" s="356">
        <f>0</f>
        <v>0</v>
      </c>
      <c r="H103" s="356">
        <f>0</f>
        <v>0</v>
      </c>
      <c r="I103" s="356">
        <f>0</f>
        <v>0</v>
      </c>
      <c r="J103" s="356">
        <f>0</f>
        <v>0</v>
      </c>
      <c r="K103" s="356">
        <f>0</f>
        <v>0</v>
      </c>
      <c r="L103" s="356">
        <f>0</f>
        <v>0</v>
      </c>
      <c r="M103" s="356">
        <f>0</f>
        <v>0</v>
      </c>
      <c r="N103" s="356">
        <f>0</f>
        <v>0</v>
      </c>
      <c r="O103" s="356">
        <f>0</f>
        <v>0</v>
      </c>
      <c r="P103" s="356">
        <f>0</f>
        <v>0</v>
      </c>
      <c r="Q103" s="356">
        <f>0</f>
        <v>0</v>
      </c>
      <c r="R103" s="351">
        <f t="shared" si="38"/>
        <v>0</v>
      </c>
      <c r="S103" s="351">
        <f t="shared" si="39"/>
        <v>0</v>
      </c>
      <c r="T103" s="377">
        <f t="shared" si="40"/>
        <v>0</v>
      </c>
      <c r="U103" s="386">
        <f t="shared" si="31"/>
        <v>0</v>
      </c>
      <c r="V103" s="387" t="str">
        <f t="shared" si="32"/>
        <v/>
      </c>
      <c r="W103" s="387">
        <f t="shared" si="33"/>
        <v>0</v>
      </c>
    </row>
    <row r="104" spans="2:23" hidden="1" outlineLevel="1" x14ac:dyDescent="0.35">
      <c r="D104" s="371" t="s">
        <v>151</v>
      </c>
      <c r="F104" s="356">
        <f>0</f>
        <v>0</v>
      </c>
      <c r="G104" s="356">
        <f>0</f>
        <v>0</v>
      </c>
      <c r="H104" s="356">
        <f>0</f>
        <v>0</v>
      </c>
      <c r="I104" s="356">
        <f>0</f>
        <v>0</v>
      </c>
      <c r="J104" s="356">
        <f>0</f>
        <v>0</v>
      </c>
      <c r="K104" s="356">
        <f>0</f>
        <v>0</v>
      </c>
      <c r="L104" s="356">
        <f>0</f>
        <v>0</v>
      </c>
      <c r="M104" s="356">
        <f>0</f>
        <v>0</v>
      </c>
      <c r="N104" s="356">
        <f>0</f>
        <v>0</v>
      </c>
      <c r="O104" s="356">
        <f>0</f>
        <v>0</v>
      </c>
      <c r="P104" s="356">
        <f>0</f>
        <v>0</v>
      </c>
      <c r="Q104" s="356">
        <f>0</f>
        <v>0</v>
      </c>
      <c r="R104" s="351">
        <f t="shared" si="38"/>
        <v>0</v>
      </c>
      <c r="S104" s="351">
        <f t="shared" si="39"/>
        <v>0</v>
      </c>
      <c r="T104" s="377">
        <f t="shared" si="40"/>
        <v>0</v>
      </c>
      <c r="U104" s="386">
        <f t="shared" si="31"/>
        <v>0</v>
      </c>
      <c r="V104" s="387" t="str">
        <f t="shared" si="32"/>
        <v/>
      </c>
      <c r="W104" s="387">
        <f t="shared" si="33"/>
        <v>0</v>
      </c>
    </row>
    <row r="105" spans="2:23" hidden="1" outlineLevel="1" x14ac:dyDescent="0.35">
      <c r="D105" s="371" t="s">
        <v>153</v>
      </c>
      <c r="F105" s="356">
        <f>0</f>
        <v>0</v>
      </c>
      <c r="G105" s="356">
        <f>0</f>
        <v>0</v>
      </c>
      <c r="H105" s="356">
        <f>0</f>
        <v>0</v>
      </c>
      <c r="I105" s="356">
        <f>0</f>
        <v>0</v>
      </c>
      <c r="J105" s="356">
        <f>0</f>
        <v>0</v>
      </c>
      <c r="K105" s="356">
        <f>0</f>
        <v>0</v>
      </c>
      <c r="L105" s="356">
        <f>0</f>
        <v>0</v>
      </c>
      <c r="M105" s="356">
        <f>0</f>
        <v>0</v>
      </c>
      <c r="N105" s="356">
        <f>0</f>
        <v>0</v>
      </c>
      <c r="O105" s="356">
        <f>0</f>
        <v>0</v>
      </c>
      <c r="P105" s="356">
        <f>0</f>
        <v>0</v>
      </c>
      <c r="Q105" s="356">
        <f>0</f>
        <v>0</v>
      </c>
      <c r="R105" s="351">
        <f t="shared" si="38"/>
        <v>0</v>
      </c>
      <c r="S105" s="351">
        <f t="shared" si="39"/>
        <v>0</v>
      </c>
      <c r="T105" s="377">
        <f t="shared" si="40"/>
        <v>0</v>
      </c>
      <c r="U105" s="386">
        <f t="shared" si="31"/>
        <v>0</v>
      </c>
      <c r="V105" s="387" t="str">
        <f t="shared" si="32"/>
        <v/>
      </c>
      <c r="W105" s="387">
        <f t="shared" si="33"/>
        <v>0</v>
      </c>
    </row>
    <row r="106" spans="2:23" hidden="1" outlineLevel="1" x14ac:dyDescent="0.35">
      <c r="D106" s="371" t="s">
        <v>154</v>
      </c>
      <c r="F106" s="356">
        <f>0</f>
        <v>0</v>
      </c>
      <c r="G106" s="356">
        <f>0</f>
        <v>0</v>
      </c>
      <c r="H106" s="356">
        <f>0</f>
        <v>0</v>
      </c>
      <c r="I106" s="356">
        <f>0</f>
        <v>0</v>
      </c>
      <c r="J106" s="356">
        <f>0</f>
        <v>0</v>
      </c>
      <c r="K106" s="356">
        <f>0</f>
        <v>0</v>
      </c>
      <c r="L106" s="356">
        <f>0</f>
        <v>0</v>
      </c>
      <c r="M106" s="356">
        <f>0</f>
        <v>0</v>
      </c>
      <c r="N106" s="356">
        <f>0</f>
        <v>0</v>
      </c>
      <c r="O106" s="356">
        <f>0</f>
        <v>0</v>
      </c>
      <c r="P106" s="356">
        <f>0</f>
        <v>0</v>
      </c>
      <c r="Q106" s="356">
        <f>0</f>
        <v>0</v>
      </c>
      <c r="R106" s="351">
        <f t="shared" si="38"/>
        <v>0</v>
      </c>
      <c r="S106" s="351">
        <f t="shared" si="39"/>
        <v>0</v>
      </c>
      <c r="T106" s="377">
        <f t="shared" si="40"/>
        <v>0</v>
      </c>
      <c r="U106" s="386">
        <f t="shared" si="31"/>
        <v>0</v>
      </c>
      <c r="V106" s="387" t="str">
        <f t="shared" si="32"/>
        <v/>
      </c>
      <c r="W106" s="387">
        <f t="shared" si="33"/>
        <v>0</v>
      </c>
    </row>
    <row r="107" spans="2:23" hidden="1" outlineLevel="1" x14ac:dyDescent="0.35">
      <c r="D107" s="372" t="s">
        <v>155</v>
      </c>
      <c r="E107" s="245"/>
      <c r="F107" s="374">
        <f>'SocSon-1'!F37</f>
        <v>0</v>
      </c>
      <c r="G107" s="374">
        <f>'SocSon-1'!G37</f>
        <v>0</v>
      </c>
      <c r="H107" s="374">
        <f>'SocSon-1'!H37</f>
        <v>0</v>
      </c>
      <c r="I107" s="374">
        <f>'SocSon-1'!I37</f>
        <v>0</v>
      </c>
      <c r="J107" s="374">
        <f>'SocSon-1'!J37</f>
        <v>0</v>
      </c>
      <c r="K107" s="374">
        <f>'SocSon-1'!K37</f>
        <v>0</v>
      </c>
      <c r="L107" s="374">
        <f>'SocSon-1'!L37</f>
        <v>0</v>
      </c>
      <c r="M107" s="374">
        <f>'SocSon-1'!M37</f>
        <v>0</v>
      </c>
      <c r="N107" s="374">
        <f>'SocSon-1'!N37</f>
        <v>0</v>
      </c>
      <c r="O107" s="374">
        <f>'SocSon-1'!O37</f>
        <v>0</v>
      </c>
      <c r="P107" s="374">
        <f>'SocSon-1'!P37</f>
        <v>74.349999999999994</v>
      </c>
      <c r="Q107" s="374">
        <f>'SocSon-1'!Q37</f>
        <v>1.88</v>
      </c>
      <c r="R107" s="378">
        <f t="shared" si="38"/>
        <v>76.22999999999999</v>
      </c>
      <c r="S107" s="378">
        <f t="shared" si="39"/>
        <v>0</v>
      </c>
      <c r="T107" s="379">
        <f t="shared" si="40"/>
        <v>76.22999999999999</v>
      </c>
      <c r="U107" s="386">
        <f t="shared" si="31"/>
        <v>1.6779433831614573E-3</v>
      </c>
      <c r="V107" s="387" t="str">
        <f t="shared" si="32"/>
        <v/>
      </c>
      <c r="W107" s="387">
        <f t="shared" si="33"/>
        <v>1.6779433831614573E-3</v>
      </c>
    </row>
    <row r="108" spans="2:23" ht="13.15" collapsed="1" thickBot="1" x14ac:dyDescent="0.4">
      <c r="B108" s="397"/>
      <c r="C108" s="397" t="s">
        <v>180</v>
      </c>
      <c r="D108" s="87"/>
      <c r="E108" s="70"/>
      <c r="F108" s="88" t="e">
        <f>SUBTOTAL(9,F48:F107)</f>
        <v>#REF!</v>
      </c>
      <c r="G108" s="88">
        <f t="shared" ref="G108:Q108" si="42">SUBTOTAL(9,G48:G107)</f>
        <v>991.73000635180063</v>
      </c>
      <c r="H108" s="88">
        <f t="shared" si="42"/>
        <v>1287.6065322203756</v>
      </c>
      <c r="I108" s="88">
        <f t="shared" si="42"/>
        <v>1238.862577027701</v>
      </c>
      <c r="J108" s="88">
        <f t="shared" si="42"/>
        <v>1146.7546365758694</v>
      </c>
      <c r="K108" s="88">
        <f t="shared" si="42"/>
        <v>1210.8407336072639</v>
      </c>
      <c r="L108" s="88">
        <f t="shared" si="42"/>
        <v>1286.5043138753463</v>
      </c>
      <c r="M108" s="88">
        <f t="shared" si="42"/>
        <v>1285.9572837282242</v>
      </c>
      <c r="N108" s="88">
        <f t="shared" si="42"/>
        <v>1305.3316370680209</v>
      </c>
      <c r="O108" s="88">
        <f t="shared" si="42"/>
        <v>1072.3694566774391</v>
      </c>
      <c r="P108" s="88">
        <f t="shared" si="42"/>
        <v>1110.5483806318866</v>
      </c>
      <c r="Q108" s="88">
        <f t="shared" si="42"/>
        <v>995.11034565650971</v>
      </c>
      <c r="R108" s="88" t="e">
        <f>SUMIFS($F108:$Q108,$F$7:$Q$7,"A")</f>
        <v>#REF!</v>
      </c>
      <c r="S108" s="88">
        <f>SUMIFS($F108:$Q108,$F$7:$Q$7,"B")</f>
        <v>0</v>
      </c>
      <c r="T108" s="88" t="e">
        <f>SUM(R108:S108)</f>
        <v>#REF!</v>
      </c>
      <c r="U108" s="383" t="str">
        <f t="shared" si="31"/>
        <v/>
      </c>
      <c r="V108" s="387" t="str">
        <f t="shared" si="32"/>
        <v/>
      </c>
      <c r="W108" s="387" t="str">
        <f t="shared" si="33"/>
        <v/>
      </c>
    </row>
    <row r="109" spans="2:23" x14ac:dyDescent="0.35">
      <c r="B109" s="89" t="s">
        <v>187</v>
      </c>
      <c r="C109" s="90"/>
      <c r="D109" s="90"/>
      <c r="E109" s="91"/>
      <c r="F109" s="92" t="e">
        <f>F45-F108-F46</f>
        <v>#REF!</v>
      </c>
      <c r="G109" s="92">
        <f t="shared" ref="G109:T109" si="43">G45-G108-G46</f>
        <v>2053.3999936481991</v>
      </c>
      <c r="H109" s="92">
        <f t="shared" si="43"/>
        <v>2558.7524677796246</v>
      </c>
      <c r="I109" s="92">
        <f t="shared" si="43"/>
        <v>2681.1228229722988</v>
      </c>
      <c r="J109" s="92">
        <f t="shared" si="43"/>
        <v>3052.9040634241314</v>
      </c>
      <c r="K109" s="92">
        <f t="shared" si="43"/>
        <v>3287.8520663927357</v>
      </c>
      <c r="L109" s="92">
        <f t="shared" si="43"/>
        <v>3075.6716861246532</v>
      </c>
      <c r="M109" s="92">
        <f t="shared" si="43"/>
        <v>2635.9937162717752</v>
      </c>
      <c r="N109" s="92">
        <f t="shared" si="43"/>
        <v>3427.2885629319771</v>
      </c>
      <c r="O109" s="92">
        <f t="shared" si="43"/>
        <v>2657.5165433225611</v>
      </c>
      <c r="P109" s="92">
        <f t="shared" si="43"/>
        <v>2325.0666193681132</v>
      </c>
      <c r="Q109" s="92">
        <f t="shared" si="43"/>
        <v>2504.810654343491</v>
      </c>
      <c r="R109" s="92" t="e">
        <f t="shared" si="43"/>
        <v>#REF!</v>
      </c>
      <c r="S109" s="92">
        <f t="shared" si="43"/>
        <v>0</v>
      </c>
      <c r="T109" s="92" t="e">
        <f t="shared" si="43"/>
        <v>#REF!</v>
      </c>
      <c r="U109" s="390" t="str">
        <f t="shared" si="31"/>
        <v/>
      </c>
      <c r="V109" s="387" t="str">
        <f t="shared" si="32"/>
        <v/>
      </c>
      <c r="W109" s="387" t="str">
        <f t="shared" si="33"/>
        <v/>
      </c>
    </row>
    <row r="110" spans="2:23" x14ac:dyDescent="0.35">
      <c r="B110" s="27" t="s">
        <v>181</v>
      </c>
      <c r="C110" s="6"/>
      <c r="D110" s="6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385">
        <f t="shared" si="31"/>
        <v>0</v>
      </c>
      <c r="V110" s="387" t="str">
        <f t="shared" si="32"/>
        <v/>
      </c>
      <c r="W110" s="387">
        <f t="shared" si="33"/>
        <v>0</v>
      </c>
    </row>
    <row r="111" spans="2:23" x14ac:dyDescent="0.35">
      <c r="C111" s="6" t="s">
        <v>310</v>
      </c>
      <c r="F111" s="57">
        <f>SUBTOTAL(9,F112:F120)</f>
        <v>723.80595600000004</v>
      </c>
      <c r="G111" s="57">
        <f t="shared" ref="G111:Q111" si="44">SUBTOTAL(9,G112:G120)</f>
        <v>724.69189500000016</v>
      </c>
      <c r="H111" s="57">
        <f t="shared" si="44"/>
        <v>712.77660800000001</v>
      </c>
      <c r="I111" s="57">
        <f t="shared" si="44"/>
        <v>698.18401300000005</v>
      </c>
      <c r="J111" s="57">
        <f t="shared" si="44"/>
        <v>627.61677899999995</v>
      </c>
      <c r="K111" s="57">
        <f t="shared" si="44"/>
        <v>802.09332399999994</v>
      </c>
      <c r="L111" s="57">
        <f t="shared" si="44"/>
        <v>759.70570233333331</v>
      </c>
      <c r="M111" s="57">
        <f t="shared" si="44"/>
        <v>780.31729099999995</v>
      </c>
      <c r="N111" s="57">
        <f t="shared" si="44"/>
        <v>918.72914100000003</v>
      </c>
      <c r="O111" s="57">
        <f t="shared" si="44"/>
        <v>818.52734100000009</v>
      </c>
      <c r="P111" s="57">
        <f t="shared" si="44"/>
        <v>878.04303300000004</v>
      </c>
      <c r="Q111" s="57">
        <f t="shared" si="44"/>
        <v>902.83316600000001</v>
      </c>
      <c r="R111" s="62">
        <f>SUMIFS($F111:$Q111,$F$7:$Q$7,"A")</f>
        <v>9347.3242493333346</v>
      </c>
      <c r="S111" s="62">
        <f>SUMIFS($F111:$Q111,$F$7:$Q$7,"B")</f>
        <v>0</v>
      </c>
      <c r="T111" s="57">
        <f>SUM(R111:S111)</f>
        <v>9347.3242493333346</v>
      </c>
      <c r="U111" s="386">
        <f t="shared" si="31"/>
        <v>0.20574945394770439</v>
      </c>
      <c r="V111" s="387" t="str">
        <f t="shared" si="32"/>
        <v/>
      </c>
      <c r="W111" s="387">
        <f t="shared" si="33"/>
        <v>0.20574945394770439</v>
      </c>
    </row>
    <row r="112" spans="2:23" hidden="1" outlineLevel="1" x14ac:dyDescent="0.35">
      <c r="D112" s="341" t="s">
        <v>147</v>
      </c>
      <c r="E112" s="367"/>
      <c r="F112" s="355">
        <f>HaiDuong!F66</f>
        <v>274.18008500000002</v>
      </c>
      <c r="G112" s="355">
        <f>HaiDuong!G66</f>
        <v>205.977644</v>
      </c>
      <c r="H112" s="355">
        <f>HaiDuong!H66</f>
        <v>187.277231</v>
      </c>
      <c r="I112" s="355">
        <f>HaiDuong!I66</f>
        <v>201.65765400000001</v>
      </c>
      <c r="J112" s="355">
        <f>HaiDuong!J66</f>
        <v>162.829971</v>
      </c>
      <c r="K112" s="355">
        <f>HaiDuong!K66</f>
        <v>163.48349999999999</v>
      </c>
      <c r="L112" s="355">
        <f>HaiDuong!L66</f>
        <v>189.40059199999999</v>
      </c>
      <c r="M112" s="355">
        <f>HaiDuong!M66</f>
        <v>203.967231</v>
      </c>
      <c r="N112" s="355">
        <f>HaiDuong!N66</f>
        <v>180.37997100000001</v>
      </c>
      <c r="O112" s="355">
        <f>HaiDuong!O66</f>
        <v>175.96568400000001</v>
      </c>
      <c r="P112" s="355">
        <f>HaiDuong!P66</f>
        <v>180.101</v>
      </c>
      <c r="Q112" s="355">
        <f>HaiDuong!Q66</f>
        <v>190.89240699999999</v>
      </c>
      <c r="R112" s="342">
        <f t="shared" ref="R112:R120" si="45">SUMIFS($F112:$Q112,$F$7:$Q$7,"A")</f>
        <v>2316.1129700000001</v>
      </c>
      <c r="S112" s="342">
        <f t="shared" ref="S112:S120" si="46">SUMIFS($F112:$Q112,$F$7:$Q$7,"B")</f>
        <v>0</v>
      </c>
      <c r="T112" s="358">
        <f t="shared" ref="T112:T120" si="47">SUM(R112:S112)</f>
        <v>2316.1129700000001</v>
      </c>
      <c r="U112" s="386">
        <f t="shared" si="31"/>
        <v>5.0981325366206628E-2</v>
      </c>
      <c r="V112" s="387" t="str">
        <f t="shared" si="32"/>
        <v/>
      </c>
      <c r="W112" s="387">
        <f t="shared" si="33"/>
        <v>5.0981325366206628E-2</v>
      </c>
    </row>
    <row r="113" spans="3:23" hidden="1" outlineLevel="1" x14ac:dyDescent="0.35">
      <c r="D113" s="345" t="s">
        <v>150</v>
      </c>
      <c r="F113" s="356">
        <f>CaMau!F36</f>
        <v>74.788325</v>
      </c>
      <c r="G113" s="356">
        <f>CaMau!G36</f>
        <v>60.580772000000003</v>
      </c>
      <c r="H113" s="356">
        <f>CaMau!H36</f>
        <v>59.675998</v>
      </c>
      <c r="I113" s="356">
        <f>CaMau!I36</f>
        <v>56.324863000000001</v>
      </c>
      <c r="J113" s="356">
        <f>CaMau!J36</f>
        <v>57.694575999999998</v>
      </c>
      <c r="K113" s="356">
        <f>CaMau!K36</f>
        <v>58.799179000000002</v>
      </c>
      <c r="L113" s="356">
        <f>CaMau!L36</f>
        <v>63.526899</v>
      </c>
      <c r="M113" s="356">
        <f>CaMau!M36</f>
        <v>62.426611000000001</v>
      </c>
      <c r="N113" s="356">
        <f>CaMau!N36</f>
        <v>63.625988999999997</v>
      </c>
      <c r="O113" s="356">
        <f>CaMau!O36</f>
        <v>67.977070999999995</v>
      </c>
      <c r="P113" s="356">
        <f>CaMau!P36</f>
        <v>68.159325999999993</v>
      </c>
      <c r="Q113" s="356">
        <f>CaMau!Q36</f>
        <v>68.448783000000006</v>
      </c>
      <c r="R113" s="351">
        <f t="shared" si="45"/>
        <v>762.02839199999994</v>
      </c>
      <c r="S113" s="351">
        <f t="shared" si="46"/>
        <v>0</v>
      </c>
      <c r="T113" s="359">
        <f t="shared" si="47"/>
        <v>762.02839199999994</v>
      </c>
      <c r="U113" s="386">
        <f t="shared" si="31"/>
        <v>1.6773455308114461E-2</v>
      </c>
      <c r="V113" s="387" t="str">
        <f t="shared" si="32"/>
        <v/>
      </c>
      <c r="W113" s="387">
        <f t="shared" si="33"/>
        <v>1.6773455308114461E-2</v>
      </c>
    </row>
    <row r="114" spans="3:23" hidden="1" outlineLevel="1" x14ac:dyDescent="0.35">
      <c r="D114" s="345" t="s">
        <v>146</v>
      </c>
      <c r="F114" s="356">
        <f>ThanhHoa!F35</f>
        <v>125.66380700000001</v>
      </c>
      <c r="G114" s="356">
        <f>ThanhHoa!G35</f>
        <v>183.02883299999999</v>
      </c>
      <c r="H114" s="356">
        <f>ThanhHoa!H35</f>
        <v>221.00856899999999</v>
      </c>
      <c r="I114" s="356">
        <f>ThanhHoa!I35</f>
        <v>178.68849599999999</v>
      </c>
      <c r="J114" s="356">
        <f>ThanhHoa!J35</f>
        <v>125.033691</v>
      </c>
      <c r="K114" s="356">
        <f>ThanhHoa!K35</f>
        <v>160.044838</v>
      </c>
      <c r="L114" s="356">
        <f>ThanhHoa!L35</f>
        <v>132.816754</v>
      </c>
      <c r="M114" s="356">
        <f>ThanhHoa!M35</f>
        <v>111.344615</v>
      </c>
      <c r="N114" s="356">
        <f>ThanhHoa!N35</f>
        <v>223.11170300000001</v>
      </c>
      <c r="O114" s="356">
        <f>ThanhHoa!O35</f>
        <v>84.022000000000006</v>
      </c>
      <c r="P114" s="356">
        <f>ThanhHoa!P35</f>
        <v>95.734999999999999</v>
      </c>
      <c r="Q114" s="356">
        <f>ThanhHoa!Q35</f>
        <v>111.85</v>
      </c>
      <c r="R114" s="351">
        <f t="shared" si="45"/>
        <v>1752.3483059999996</v>
      </c>
      <c r="S114" s="351">
        <f t="shared" si="46"/>
        <v>0</v>
      </c>
      <c r="T114" s="359">
        <f t="shared" si="47"/>
        <v>1752.3483059999996</v>
      </c>
      <c r="U114" s="386">
        <f t="shared" si="31"/>
        <v>3.8571969631993809E-2</v>
      </c>
      <c r="V114" s="387" t="str">
        <f t="shared" si="32"/>
        <v/>
      </c>
      <c r="W114" s="387">
        <f t="shared" si="33"/>
        <v>3.8571969631993809E-2</v>
      </c>
    </row>
    <row r="115" spans="3:23" hidden="1" outlineLevel="1" x14ac:dyDescent="0.35">
      <c r="D115" s="345" t="s">
        <v>148</v>
      </c>
      <c r="F115" s="356">
        <f>ThaiNguyen!F36</f>
        <v>105.040739</v>
      </c>
      <c r="G115" s="356">
        <f>ThaiNguyen!G36</f>
        <v>93.078646000000006</v>
      </c>
      <c r="H115" s="356">
        <f>ThaiNguyen!H36</f>
        <v>96.148809999999997</v>
      </c>
      <c r="I115" s="356">
        <f>ThaiNguyen!I36</f>
        <v>99.908000000000001</v>
      </c>
      <c r="J115" s="356">
        <f>ThaiNguyen!J36</f>
        <v>103.68574099999999</v>
      </c>
      <c r="K115" s="356">
        <f>ThaiNguyen!K36</f>
        <v>90.56</v>
      </c>
      <c r="L115" s="356">
        <f>ThaiNguyen!L36</f>
        <v>88.948566999999997</v>
      </c>
      <c r="M115" s="356">
        <f>ThaiNguyen!M36</f>
        <v>109.073077</v>
      </c>
      <c r="N115" s="356">
        <f>ThaiNguyen!N36</f>
        <v>102.160721</v>
      </c>
      <c r="O115" s="356">
        <f>ThaiNguyen!O36</f>
        <v>91.889028999999994</v>
      </c>
      <c r="P115" s="356">
        <f>ThaiNguyen!P36</f>
        <v>96.526250000000005</v>
      </c>
      <c r="Q115" s="356">
        <f>ThaiNguyen!Q36</f>
        <v>105.930419</v>
      </c>
      <c r="R115" s="351">
        <f t="shared" si="45"/>
        <v>1182.9499990000002</v>
      </c>
      <c r="S115" s="351">
        <f t="shared" si="46"/>
        <v>0</v>
      </c>
      <c r="T115" s="359">
        <f t="shared" si="47"/>
        <v>1182.9499990000002</v>
      </c>
      <c r="U115" s="386">
        <f t="shared" si="31"/>
        <v>2.603860846691464E-2</v>
      </c>
      <c r="V115" s="387" t="str">
        <f t="shared" si="32"/>
        <v/>
      </c>
      <c r="W115" s="387">
        <f t="shared" si="33"/>
        <v>2.603860846691464E-2</v>
      </c>
    </row>
    <row r="116" spans="3:23" hidden="1" outlineLevel="1" x14ac:dyDescent="0.35">
      <c r="D116" s="345" t="s">
        <v>327</v>
      </c>
      <c r="F116" s="356">
        <f>ThaiBinh!F28</f>
        <v>0</v>
      </c>
      <c r="G116" s="356">
        <f>ThaiBinh!G28</f>
        <v>0</v>
      </c>
      <c r="H116" s="356">
        <f>ThaiBinh!H28</f>
        <v>0</v>
      </c>
      <c r="I116" s="356">
        <f>ThaiBinh!I28</f>
        <v>0</v>
      </c>
      <c r="J116" s="356">
        <f>ThaiBinh!J28</f>
        <v>0</v>
      </c>
      <c r="K116" s="356">
        <f>ThaiBinh!K28</f>
        <v>164.45830699999999</v>
      </c>
      <c r="L116" s="356">
        <f>ThaiBinh!L28</f>
        <v>115.84755699999999</v>
      </c>
      <c r="M116" s="356">
        <f>ThaiBinh!M28</f>
        <v>99.516756999999998</v>
      </c>
      <c r="N116" s="356">
        <f>ThaiBinh!N28</f>
        <v>121.615557</v>
      </c>
      <c r="O116" s="356">
        <f>ThaiBinh!O28</f>
        <v>110.575557</v>
      </c>
      <c r="P116" s="356">
        <f>ThaiBinh!P28</f>
        <v>108.437557</v>
      </c>
      <c r="Q116" s="356">
        <f>ThaiBinh!Q28</f>
        <v>109.331557</v>
      </c>
      <c r="R116" s="351">
        <f t="shared" si="45"/>
        <v>829.78284899999994</v>
      </c>
      <c r="S116" s="351">
        <f t="shared" si="46"/>
        <v>0</v>
      </c>
      <c r="T116" s="359">
        <f t="shared" si="47"/>
        <v>829.78284899999994</v>
      </c>
      <c r="U116" s="386">
        <f t="shared" si="31"/>
        <v>1.8264838527356851E-2</v>
      </c>
      <c r="V116" s="387" t="str">
        <f t="shared" si="32"/>
        <v/>
      </c>
      <c r="W116" s="387">
        <f t="shared" si="33"/>
        <v>1.8264838527356851E-2</v>
      </c>
    </row>
    <row r="117" spans="3:23" hidden="1" outlineLevel="1" x14ac:dyDescent="0.35">
      <c r="D117" s="345" t="s">
        <v>151</v>
      </c>
      <c r="F117" s="356">
        <f>YetKieu!F35</f>
        <v>76.623000000000005</v>
      </c>
      <c r="G117" s="356">
        <f>YetKieu!G35</f>
        <v>90.195999999999998</v>
      </c>
      <c r="H117" s="356">
        <f>YetKieu!H35</f>
        <v>77.076000000000008</v>
      </c>
      <c r="I117" s="356">
        <f>YetKieu!I35</f>
        <v>85.495000000000005</v>
      </c>
      <c r="J117" s="356">
        <f>YetKieu!J35</f>
        <v>99.552999999999997</v>
      </c>
      <c r="K117" s="356">
        <f>YetKieu!K35</f>
        <v>93.4375</v>
      </c>
      <c r="L117" s="356">
        <f>YetKieu!L35</f>
        <v>95.37533333333333</v>
      </c>
      <c r="M117" s="356">
        <f>YetKieu!M35</f>
        <v>103.93899999999999</v>
      </c>
      <c r="N117" s="356">
        <f>YetKieu!N35</f>
        <v>110.73399999999999</v>
      </c>
      <c r="O117" s="356">
        <f>YetKieu!O35</f>
        <v>141.49</v>
      </c>
      <c r="P117" s="356">
        <f>YetKieu!P35</f>
        <v>134.20599999999999</v>
      </c>
      <c r="Q117" s="356">
        <f>YetKieu!Q35</f>
        <v>140.196</v>
      </c>
      <c r="R117" s="351">
        <f t="shared" si="45"/>
        <v>1248.3208333333332</v>
      </c>
      <c r="S117" s="351">
        <f t="shared" si="46"/>
        <v>0</v>
      </c>
      <c r="T117" s="359">
        <f t="shared" si="47"/>
        <v>1248.3208333333332</v>
      </c>
      <c r="U117" s="386">
        <f t="shared" si="31"/>
        <v>2.747752436513529E-2</v>
      </c>
      <c r="V117" s="387" t="str">
        <f t="shared" si="32"/>
        <v/>
      </c>
      <c r="W117" s="387">
        <f t="shared" si="33"/>
        <v>2.747752436513529E-2</v>
      </c>
    </row>
    <row r="118" spans="3:23" hidden="1" outlineLevel="1" x14ac:dyDescent="0.35">
      <c r="D118" s="345" t="s">
        <v>153</v>
      </c>
      <c r="F118" s="356">
        <f>NhaTrang!F30</f>
        <v>67.510000000000005</v>
      </c>
      <c r="G118" s="356">
        <f>NhaTrang!G30</f>
        <v>91.83</v>
      </c>
      <c r="H118" s="356">
        <f>NhaTrang!H30</f>
        <v>71.59</v>
      </c>
      <c r="I118" s="356">
        <f>NhaTrang!I30</f>
        <v>76.11</v>
      </c>
      <c r="J118" s="356">
        <f>NhaTrang!J30</f>
        <v>78.819800000000001</v>
      </c>
      <c r="K118" s="356">
        <f>NhaTrang!K30</f>
        <v>71.31</v>
      </c>
      <c r="L118" s="356">
        <f>NhaTrang!L30</f>
        <v>73.790000000000006</v>
      </c>
      <c r="M118" s="356">
        <f>NhaTrang!M30</f>
        <v>90.05</v>
      </c>
      <c r="N118" s="356">
        <f>NhaTrang!N30</f>
        <v>73.401200000000003</v>
      </c>
      <c r="O118" s="356">
        <f>NhaTrang!O30</f>
        <v>94.488</v>
      </c>
      <c r="P118" s="356">
        <f>NhaTrang!P30</f>
        <v>82.749899999999997</v>
      </c>
      <c r="Q118" s="356">
        <f>NhaTrang!Q30</f>
        <v>101.54300000000001</v>
      </c>
      <c r="R118" s="351">
        <f t="shared" si="45"/>
        <v>973.19189999999992</v>
      </c>
      <c r="S118" s="351">
        <f t="shared" si="46"/>
        <v>0</v>
      </c>
      <c r="T118" s="359">
        <f t="shared" si="47"/>
        <v>973.19189999999992</v>
      </c>
      <c r="U118" s="386">
        <f t="shared" si="31"/>
        <v>2.1421499529730114E-2</v>
      </c>
      <c r="V118" s="387" t="str">
        <f t="shared" si="32"/>
        <v/>
      </c>
      <c r="W118" s="387">
        <f t="shared" si="33"/>
        <v>2.1421499529730114E-2</v>
      </c>
    </row>
    <row r="119" spans="3:23" hidden="1" outlineLevel="1" x14ac:dyDescent="0.35">
      <c r="D119" s="345" t="s">
        <v>154</v>
      </c>
      <c r="F119" s="356">
        <f>ThachThat!F23</f>
        <v>0</v>
      </c>
      <c r="G119" s="356">
        <f>ThachThat!G23</f>
        <v>0</v>
      </c>
      <c r="H119" s="356">
        <f>ThachThat!H23</f>
        <v>0</v>
      </c>
      <c r="I119" s="356">
        <f>ThachThat!I23</f>
        <v>0</v>
      </c>
      <c r="J119" s="356">
        <f>ThachThat!J23</f>
        <v>0</v>
      </c>
      <c r="K119" s="356">
        <f>ThachThat!K23</f>
        <v>0</v>
      </c>
      <c r="L119" s="356">
        <f>ThachThat!L23</f>
        <v>0</v>
      </c>
      <c r="M119" s="356">
        <f>ThachThat!M23</f>
        <v>0</v>
      </c>
      <c r="N119" s="356">
        <f>ThachThat!N23</f>
        <v>43.7</v>
      </c>
      <c r="O119" s="356">
        <f>ThachThat!O23</f>
        <v>52.12</v>
      </c>
      <c r="P119" s="356">
        <f>ThachThat!P23</f>
        <v>45.1</v>
      </c>
      <c r="Q119" s="356">
        <f>ThachThat!Q23</f>
        <v>35.619999999999997</v>
      </c>
      <c r="R119" s="351">
        <f t="shared" si="45"/>
        <v>176.54</v>
      </c>
      <c r="S119" s="351">
        <f t="shared" si="46"/>
        <v>0</v>
      </c>
      <c r="T119" s="359">
        <f t="shared" si="47"/>
        <v>176.54</v>
      </c>
      <c r="U119" s="386">
        <f t="shared" si="31"/>
        <v>3.8859258148146881E-3</v>
      </c>
      <c r="V119" s="387" t="str">
        <f t="shared" si="32"/>
        <v/>
      </c>
      <c r="W119" s="387">
        <f t="shared" si="33"/>
        <v>3.8859258148146881E-3</v>
      </c>
    </row>
    <row r="120" spans="3:23" hidden="1" outlineLevel="1" x14ac:dyDescent="0.35">
      <c r="D120" s="347" t="s">
        <v>155</v>
      </c>
      <c r="E120" s="368"/>
      <c r="F120" s="357">
        <f>'SocSon-1'!F33</f>
        <v>0</v>
      </c>
      <c r="G120" s="357">
        <f>'SocSon-1'!G33</f>
        <v>0</v>
      </c>
      <c r="H120" s="357">
        <f>'SocSon-1'!H33</f>
        <v>0</v>
      </c>
      <c r="I120" s="357">
        <f>'SocSon-1'!I33</f>
        <v>0</v>
      </c>
      <c r="J120" s="357">
        <f>'SocSon-1'!J33</f>
        <v>0</v>
      </c>
      <c r="K120" s="357">
        <f>'SocSon-1'!K33</f>
        <v>0</v>
      </c>
      <c r="L120" s="357">
        <f>'SocSon-1'!L33</f>
        <v>0</v>
      </c>
      <c r="M120" s="357">
        <f>'SocSon-1'!M33</f>
        <v>0</v>
      </c>
      <c r="N120" s="357">
        <f>'SocSon-1'!N33</f>
        <v>0</v>
      </c>
      <c r="O120" s="357">
        <f>'SocSon-1'!O33</f>
        <v>0</v>
      </c>
      <c r="P120" s="357">
        <f>'SocSon-1'!P33</f>
        <v>67.028000000000006</v>
      </c>
      <c r="Q120" s="357">
        <f>'SocSon-1'!Q33</f>
        <v>39.021000000000001</v>
      </c>
      <c r="R120" s="352">
        <f t="shared" si="45"/>
        <v>106.04900000000001</v>
      </c>
      <c r="S120" s="352">
        <f t="shared" si="46"/>
        <v>0</v>
      </c>
      <c r="T120" s="360">
        <f t="shared" si="47"/>
        <v>106.04900000000001</v>
      </c>
      <c r="U120" s="386">
        <f t="shared" si="31"/>
        <v>2.3343069374378777E-3</v>
      </c>
      <c r="V120" s="387" t="str">
        <f t="shared" si="32"/>
        <v/>
      </c>
      <c r="W120" s="387">
        <f t="shared" si="33"/>
        <v>2.3343069374378777E-3</v>
      </c>
    </row>
    <row r="121" spans="3:23" collapsed="1" x14ac:dyDescent="0.35">
      <c r="C121" s="6" t="s">
        <v>625</v>
      </c>
      <c r="F121" s="57">
        <f>SUBTOTAL(9,F122:F130)</f>
        <v>615.91314699999998</v>
      </c>
      <c r="G121" s="57">
        <f t="shared" ref="G121:Q121" si="48">SUBTOTAL(9,G122:G130)</f>
        <v>572.10210483333321</v>
      </c>
      <c r="H121" s="57">
        <f t="shared" si="48"/>
        <v>587.01417000000004</v>
      </c>
      <c r="I121" s="57">
        <f t="shared" si="48"/>
        <v>589.857485</v>
      </c>
      <c r="J121" s="57">
        <f t="shared" si="48"/>
        <v>609.99223500000005</v>
      </c>
      <c r="K121" s="57">
        <f t="shared" si="48"/>
        <v>782.40115300000014</v>
      </c>
      <c r="L121" s="57">
        <f t="shared" si="48"/>
        <v>702.51419299999998</v>
      </c>
      <c r="M121" s="57">
        <f t="shared" si="48"/>
        <v>712.20802200000003</v>
      </c>
      <c r="N121" s="57">
        <f t="shared" si="48"/>
        <v>713.99459300000001</v>
      </c>
      <c r="O121" s="57">
        <f t="shared" si="48"/>
        <v>719.85565699999995</v>
      </c>
      <c r="P121" s="57">
        <f t="shared" si="48"/>
        <v>731.11739799999998</v>
      </c>
      <c r="Q121" s="57">
        <f t="shared" si="48"/>
        <v>633.928042</v>
      </c>
      <c r="R121" s="62">
        <f>SUMIFS($F121:$Q121,$F$7:$Q$7,"A")</f>
        <v>7970.8981998333347</v>
      </c>
      <c r="S121" s="62">
        <f>SUMIFS($F121:$Q121,$F$7:$Q$7,"B")</f>
        <v>0</v>
      </c>
      <c r="T121" s="57">
        <f>SUM(R121:S121)</f>
        <v>7970.8981998333347</v>
      </c>
      <c r="U121" s="386">
        <f t="shared" si="31"/>
        <v>0.17545213029337423</v>
      </c>
      <c r="V121" s="387" t="str">
        <f t="shared" si="32"/>
        <v/>
      </c>
      <c r="W121" s="387">
        <f t="shared" si="33"/>
        <v>0.17545213029337423</v>
      </c>
    </row>
    <row r="122" spans="3:23" hidden="1" outlineLevel="1" x14ac:dyDescent="0.35">
      <c r="C122" s="6"/>
      <c r="D122" s="341" t="s">
        <v>147</v>
      </c>
      <c r="E122" s="367"/>
      <c r="F122" s="355">
        <f>HaiDuong!F67</f>
        <v>30</v>
      </c>
      <c r="G122" s="355">
        <f>HaiDuong!G67</f>
        <v>30.244499999999999</v>
      </c>
      <c r="H122" s="355">
        <f>HaiDuong!H67</f>
        <v>30.244499999999999</v>
      </c>
      <c r="I122" s="355">
        <f>HaiDuong!I67</f>
        <v>30.244499999999999</v>
      </c>
      <c r="J122" s="355">
        <f>HaiDuong!J67</f>
        <v>30.244499999999999</v>
      </c>
      <c r="K122" s="355">
        <f>HaiDuong!K67</f>
        <v>30.244499999999999</v>
      </c>
      <c r="L122" s="355">
        <f>HaiDuong!L67</f>
        <v>30.244499999999999</v>
      </c>
      <c r="M122" s="355">
        <f>HaiDuong!M67</f>
        <v>30.244499999999999</v>
      </c>
      <c r="N122" s="355">
        <f>HaiDuong!N67</f>
        <v>30.244499999999999</v>
      </c>
      <c r="O122" s="355">
        <f>HaiDuong!O67</f>
        <v>30.244499999999999</v>
      </c>
      <c r="P122" s="355">
        <f>HaiDuong!P67</f>
        <v>30.244499999999999</v>
      </c>
      <c r="Q122" s="355">
        <f>HaiDuong!Q67</f>
        <v>30.244499999999999</v>
      </c>
      <c r="R122" s="342">
        <f t="shared" ref="R122:R130" si="49">SUMIFS($F122:$Q122,$F$7:$Q$7,"A")</f>
        <v>362.68950000000001</v>
      </c>
      <c r="S122" s="342">
        <f t="shared" ref="S122:S130" si="50">SUMIFS($F122:$Q122,$F$7:$Q$7,"B")</f>
        <v>0</v>
      </c>
      <c r="T122" s="358">
        <f t="shared" ref="T122:T130" si="51">SUM(R122:S122)</f>
        <v>362.68950000000001</v>
      </c>
      <c r="U122" s="386">
        <f t="shared" si="31"/>
        <v>7.9833719882872554E-3</v>
      </c>
      <c r="V122" s="387" t="str">
        <f t="shared" si="32"/>
        <v/>
      </c>
      <c r="W122" s="387">
        <f t="shared" si="33"/>
        <v>7.9833719882872554E-3</v>
      </c>
    </row>
    <row r="123" spans="3:23" hidden="1" outlineLevel="1" x14ac:dyDescent="0.35">
      <c r="C123" s="6"/>
      <c r="D123" s="345" t="s">
        <v>150</v>
      </c>
      <c r="F123" s="356">
        <f>CaMau!F37</f>
        <v>20</v>
      </c>
      <c r="G123" s="356">
        <f>CaMau!G37</f>
        <v>20</v>
      </c>
      <c r="H123" s="356">
        <f>CaMau!H37</f>
        <v>20</v>
      </c>
      <c r="I123" s="356">
        <f>CaMau!I37</f>
        <v>20</v>
      </c>
      <c r="J123" s="356">
        <f>CaMau!J37</f>
        <v>20</v>
      </c>
      <c r="K123" s="356">
        <f>CaMau!K37</f>
        <v>20</v>
      </c>
      <c r="L123" s="356">
        <f>CaMau!L37</f>
        <v>20</v>
      </c>
      <c r="M123" s="356">
        <f>CaMau!M37</f>
        <v>20</v>
      </c>
      <c r="N123" s="356">
        <f>CaMau!N37</f>
        <v>20</v>
      </c>
      <c r="O123" s="356">
        <f>CaMau!O37</f>
        <v>20</v>
      </c>
      <c r="P123" s="356">
        <f>CaMau!P37</f>
        <v>20</v>
      </c>
      <c r="Q123" s="356">
        <f>CaMau!Q37</f>
        <v>20</v>
      </c>
      <c r="R123" s="351">
        <f t="shared" si="49"/>
        <v>240</v>
      </c>
      <c r="S123" s="351">
        <f t="shared" si="50"/>
        <v>0</v>
      </c>
      <c r="T123" s="359">
        <f t="shared" si="51"/>
        <v>240</v>
      </c>
      <c r="U123" s="386">
        <f t="shared" si="31"/>
        <v>5.2827812142037227E-3</v>
      </c>
      <c r="V123" s="387" t="str">
        <f t="shared" si="32"/>
        <v/>
      </c>
      <c r="W123" s="387">
        <f t="shared" si="33"/>
        <v>5.2827812142037227E-3</v>
      </c>
    </row>
    <row r="124" spans="3:23" hidden="1" outlineLevel="1" x14ac:dyDescent="0.35">
      <c r="C124" s="6"/>
      <c r="D124" s="345" t="s">
        <v>146</v>
      </c>
      <c r="F124" s="356">
        <f>ThanhHoa!F36</f>
        <v>95.083332999999996</v>
      </c>
      <c r="G124" s="356">
        <f>ThanhHoa!G36</f>
        <v>58.333333000000003</v>
      </c>
      <c r="H124" s="356">
        <f>ThanhHoa!H36</f>
        <v>58.333333000000003</v>
      </c>
      <c r="I124" s="356">
        <f>ThanhHoa!I36</f>
        <v>58.333333000000003</v>
      </c>
      <c r="J124" s="356">
        <f>ThanhHoa!J36</f>
        <v>58.333333000000003</v>
      </c>
      <c r="K124" s="356">
        <f>ThanhHoa!K36</f>
        <v>58.333333000000003</v>
      </c>
      <c r="L124" s="356">
        <f>ThanhHoa!L36</f>
        <v>58.333333000000003</v>
      </c>
      <c r="M124" s="356">
        <f>ThanhHoa!M36</f>
        <v>58.333333000000003</v>
      </c>
      <c r="N124" s="356">
        <f>ThanhHoa!N36</f>
        <v>58.333333000000003</v>
      </c>
      <c r="O124" s="356">
        <f>ThanhHoa!O36</f>
        <v>58.333333000000003</v>
      </c>
      <c r="P124" s="356">
        <f>ThanhHoa!P36</f>
        <v>58.333333000000003</v>
      </c>
      <c r="Q124" s="356">
        <f>ThanhHoa!Q36</f>
        <v>60</v>
      </c>
      <c r="R124" s="351">
        <f t="shared" si="49"/>
        <v>738.41666299999997</v>
      </c>
      <c r="S124" s="351">
        <f t="shared" si="50"/>
        <v>0</v>
      </c>
      <c r="T124" s="359">
        <f t="shared" si="51"/>
        <v>738.41666299999997</v>
      </c>
      <c r="U124" s="386">
        <f t="shared" si="31"/>
        <v>1.6253723648130838E-2</v>
      </c>
      <c r="V124" s="387" t="str">
        <f t="shared" si="32"/>
        <v/>
      </c>
      <c r="W124" s="387">
        <f t="shared" si="33"/>
        <v>1.6253723648130838E-2</v>
      </c>
    </row>
    <row r="125" spans="3:23" hidden="1" outlineLevel="1" x14ac:dyDescent="0.35">
      <c r="C125" s="6"/>
      <c r="D125" s="345" t="s">
        <v>148</v>
      </c>
      <c r="F125" s="356">
        <f>ThaiNguyen!F37</f>
        <v>72.885771000000005</v>
      </c>
      <c r="G125" s="356">
        <f>ThaiNguyen!G37</f>
        <v>71.166667000000004</v>
      </c>
      <c r="H125" s="356">
        <f>ThaiNguyen!H37</f>
        <v>71.166667000000004</v>
      </c>
      <c r="I125" s="356">
        <f>ThaiNguyen!I37</f>
        <v>67.666667000000004</v>
      </c>
      <c r="J125" s="356">
        <f>ThaiNguyen!J37</f>
        <v>67.666667000000004</v>
      </c>
      <c r="K125" s="356">
        <f>ThaiNguyen!K37</f>
        <v>38.5</v>
      </c>
      <c r="L125" s="356">
        <f>ThaiNguyen!L37</f>
        <v>38.5</v>
      </c>
      <c r="M125" s="356">
        <f>ThaiNguyen!M37</f>
        <v>38.5</v>
      </c>
      <c r="N125" s="356">
        <f>ThaiNguyen!N37</f>
        <v>38.5</v>
      </c>
      <c r="O125" s="356">
        <f>ThaiNguyen!O37</f>
        <v>38.888888999999999</v>
      </c>
      <c r="P125" s="356">
        <f>ThaiNguyen!P37</f>
        <v>38.888888999999999</v>
      </c>
      <c r="Q125" s="356">
        <f>ThaiNguyen!Q37</f>
        <v>38.888888999999999</v>
      </c>
      <c r="R125" s="351">
        <f t="shared" si="49"/>
        <v>621.2191059999999</v>
      </c>
      <c r="S125" s="351">
        <f t="shared" si="50"/>
        <v>0</v>
      </c>
      <c r="T125" s="359">
        <f t="shared" si="51"/>
        <v>621.2191059999999</v>
      </c>
      <c r="U125" s="386">
        <f t="shared" si="31"/>
        <v>1.3674019262838462E-2</v>
      </c>
      <c r="V125" s="387" t="str">
        <f t="shared" si="32"/>
        <v/>
      </c>
      <c r="W125" s="387">
        <f t="shared" si="33"/>
        <v>1.3674019262838462E-2</v>
      </c>
    </row>
    <row r="126" spans="3:23" hidden="1" outlineLevel="1" x14ac:dyDescent="0.35">
      <c r="C126" s="6"/>
      <c r="D126" s="345" t="s">
        <v>327</v>
      </c>
      <c r="F126" s="356">
        <f>SUM(ThaiBinh!F29:F31)</f>
        <v>0</v>
      </c>
      <c r="G126" s="356">
        <f>SUM(ThaiBinh!G29:G31)</f>
        <v>0</v>
      </c>
      <c r="H126" s="356">
        <f>SUM(ThaiBinh!H29:H31)</f>
        <v>0</v>
      </c>
      <c r="I126" s="356">
        <f>SUM(ThaiBinh!I29:I31)</f>
        <v>0</v>
      </c>
      <c r="J126" s="356">
        <f>SUM(ThaiBinh!J29:J31)</f>
        <v>0</v>
      </c>
      <c r="K126" s="356">
        <f>SUM(ThaiBinh!K29:K31)</f>
        <v>205.93304800000001</v>
      </c>
      <c r="L126" s="356">
        <f>SUM(ThaiBinh!L29:L31)</f>
        <v>109.480752</v>
      </c>
      <c r="M126" s="356">
        <f>SUM(ThaiBinh!M29:M31)</f>
        <v>131.52000700000002</v>
      </c>
      <c r="N126" s="356">
        <f>SUM(ThaiBinh!N29:N31)</f>
        <v>104.33176900000001</v>
      </c>
      <c r="O126" s="356">
        <f>SUM(ThaiBinh!O29:O31)</f>
        <v>96.35101499999999</v>
      </c>
      <c r="P126" s="356">
        <f>SUM(ThaiBinh!P29:P31)</f>
        <v>85.269901000000004</v>
      </c>
      <c r="Q126" s="356">
        <f>SUM(ThaiBinh!Q29:Q31)</f>
        <v>70.300026000000003</v>
      </c>
      <c r="R126" s="351">
        <f t="shared" si="49"/>
        <v>803.18651799999998</v>
      </c>
      <c r="S126" s="351">
        <f t="shared" si="50"/>
        <v>0</v>
      </c>
      <c r="T126" s="359">
        <f t="shared" si="51"/>
        <v>803.18651799999998</v>
      </c>
      <c r="U126" s="386">
        <f t="shared" si="31"/>
        <v>1.7679411036633751E-2</v>
      </c>
      <c r="V126" s="387" t="str">
        <f t="shared" si="32"/>
        <v/>
      </c>
      <c r="W126" s="387">
        <f t="shared" si="33"/>
        <v>1.7679411036633751E-2</v>
      </c>
    </row>
    <row r="127" spans="3:23" hidden="1" outlineLevel="1" x14ac:dyDescent="0.35">
      <c r="C127" s="6"/>
      <c r="D127" s="345" t="s">
        <v>151</v>
      </c>
      <c r="F127" s="356">
        <f>SUM(YetKieu!F36:F38)</f>
        <v>237.588459</v>
      </c>
      <c r="G127" s="356">
        <f>SUM(YetKieu!G36:G38)</f>
        <v>233.23446000000001</v>
      </c>
      <c r="H127" s="356">
        <f>SUM(YetKieu!H36:H38)</f>
        <v>247.96864500000001</v>
      </c>
      <c r="I127" s="356">
        <f>SUM(YetKieu!I36:I38)</f>
        <v>251.213686</v>
      </c>
      <c r="J127" s="356">
        <f>SUM(YetKieu!J36:J38)</f>
        <v>269.38214800000003</v>
      </c>
      <c r="K127" s="356">
        <f>SUM(YetKieu!K36:K38)</f>
        <v>261.29360600000001</v>
      </c>
      <c r="L127" s="356">
        <f>SUM(YetKieu!L36:L38)</f>
        <v>275.39272399999999</v>
      </c>
      <c r="M127" s="356">
        <f>SUM(YetKieu!M36:M38)</f>
        <v>268.045546</v>
      </c>
      <c r="N127" s="356">
        <f>SUM(YetKieu!N36:N38)</f>
        <v>272.26042100000001</v>
      </c>
      <c r="O127" s="356">
        <f>SUM(YetKieu!O36:O38)</f>
        <v>269.40278799999999</v>
      </c>
      <c r="P127" s="356">
        <f>SUM(YetKieu!P36:P38)</f>
        <v>257.74029899999999</v>
      </c>
      <c r="Q127" s="356">
        <f>SUM(YetKieu!Q36:Q38)</f>
        <v>259.09165899999999</v>
      </c>
      <c r="R127" s="351">
        <f t="shared" si="49"/>
        <v>3102.6144410000002</v>
      </c>
      <c r="S127" s="351">
        <f t="shared" si="50"/>
        <v>0</v>
      </c>
      <c r="T127" s="359">
        <f t="shared" si="51"/>
        <v>3102.6144410000002</v>
      </c>
      <c r="U127" s="386">
        <f t="shared" si="31"/>
        <v>6.8293472015966611E-2</v>
      </c>
      <c r="V127" s="387" t="str">
        <f t="shared" si="32"/>
        <v/>
      </c>
      <c r="W127" s="387">
        <f t="shared" si="33"/>
        <v>6.8293472015966611E-2</v>
      </c>
    </row>
    <row r="128" spans="3:23" hidden="1" outlineLevel="1" x14ac:dyDescent="0.35">
      <c r="C128" s="6"/>
      <c r="D128" s="345" t="s">
        <v>153</v>
      </c>
      <c r="F128" s="356">
        <f>SUM(NhaTrang!F31:F32)</f>
        <v>160.35558399999999</v>
      </c>
      <c r="G128" s="356">
        <f>SUM(NhaTrang!G31:G32)</f>
        <v>159.12314483333324</v>
      </c>
      <c r="H128" s="356">
        <f>SUM(NhaTrang!H31:H32)</f>
        <v>159.30102499999998</v>
      </c>
      <c r="I128" s="356">
        <f>SUM(NhaTrang!I31:I32)</f>
        <v>162.39929899999998</v>
      </c>
      <c r="J128" s="356">
        <f>SUM(NhaTrang!J31:J32)</f>
        <v>164.365587</v>
      </c>
      <c r="K128" s="356">
        <f>SUM(NhaTrang!K31:K32)</f>
        <v>168.096666</v>
      </c>
      <c r="L128" s="356">
        <f>SUM(NhaTrang!L31:L32)</f>
        <v>170.562884</v>
      </c>
      <c r="M128" s="356">
        <f>SUM(NhaTrang!M31:M32)</f>
        <v>165.56463600000001</v>
      </c>
      <c r="N128" s="356">
        <f>SUM(NhaTrang!N31:N32)</f>
        <v>174.782816</v>
      </c>
      <c r="O128" s="356">
        <f>SUM(NhaTrang!O31:O32)</f>
        <v>175.23225199999999</v>
      </c>
      <c r="P128" s="356">
        <f>SUM(NhaTrang!P31:P32)</f>
        <v>186.59303699999998</v>
      </c>
      <c r="Q128" s="356">
        <f>SUM(NhaTrang!Q31:Q32)</f>
        <v>139.536857</v>
      </c>
      <c r="R128" s="351">
        <f t="shared" si="49"/>
        <v>1985.9137878333331</v>
      </c>
      <c r="S128" s="351">
        <f t="shared" si="50"/>
        <v>0</v>
      </c>
      <c r="T128" s="359">
        <f t="shared" si="51"/>
        <v>1985.9137878333331</v>
      </c>
      <c r="U128" s="386">
        <f t="shared" si="31"/>
        <v>4.3713116880808707E-2</v>
      </c>
      <c r="V128" s="387" t="str">
        <f t="shared" si="32"/>
        <v/>
      </c>
      <c r="W128" s="387">
        <f t="shared" si="33"/>
        <v>4.3713116880808707E-2</v>
      </c>
    </row>
    <row r="129" spans="2:23" hidden="1" outlineLevel="1" x14ac:dyDescent="0.35">
      <c r="C129" s="6"/>
      <c r="D129" s="345" t="s">
        <v>154</v>
      </c>
      <c r="F129" s="356">
        <f>SUM(ThachThat!F24:F26)</f>
        <v>0</v>
      </c>
      <c r="G129" s="356">
        <f>SUM(ThachThat!G24:G26)</f>
        <v>0</v>
      </c>
      <c r="H129" s="356">
        <f>SUM(ThachThat!H24:H26)</f>
        <v>0</v>
      </c>
      <c r="I129" s="356">
        <f>SUM(ThachThat!I24:I26)</f>
        <v>0</v>
      </c>
      <c r="J129" s="356">
        <f>SUM(ThachThat!J24:J26)</f>
        <v>0</v>
      </c>
      <c r="K129" s="356">
        <f>SUM(ThachThat!K24:K26)</f>
        <v>0</v>
      </c>
      <c r="L129" s="356">
        <f>SUM(ThachThat!L24:L26)</f>
        <v>0</v>
      </c>
      <c r="M129" s="356">
        <f>SUM(ThachThat!M24:M26)</f>
        <v>0</v>
      </c>
      <c r="N129" s="356">
        <f>SUM(ThachThat!N24:N26)</f>
        <v>15.541754000000001</v>
      </c>
      <c r="O129" s="356">
        <f>SUM(ThachThat!O24:O26)</f>
        <v>31.40288</v>
      </c>
      <c r="P129" s="356">
        <f>SUM(ThachThat!P24:P26)</f>
        <v>14.930327999999999</v>
      </c>
      <c r="Q129" s="356">
        <f>SUM(ThachThat!Q24:Q26)</f>
        <v>12.763999999999999</v>
      </c>
      <c r="R129" s="351">
        <f t="shared" si="49"/>
        <v>74.638961999999992</v>
      </c>
      <c r="S129" s="351">
        <f t="shared" si="50"/>
        <v>0</v>
      </c>
      <c r="T129" s="359">
        <f t="shared" si="51"/>
        <v>74.638961999999992</v>
      </c>
      <c r="U129" s="386">
        <f t="shared" si="31"/>
        <v>1.6429221095886062E-3</v>
      </c>
      <c r="V129" s="387" t="str">
        <f t="shared" si="32"/>
        <v/>
      </c>
      <c r="W129" s="387">
        <f t="shared" si="33"/>
        <v>1.6429221095886062E-3</v>
      </c>
    </row>
    <row r="130" spans="2:23" hidden="1" outlineLevel="1" x14ac:dyDescent="0.35">
      <c r="C130" s="6"/>
      <c r="D130" s="347" t="s">
        <v>155</v>
      </c>
      <c r="E130" s="368"/>
      <c r="F130" s="357">
        <f>SUM('SocSon-1'!F34:F36)</f>
        <v>0</v>
      </c>
      <c r="G130" s="357">
        <f>SUM('SocSon-1'!G34:G36)</f>
        <v>0</v>
      </c>
      <c r="H130" s="357">
        <f>SUM('SocSon-1'!H34:H36)</f>
        <v>0</v>
      </c>
      <c r="I130" s="357">
        <f>SUM('SocSon-1'!I34:I36)</f>
        <v>0</v>
      </c>
      <c r="J130" s="357">
        <f>SUM('SocSon-1'!J34:J36)</f>
        <v>0</v>
      </c>
      <c r="K130" s="357">
        <f>SUM('SocSon-1'!K34:K36)</f>
        <v>0</v>
      </c>
      <c r="L130" s="357">
        <f>SUM('SocSon-1'!L34:L36)</f>
        <v>0</v>
      </c>
      <c r="M130" s="357">
        <f>SUM('SocSon-1'!M34:M36)</f>
        <v>0</v>
      </c>
      <c r="N130" s="357">
        <f>SUM('SocSon-1'!N34:N36)</f>
        <v>0</v>
      </c>
      <c r="O130" s="357">
        <f>SUM('SocSon-1'!O34:O36)</f>
        <v>0</v>
      </c>
      <c r="P130" s="357">
        <f>SUM('SocSon-1'!P34:P36)</f>
        <v>39.117111000000001</v>
      </c>
      <c r="Q130" s="357">
        <f>SUM('SocSon-1'!Q34:Q36)</f>
        <v>3.1021109999999998</v>
      </c>
      <c r="R130" s="352">
        <f t="shared" si="49"/>
        <v>42.219222000000002</v>
      </c>
      <c r="S130" s="352">
        <f t="shared" si="50"/>
        <v>0</v>
      </c>
      <c r="T130" s="360">
        <f t="shared" si="51"/>
        <v>42.219222000000002</v>
      </c>
      <c r="U130" s="386">
        <f t="shared" si="31"/>
        <v>9.2931213691623557E-4</v>
      </c>
      <c r="V130" s="387" t="str">
        <f t="shared" si="32"/>
        <v/>
      </c>
      <c r="W130" s="387">
        <f t="shared" si="33"/>
        <v>9.2931213691623557E-4</v>
      </c>
    </row>
    <row r="131" spans="2:23" collapsed="1" x14ac:dyDescent="0.35">
      <c r="B131" s="27"/>
      <c r="C131" s="6" t="s">
        <v>184</v>
      </c>
      <c r="D131" s="6"/>
      <c r="F131" s="57">
        <f>SUBTOTAL(9,F132:F140)</f>
        <v>271.45184742043705</v>
      </c>
      <c r="G131" s="57">
        <f t="shared" ref="G131:Q131" si="52">SUBTOTAL(9,G132:G140)</f>
        <v>236.06244064819941</v>
      </c>
      <c r="H131" s="57">
        <f t="shared" si="52"/>
        <v>264.07808577962453</v>
      </c>
      <c r="I131" s="57">
        <f t="shared" si="52"/>
        <v>279.01611697229919</v>
      </c>
      <c r="J131" s="57">
        <f t="shared" si="52"/>
        <v>284.51267342413053</v>
      </c>
      <c r="K131" s="57">
        <f t="shared" si="52"/>
        <v>298.76955939273626</v>
      </c>
      <c r="L131" s="57">
        <f t="shared" si="52"/>
        <v>277.34943912465377</v>
      </c>
      <c r="M131" s="57">
        <f t="shared" si="52"/>
        <v>233.04507727177594</v>
      </c>
      <c r="N131" s="57">
        <f t="shared" si="52"/>
        <v>237.23377993197909</v>
      </c>
      <c r="O131" s="57">
        <f t="shared" si="52"/>
        <v>220.73929432256077</v>
      </c>
      <c r="P131" s="57">
        <f t="shared" si="52"/>
        <v>188.34531136811327</v>
      </c>
      <c r="Q131" s="57">
        <f t="shared" si="52"/>
        <v>217.29283034349032</v>
      </c>
      <c r="R131" s="62">
        <f>SUMIFS($F131:$Q131,$F$7:$Q$7,"A")</f>
        <v>3007.8964560000004</v>
      </c>
      <c r="S131" s="62">
        <f>SUMIFS($F131:$Q131,$F$7:$Q$7,"B")</f>
        <v>0</v>
      </c>
      <c r="T131" s="57">
        <f>SUM(R131:S131)</f>
        <v>3007.8964560000004</v>
      </c>
      <c r="U131" s="386">
        <f t="shared" si="31"/>
        <v>6.6208578716778155E-2</v>
      </c>
      <c r="V131" s="387" t="str">
        <f t="shared" si="32"/>
        <v/>
      </c>
      <c r="W131" s="387">
        <f t="shared" si="33"/>
        <v>6.6208578716778155E-2</v>
      </c>
    </row>
    <row r="132" spans="2:23" hidden="1" outlineLevel="1" x14ac:dyDescent="0.35">
      <c r="B132" s="27"/>
      <c r="D132" s="341" t="s">
        <v>147</v>
      </c>
      <c r="E132" s="367"/>
      <c r="F132" s="355">
        <f>HaiDuong!F69</f>
        <v>107.794073</v>
      </c>
      <c r="G132" s="355">
        <f>HaiDuong!G69</f>
        <v>85.134096999999997</v>
      </c>
      <c r="H132" s="355">
        <f>HaiDuong!H69</f>
        <v>100.21069</v>
      </c>
      <c r="I132" s="355">
        <f>HaiDuong!I69</f>
        <v>93.381508999999994</v>
      </c>
      <c r="J132" s="355">
        <f>HaiDuong!J69</f>
        <v>108.096568</v>
      </c>
      <c r="K132" s="355">
        <f>HaiDuong!K69</f>
        <v>123.98365200000001</v>
      </c>
      <c r="L132" s="355">
        <f>HaiDuong!L69</f>
        <v>117.41875</v>
      </c>
      <c r="M132" s="355">
        <f>HaiDuong!M69</f>
        <v>78.407629999999997</v>
      </c>
      <c r="N132" s="355">
        <f>HaiDuong!N69</f>
        <v>65.057236000000003</v>
      </c>
      <c r="O132" s="355">
        <f>HaiDuong!O69</f>
        <v>70.645698999999993</v>
      </c>
      <c r="P132" s="355">
        <f>HaiDuong!P69</f>
        <v>54.744109999999999</v>
      </c>
      <c r="Q132" s="355">
        <f>HaiDuong!Q69</f>
        <v>74.814259000000007</v>
      </c>
      <c r="R132" s="342">
        <f t="shared" ref="R132:R151" si="53">SUMIFS($F132:$Q132,$F$7:$Q$7,"A")</f>
        <v>1079.6882730000002</v>
      </c>
      <c r="S132" s="342">
        <f t="shared" ref="S132:S164" si="54">SUMIFS($F132:$Q132,$F$7:$Q$7,"B")</f>
        <v>0</v>
      </c>
      <c r="T132" s="358">
        <f t="shared" ref="T132:T150" si="55">SUM(R132:S132)</f>
        <v>1079.6882730000002</v>
      </c>
      <c r="U132" s="386">
        <f t="shared" si="31"/>
        <v>2.3765653857501925E-2</v>
      </c>
      <c r="V132" s="387" t="str">
        <f t="shared" si="32"/>
        <v/>
      </c>
      <c r="W132" s="387">
        <f t="shared" si="33"/>
        <v>2.3765653857501925E-2</v>
      </c>
    </row>
    <row r="133" spans="2:23" hidden="1" outlineLevel="1" x14ac:dyDescent="0.35">
      <c r="B133" s="27"/>
      <c r="D133" s="345" t="s">
        <v>150</v>
      </c>
      <c r="F133" s="85">
        <f>CaMau!F39</f>
        <v>43.60133842043706</v>
      </c>
      <c r="G133" s="85">
        <f>CaMau!G39</f>
        <v>40.172090648199443</v>
      </c>
      <c r="H133" s="85">
        <f>CaMau!H39</f>
        <v>40.056699779624502</v>
      </c>
      <c r="I133" s="85">
        <f>CaMau!I39</f>
        <v>47.423886972299165</v>
      </c>
      <c r="J133" s="85">
        <f>CaMau!J39</f>
        <v>35.223744424130501</v>
      </c>
      <c r="K133" s="85">
        <f>CaMau!K39</f>
        <v>39.252730392736225</v>
      </c>
      <c r="L133" s="85">
        <f>CaMau!L39</f>
        <v>35.016929124653743</v>
      </c>
      <c r="M133" s="85">
        <f>CaMau!M39</f>
        <v>37.277475271775934</v>
      </c>
      <c r="N133" s="85">
        <f>CaMau!N39</f>
        <v>43.818601931979067</v>
      </c>
      <c r="O133" s="85">
        <f>CaMau!O39</f>
        <v>34.016310322560784</v>
      </c>
      <c r="P133" s="85">
        <f>CaMau!P39</f>
        <v>34.076323368113265</v>
      </c>
      <c r="Q133" s="85">
        <f>CaMau!Q39</f>
        <v>40.8204953434903</v>
      </c>
      <c r="R133" s="351">
        <f t="shared" si="53"/>
        <v>470.75662599999998</v>
      </c>
      <c r="S133" s="351">
        <f t="shared" si="54"/>
        <v>0</v>
      </c>
      <c r="T133" s="359">
        <f t="shared" si="55"/>
        <v>470.75662599999998</v>
      </c>
      <c r="U133" s="386">
        <f t="shared" si="31"/>
        <v>1.0362101084561365E-2</v>
      </c>
      <c r="V133" s="387" t="str">
        <f t="shared" si="32"/>
        <v/>
      </c>
      <c r="W133" s="387">
        <f t="shared" si="33"/>
        <v>1.0362101084561365E-2</v>
      </c>
    </row>
    <row r="134" spans="2:23" hidden="1" outlineLevel="1" x14ac:dyDescent="0.35">
      <c r="B134" s="27"/>
      <c r="D134" s="345" t="s">
        <v>146</v>
      </c>
      <c r="F134" s="356">
        <f>ThanhHoa!F38</f>
        <v>44.706397000000003</v>
      </c>
      <c r="G134" s="356">
        <f>ThanhHoa!G38</f>
        <v>47.038601999999997</v>
      </c>
      <c r="H134" s="356">
        <f>ThanhHoa!H38</f>
        <v>52.666004000000001</v>
      </c>
      <c r="I134" s="356">
        <f>ThanhHoa!I38</f>
        <v>59.304651</v>
      </c>
      <c r="J134" s="356">
        <f>ThanhHoa!J38</f>
        <v>68.375146999999998</v>
      </c>
      <c r="K134" s="356">
        <f>ThanhHoa!K38</f>
        <v>64.192198000000005</v>
      </c>
      <c r="L134" s="356">
        <f>ThanhHoa!L38</f>
        <v>67.200168000000005</v>
      </c>
      <c r="M134" s="356">
        <f>ThanhHoa!M38</f>
        <v>54.267249</v>
      </c>
      <c r="N134" s="356">
        <f>ThanhHoa!N38</f>
        <v>69.980061000000006</v>
      </c>
      <c r="O134" s="356">
        <f>ThanhHoa!O38</f>
        <v>58.741334000000002</v>
      </c>
      <c r="P134" s="356">
        <f>ThanhHoa!P38</f>
        <v>48.469529000000001</v>
      </c>
      <c r="Q134" s="356">
        <f>ThanhHoa!Q38</f>
        <v>49.922794000000003</v>
      </c>
      <c r="R134" s="351">
        <f t="shared" si="53"/>
        <v>684.86413400000004</v>
      </c>
      <c r="S134" s="351">
        <f t="shared" si="54"/>
        <v>0</v>
      </c>
      <c r="T134" s="359">
        <f t="shared" si="55"/>
        <v>684.86413400000004</v>
      </c>
      <c r="U134" s="386">
        <f t="shared" si="31"/>
        <v>1.5074947422404589E-2</v>
      </c>
      <c r="V134" s="387" t="str">
        <f t="shared" si="32"/>
        <v/>
      </c>
      <c r="W134" s="387">
        <f t="shared" si="33"/>
        <v>1.5074947422404589E-2</v>
      </c>
    </row>
    <row r="135" spans="2:23" hidden="1" outlineLevel="1" x14ac:dyDescent="0.35">
      <c r="B135" s="27"/>
      <c r="D135" s="345" t="s">
        <v>148</v>
      </c>
      <c r="F135" s="356">
        <f>ThaiNguyen!F39</f>
        <v>75.350038999999995</v>
      </c>
      <c r="G135" s="356">
        <f>ThaiNguyen!G39</f>
        <v>63.717650999999996</v>
      </c>
      <c r="H135" s="356">
        <f>ThaiNguyen!H39</f>
        <v>71.144692000000006</v>
      </c>
      <c r="I135" s="356">
        <f>ThaiNguyen!I39</f>
        <v>78.90607</v>
      </c>
      <c r="J135" s="356">
        <f>ThaiNguyen!J39</f>
        <v>72.817214000000007</v>
      </c>
      <c r="K135" s="356">
        <f>ThaiNguyen!K39</f>
        <v>71.340979000000004</v>
      </c>
      <c r="L135" s="356">
        <f>ThaiNguyen!L39</f>
        <v>57.713591999999998</v>
      </c>
      <c r="M135" s="356">
        <f>ThaiNguyen!M39</f>
        <v>63.092722999999999</v>
      </c>
      <c r="N135" s="356">
        <f>ThaiNguyen!N39</f>
        <v>58.377881000000002</v>
      </c>
      <c r="O135" s="356">
        <f>ThaiNguyen!O39</f>
        <v>57.335951000000001</v>
      </c>
      <c r="P135" s="356">
        <f>ThaiNguyen!P39</f>
        <v>51.055349</v>
      </c>
      <c r="Q135" s="356">
        <f>ThaiNguyen!Q39</f>
        <v>51.735281999999998</v>
      </c>
      <c r="R135" s="351">
        <f t="shared" si="53"/>
        <v>772.58742299999994</v>
      </c>
      <c r="S135" s="351">
        <f t="shared" si="54"/>
        <v>0</v>
      </c>
      <c r="T135" s="359">
        <f t="shared" si="55"/>
        <v>772.58742299999994</v>
      </c>
      <c r="U135" s="386">
        <f t="shared" si="31"/>
        <v>1.7005876352310271E-2</v>
      </c>
      <c r="V135" s="387" t="str">
        <f t="shared" si="32"/>
        <v/>
      </c>
      <c r="W135" s="387">
        <f t="shared" si="33"/>
        <v>1.7005876352310271E-2</v>
      </c>
    </row>
    <row r="136" spans="2:23" hidden="1" outlineLevel="1" x14ac:dyDescent="0.35">
      <c r="B136" s="27"/>
      <c r="D136" s="345" t="s">
        <v>327</v>
      </c>
      <c r="F136" s="356">
        <f>0</f>
        <v>0</v>
      </c>
      <c r="G136" s="356">
        <f>0</f>
        <v>0</v>
      </c>
      <c r="H136" s="356">
        <f>0</f>
        <v>0</v>
      </c>
      <c r="I136" s="356">
        <f>0</f>
        <v>0</v>
      </c>
      <c r="J136" s="356">
        <f>0</f>
        <v>0</v>
      </c>
      <c r="K136" s="356">
        <f>0</f>
        <v>0</v>
      </c>
      <c r="L136" s="356">
        <f>0</f>
        <v>0</v>
      </c>
      <c r="M136" s="356">
        <f>0</f>
        <v>0</v>
      </c>
      <c r="N136" s="356">
        <f>0</f>
        <v>0</v>
      </c>
      <c r="O136" s="356">
        <f>0</f>
        <v>0</v>
      </c>
      <c r="P136" s="356">
        <f>0</f>
        <v>0</v>
      </c>
      <c r="Q136" s="356">
        <f>0</f>
        <v>0</v>
      </c>
      <c r="R136" s="351">
        <f t="shared" si="53"/>
        <v>0</v>
      </c>
      <c r="S136" s="351">
        <f t="shared" si="54"/>
        <v>0</v>
      </c>
      <c r="T136" s="359">
        <f t="shared" si="55"/>
        <v>0</v>
      </c>
      <c r="U136" s="386">
        <f t="shared" si="31"/>
        <v>0</v>
      </c>
      <c r="V136" s="387" t="str">
        <f t="shared" si="32"/>
        <v/>
      </c>
      <c r="W136" s="387">
        <f t="shared" si="33"/>
        <v>0</v>
      </c>
    </row>
    <row r="137" spans="2:23" hidden="1" outlineLevel="1" x14ac:dyDescent="0.35">
      <c r="B137" s="27"/>
      <c r="D137" s="345" t="s">
        <v>151</v>
      </c>
      <c r="F137" s="356">
        <f>0</f>
        <v>0</v>
      </c>
      <c r="G137" s="356">
        <f>0</f>
        <v>0</v>
      </c>
      <c r="H137" s="356">
        <f>0</f>
        <v>0</v>
      </c>
      <c r="I137" s="356">
        <f>0</f>
        <v>0</v>
      </c>
      <c r="J137" s="356">
        <f>0</f>
        <v>0</v>
      </c>
      <c r="K137" s="356">
        <f>0</f>
        <v>0</v>
      </c>
      <c r="L137" s="356">
        <f>0</f>
        <v>0</v>
      </c>
      <c r="M137" s="356">
        <f>0</f>
        <v>0</v>
      </c>
      <c r="N137" s="356">
        <f>0</f>
        <v>0</v>
      </c>
      <c r="O137" s="356">
        <f>0</f>
        <v>0</v>
      </c>
      <c r="P137" s="356">
        <f>0</f>
        <v>0</v>
      </c>
      <c r="Q137" s="356">
        <f>0</f>
        <v>0</v>
      </c>
      <c r="R137" s="351">
        <f t="shared" si="53"/>
        <v>0</v>
      </c>
      <c r="S137" s="351">
        <f t="shared" si="54"/>
        <v>0</v>
      </c>
      <c r="T137" s="359">
        <f t="shared" si="55"/>
        <v>0</v>
      </c>
      <c r="U137" s="386">
        <f t="shared" si="31"/>
        <v>0</v>
      </c>
      <c r="V137" s="387" t="str">
        <f t="shared" si="32"/>
        <v/>
      </c>
      <c r="W137" s="387">
        <f t="shared" si="33"/>
        <v>0</v>
      </c>
    </row>
    <row r="138" spans="2:23" hidden="1" outlineLevel="1" x14ac:dyDescent="0.35">
      <c r="B138" s="27"/>
      <c r="D138" s="345" t="s">
        <v>153</v>
      </c>
      <c r="F138" s="356">
        <f>0</f>
        <v>0</v>
      </c>
      <c r="G138" s="356">
        <f>0</f>
        <v>0</v>
      </c>
      <c r="H138" s="356">
        <f>0</f>
        <v>0</v>
      </c>
      <c r="I138" s="356">
        <f>0</f>
        <v>0</v>
      </c>
      <c r="J138" s="356">
        <f>0</f>
        <v>0</v>
      </c>
      <c r="K138" s="356">
        <f>0</f>
        <v>0</v>
      </c>
      <c r="L138" s="356">
        <f>0</f>
        <v>0</v>
      </c>
      <c r="M138" s="356">
        <f>0</f>
        <v>0</v>
      </c>
      <c r="N138" s="356">
        <f>0</f>
        <v>0</v>
      </c>
      <c r="O138" s="356">
        <f>0</f>
        <v>0</v>
      </c>
      <c r="P138" s="356">
        <f>0</f>
        <v>0</v>
      </c>
      <c r="Q138" s="356">
        <f>0</f>
        <v>0</v>
      </c>
      <c r="R138" s="351">
        <f t="shared" si="53"/>
        <v>0</v>
      </c>
      <c r="S138" s="351">
        <f t="shared" si="54"/>
        <v>0</v>
      </c>
      <c r="T138" s="359">
        <f t="shared" si="55"/>
        <v>0</v>
      </c>
      <c r="U138" s="386">
        <f t="shared" si="31"/>
        <v>0</v>
      </c>
      <c r="V138" s="387" t="str">
        <f t="shared" si="32"/>
        <v/>
      </c>
      <c r="W138" s="387">
        <f t="shared" si="33"/>
        <v>0</v>
      </c>
    </row>
    <row r="139" spans="2:23" hidden="1" outlineLevel="1" x14ac:dyDescent="0.35">
      <c r="B139" s="27"/>
      <c r="D139" s="345" t="s">
        <v>154</v>
      </c>
      <c r="F139" s="356">
        <f>0</f>
        <v>0</v>
      </c>
      <c r="G139" s="356">
        <f>0</f>
        <v>0</v>
      </c>
      <c r="H139" s="356">
        <f>0</f>
        <v>0</v>
      </c>
      <c r="I139" s="356">
        <f>0</f>
        <v>0</v>
      </c>
      <c r="J139" s="356">
        <f>0</f>
        <v>0</v>
      </c>
      <c r="K139" s="356">
        <f>0</f>
        <v>0</v>
      </c>
      <c r="L139" s="356">
        <f>0</f>
        <v>0</v>
      </c>
      <c r="M139" s="356">
        <f>0</f>
        <v>0</v>
      </c>
      <c r="N139" s="356">
        <f>0</f>
        <v>0</v>
      </c>
      <c r="O139" s="356">
        <f>0</f>
        <v>0</v>
      </c>
      <c r="P139" s="356">
        <f>0</f>
        <v>0</v>
      </c>
      <c r="Q139" s="356">
        <f>0</f>
        <v>0</v>
      </c>
      <c r="R139" s="351">
        <f t="shared" si="53"/>
        <v>0</v>
      </c>
      <c r="S139" s="351">
        <f t="shared" si="54"/>
        <v>0</v>
      </c>
      <c r="T139" s="359">
        <f t="shared" si="55"/>
        <v>0</v>
      </c>
      <c r="U139" s="386">
        <f t="shared" si="31"/>
        <v>0</v>
      </c>
      <c r="V139" s="387" t="str">
        <f t="shared" si="32"/>
        <v/>
      </c>
      <c r="W139" s="387">
        <f t="shared" si="33"/>
        <v>0</v>
      </c>
    </row>
    <row r="140" spans="2:23" hidden="1" outlineLevel="1" x14ac:dyDescent="0.35">
      <c r="B140" s="27"/>
      <c r="D140" s="347" t="s">
        <v>155</v>
      </c>
      <c r="E140" s="368"/>
      <c r="F140" s="357">
        <f>0</f>
        <v>0</v>
      </c>
      <c r="G140" s="357">
        <f>0</f>
        <v>0</v>
      </c>
      <c r="H140" s="357">
        <f>0</f>
        <v>0</v>
      </c>
      <c r="I140" s="357">
        <f>0</f>
        <v>0</v>
      </c>
      <c r="J140" s="357">
        <f>0</f>
        <v>0</v>
      </c>
      <c r="K140" s="357">
        <f>0</f>
        <v>0</v>
      </c>
      <c r="L140" s="357">
        <f>0</f>
        <v>0</v>
      </c>
      <c r="M140" s="357">
        <f>0</f>
        <v>0</v>
      </c>
      <c r="N140" s="357">
        <f>0</f>
        <v>0</v>
      </c>
      <c r="O140" s="357">
        <f>0</f>
        <v>0</v>
      </c>
      <c r="P140" s="357">
        <f>0</f>
        <v>0</v>
      </c>
      <c r="Q140" s="357">
        <f>0</f>
        <v>0</v>
      </c>
      <c r="R140" s="352">
        <f t="shared" si="53"/>
        <v>0</v>
      </c>
      <c r="S140" s="352">
        <f t="shared" si="54"/>
        <v>0</v>
      </c>
      <c r="T140" s="360">
        <f t="shared" si="55"/>
        <v>0</v>
      </c>
      <c r="U140" s="386">
        <f t="shared" si="31"/>
        <v>0</v>
      </c>
      <c r="V140" s="387" t="str">
        <f t="shared" si="32"/>
        <v/>
      </c>
      <c r="W140" s="387">
        <f t="shared" si="33"/>
        <v>0</v>
      </c>
    </row>
    <row r="141" spans="2:23" collapsed="1" x14ac:dyDescent="0.35">
      <c r="B141" s="27"/>
      <c r="C141" s="6" t="s">
        <v>188</v>
      </c>
      <c r="D141" s="6"/>
      <c r="E141" s="338"/>
      <c r="F141" s="62">
        <f>SUBTOTAL(9,F142:F150)</f>
        <v>90.095687999999996</v>
      </c>
      <c r="G141" s="62">
        <f t="shared" ref="G141:Q141" si="56">SUBTOTAL(9,G142:G150)</f>
        <v>96.524725000000004</v>
      </c>
      <c r="H141" s="62">
        <f t="shared" si="56"/>
        <v>12.534478999999999</v>
      </c>
      <c r="I141" s="62">
        <f t="shared" si="56"/>
        <v>110.278481</v>
      </c>
      <c r="J141" s="62">
        <f t="shared" si="56"/>
        <v>14.750978999999999</v>
      </c>
      <c r="K141" s="62">
        <f t="shared" si="56"/>
        <v>136.763735</v>
      </c>
      <c r="L141" s="62">
        <f t="shared" si="56"/>
        <v>77.899500000000003</v>
      </c>
      <c r="M141" s="62">
        <f t="shared" si="56"/>
        <v>74.810403000000008</v>
      </c>
      <c r="N141" s="62">
        <f t="shared" si="56"/>
        <v>143.16876100000002</v>
      </c>
      <c r="O141" s="62">
        <f t="shared" si="56"/>
        <v>40.734430000000003</v>
      </c>
      <c r="P141" s="62">
        <f t="shared" si="56"/>
        <v>18.43712</v>
      </c>
      <c r="Q141" s="62">
        <f t="shared" si="56"/>
        <v>12.1463</v>
      </c>
      <c r="R141" s="62">
        <f t="shared" si="53"/>
        <v>828.14460099999997</v>
      </c>
      <c r="S141" s="62">
        <f t="shared" si="54"/>
        <v>0</v>
      </c>
      <c r="T141" s="57">
        <f t="shared" si="55"/>
        <v>828.14460099999997</v>
      </c>
      <c r="U141" s="386">
        <f t="shared" si="31"/>
        <v>1.8228778086695988E-2</v>
      </c>
      <c r="V141" s="387" t="str">
        <f t="shared" si="32"/>
        <v/>
      </c>
      <c r="W141" s="387">
        <f t="shared" si="33"/>
        <v>1.8228778086695988E-2</v>
      </c>
    </row>
    <row r="142" spans="2:23" hidden="1" outlineLevel="1" x14ac:dyDescent="0.35">
      <c r="B142" s="27"/>
      <c r="D142" s="341" t="s">
        <v>147</v>
      </c>
      <c r="E142" s="367"/>
      <c r="F142" s="342">
        <f>HaiDuong!F70</f>
        <v>1.1718999999999999</v>
      </c>
      <c r="G142" s="342">
        <f>HaiDuong!G70</f>
        <v>0.44350000000000001</v>
      </c>
      <c r="H142" s="342">
        <f>HaiDuong!H70</f>
        <v>1.0435000000000001</v>
      </c>
      <c r="I142" s="342">
        <f>HaiDuong!I70</f>
        <v>4.2149739999999998</v>
      </c>
      <c r="J142" s="342">
        <f>HaiDuong!J70</f>
        <v>0.39350000000000002</v>
      </c>
      <c r="K142" s="342">
        <f>HaiDuong!K70</f>
        <v>2.1934999999999998</v>
      </c>
      <c r="L142" s="342">
        <f>HaiDuong!L70</f>
        <v>2.8449970000000002</v>
      </c>
      <c r="M142" s="342">
        <f>HaiDuong!M70</f>
        <v>3.2999290000000001</v>
      </c>
      <c r="N142" s="342">
        <f>HaiDuong!N70</f>
        <v>5.1180199999999996</v>
      </c>
      <c r="O142" s="342">
        <f>HaiDuong!O70</f>
        <v>2.3999290000000002</v>
      </c>
      <c r="P142" s="342">
        <f>HaiDuong!P70</f>
        <v>2.7499289999999998</v>
      </c>
      <c r="Q142" s="342">
        <f>HaiDuong!Q70</f>
        <v>3.3199260000000002</v>
      </c>
      <c r="R142" s="342">
        <f t="shared" si="53"/>
        <v>29.193603999999997</v>
      </c>
      <c r="S142" s="342">
        <f t="shared" si="54"/>
        <v>0</v>
      </c>
      <c r="T142" s="358">
        <f t="shared" si="55"/>
        <v>29.193603999999997</v>
      </c>
      <c r="U142" s="386">
        <f t="shared" ref="U142:U205" si="57">IFERROR(R142/R$45,"")</f>
        <v>6.4259759494209436E-4</v>
      </c>
      <c r="V142" s="387" t="str">
        <f t="shared" ref="V142:V205" si="58">IFERROR(S142/S$45,"")</f>
        <v/>
      </c>
      <c r="W142" s="387">
        <f t="shared" ref="W142:W205" si="59">IFERROR(T142/T$45,"")</f>
        <v>6.4259759494209436E-4</v>
      </c>
    </row>
    <row r="143" spans="2:23" hidden="1" outlineLevel="1" x14ac:dyDescent="0.35">
      <c r="B143" s="27"/>
      <c r="D143" s="345" t="s">
        <v>150</v>
      </c>
      <c r="F143" s="351">
        <f>CaMau!F40</f>
        <v>50.762900000000002</v>
      </c>
      <c r="G143" s="351">
        <f>CaMau!G40</f>
        <v>11.6332</v>
      </c>
      <c r="H143" s="351">
        <f>CaMau!H40</f>
        <v>0.78669999999999995</v>
      </c>
      <c r="I143" s="351">
        <f>CaMau!I40</f>
        <v>67.058228</v>
      </c>
      <c r="J143" s="351">
        <f>CaMau!J40</f>
        <v>8.3632000000000009</v>
      </c>
      <c r="K143" s="351">
        <f>CaMau!K40</f>
        <v>1.7133339999999999</v>
      </c>
      <c r="L143" s="351">
        <f>CaMau!L40</f>
        <v>4.7721999999999998</v>
      </c>
      <c r="M143" s="351">
        <f>CaMau!M40</f>
        <v>29.473866000000001</v>
      </c>
      <c r="N143" s="351">
        <f>CaMau!N40</f>
        <v>2.327242</v>
      </c>
      <c r="O143" s="351">
        <f>CaMau!O40</f>
        <v>1.266691</v>
      </c>
      <c r="P143" s="351">
        <f>CaMau!P40</f>
        <v>0.69320000000000004</v>
      </c>
      <c r="Q143" s="351">
        <f>CaMau!Q40</f>
        <v>5.5505149999999999</v>
      </c>
      <c r="R143" s="351">
        <f t="shared" si="53"/>
        <v>184.401276</v>
      </c>
      <c r="S143" s="351">
        <f t="shared" si="54"/>
        <v>0</v>
      </c>
      <c r="T143" s="359">
        <f t="shared" si="55"/>
        <v>184.401276</v>
      </c>
      <c r="U143" s="386">
        <f t="shared" si="57"/>
        <v>4.0589649863666489E-3</v>
      </c>
      <c r="V143" s="387" t="str">
        <f t="shared" si="58"/>
        <v/>
      </c>
      <c r="W143" s="387">
        <f t="shared" si="59"/>
        <v>4.0589649863666489E-3</v>
      </c>
    </row>
    <row r="144" spans="2:23" hidden="1" outlineLevel="1" x14ac:dyDescent="0.35">
      <c r="B144" s="27"/>
      <c r="D144" s="345" t="s">
        <v>146</v>
      </c>
      <c r="F144" s="351">
        <f>ThanhHoa!F39</f>
        <v>3.1111689999999999</v>
      </c>
      <c r="G144" s="351">
        <f>ThanhHoa!G39</f>
        <v>0</v>
      </c>
      <c r="H144" s="351">
        <f>ThanhHoa!H39</f>
        <v>8.0351999999999997</v>
      </c>
      <c r="I144" s="351">
        <f>ThanhHoa!I39</f>
        <v>6.29</v>
      </c>
      <c r="J144" s="351">
        <f>ThanhHoa!J39</f>
        <v>2.742</v>
      </c>
      <c r="K144" s="351">
        <f>ThanhHoa!K39</f>
        <v>87.044006999999993</v>
      </c>
      <c r="L144" s="351">
        <f>ThanhHoa!L39</f>
        <v>66.225623999999996</v>
      </c>
      <c r="M144" s="351">
        <f>ThanhHoa!M39</f>
        <v>10.788</v>
      </c>
      <c r="N144" s="351">
        <f>ThanhHoa!N39</f>
        <v>125.42306000000001</v>
      </c>
      <c r="O144" s="351">
        <f>ThanhHoa!O39</f>
        <v>5.359</v>
      </c>
      <c r="P144" s="351">
        <f>ThanhHoa!P39</f>
        <v>3.6326999999999998</v>
      </c>
      <c r="Q144" s="351">
        <f>ThanhHoa!Q39</f>
        <v>0</v>
      </c>
      <c r="R144" s="351">
        <f t="shared" si="53"/>
        <v>318.65075999999999</v>
      </c>
      <c r="S144" s="351">
        <f t="shared" si="54"/>
        <v>0</v>
      </c>
      <c r="T144" s="359">
        <f t="shared" si="55"/>
        <v>318.65075999999999</v>
      </c>
      <c r="U144" s="386">
        <f t="shared" si="57"/>
        <v>7.014009370082246E-3</v>
      </c>
      <c r="V144" s="387" t="str">
        <f t="shared" si="58"/>
        <v/>
      </c>
      <c r="W144" s="387">
        <f t="shared" si="59"/>
        <v>7.014009370082246E-3</v>
      </c>
    </row>
    <row r="145" spans="2:23" hidden="1" outlineLevel="1" x14ac:dyDescent="0.35">
      <c r="B145" s="27"/>
      <c r="D145" s="345" t="s">
        <v>148</v>
      </c>
      <c r="F145" s="351">
        <f>ThaiNguyen!F40</f>
        <v>7.2377190000000002</v>
      </c>
      <c r="G145" s="351">
        <f>ThaiNguyen!G40</f>
        <v>2.919079</v>
      </c>
      <c r="H145" s="351">
        <f>ThaiNguyen!H40</f>
        <v>2.669079</v>
      </c>
      <c r="I145" s="351">
        <f>ThaiNguyen!I40</f>
        <v>2.7152790000000002</v>
      </c>
      <c r="J145" s="351">
        <f>ThaiNguyen!J40</f>
        <v>3.2522790000000001</v>
      </c>
      <c r="K145" s="351">
        <f>ThaiNguyen!K40</f>
        <v>17.894597999999998</v>
      </c>
      <c r="L145" s="351">
        <f>ThaiNguyen!L40</f>
        <v>3.2790789999999999</v>
      </c>
      <c r="M145" s="351">
        <f>ThaiNguyen!M40</f>
        <v>11.248608000000001</v>
      </c>
      <c r="N145" s="351">
        <f>ThaiNguyen!N40</f>
        <v>7.9254389999999999</v>
      </c>
      <c r="O145" s="351">
        <f>ThaiNguyen!O40</f>
        <v>25.937809999999999</v>
      </c>
      <c r="P145" s="351">
        <f>ThaiNguyen!P40</f>
        <v>6.2890170000000003</v>
      </c>
      <c r="Q145" s="351">
        <f>ThaiNguyen!Q40</f>
        <v>3.2758590000000001</v>
      </c>
      <c r="R145" s="351">
        <f t="shared" si="53"/>
        <v>94.643844999999999</v>
      </c>
      <c r="S145" s="351">
        <f t="shared" si="54"/>
        <v>0</v>
      </c>
      <c r="T145" s="359">
        <f t="shared" si="55"/>
        <v>94.643844999999999</v>
      </c>
      <c r="U145" s="386">
        <f t="shared" si="57"/>
        <v>2.0832613600250374E-3</v>
      </c>
      <c r="V145" s="387" t="str">
        <f t="shared" si="58"/>
        <v/>
      </c>
      <c r="W145" s="387">
        <f t="shared" si="59"/>
        <v>2.0832613600250374E-3</v>
      </c>
    </row>
    <row r="146" spans="2:23" hidden="1" outlineLevel="1" x14ac:dyDescent="0.35">
      <c r="B146" s="27"/>
      <c r="D146" s="345" t="s">
        <v>327</v>
      </c>
      <c r="F146" s="351">
        <f>ThaiBinh!F32</f>
        <v>0</v>
      </c>
      <c r="G146" s="351">
        <f>ThaiBinh!G32</f>
        <v>0</v>
      </c>
      <c r="H146" s="351">
        <f>ThaiBinh!H32</f>
        <v>0</v>
      </c>
      <c r="I146" s="351">
        <f>ThaiBinh!I32</f>
        <v>0</v>
      </c>
      <c r="J146" s="351">
        <f>ThaiBinh!J32</f>
        <v>0</v>
      </c>
      <c r="K146" s="351">
        <f>ThaiBinh!K32</f>
        <v>18.918296000000002</v>
      </c>
      <c r="L146" s="351">
        <f>ThaiBinh!L32</f>
        <v>0.77759999999999996</v>
      </c>
      <c r="M146" s="351">
        <f>ThaiBinh!M32</f>
        <v>0</v>
      </c>
      <c r="N146" s="351">
        <f>ThaiBinh!N32</f>
        <v>2.375</v>
      </c>
      <c r="O146" s="351">
        <f>ThaiBinh!O32</f>
        <v>0</v>
      </c>
      <c r="P146" s="351">
        <f>ThaiBinh!P32</f>
        <v>0</v>
      </c>
      <c r="Q146" s="351">
        <f>ThaiBinh!Q32</f>
        <v>0</v>
      </c>
      <c r="R146" s="351">
        <f t="shared" si="53"/>
        <v>22.070896000000001</v>
      </c>
      <c r="S146" s="351">
        <f t="shared" si="54"/>
        <v>0</v>
      </c>
      <c r="T146" s="359">
        <f t="shared" si="55"/>
        <v>22.070896000000001</v>
      </c>
      <c r="U146" s="386">
        <f t="shared" si="57"/>
        <v>4.8581547820601706E-4</v>
      </c>
      <c r="V146" s="387" t="str">
        <f t="shared" si="58"/>
        <v/>
      </c>
      <c r="W146" s="387">
        <f t="shared" si="59"/>
        <v>4.8581547820601706E-4</v>
      </c>
    </row>
    <row r="147" spans="2:23" hidden="1" outlineLevel="1" x14ac:dyDescent="0.35">
      <c r="B147" s="27"/>
      <c r="D147" s="345" t="s">
        <v>151</v>
      </c>
      <c r="F147" s="351">
        <f>YetKieu!F39</f>
        <v>27.812000000000001</v>
      </c>
      <c r="G147" s="351">
        <f>YetKieu!G39</f>
        <v>61.576146000000001</v>
      </c>
      <c r="H147" s="351">
        <f>YetKieu!H39</f>
        <v>0</v>
      </c>
      <c r="I147" s="351">
        <f>YetKieu!I39</f>
        <v>0</v>
      </c>
      <c r="J147" s="351">
        <f>YetKieu!J39</f>
        <v>0</v>
      </c>
      <c r="K147" s="351">
        <f>YetKieu!K39</f>
        <v>9</v>
      </c>
      <c r="L147" s="351">
        <f>YetKieu!L39</f>
        <v>0</v>
      </c>
      <c r="M147" s="351">
        <f>YetKieu!M39</f>
        <v>20</v>
      </c>
      <c r="N147" s="351">
        <f>YetKieu!N39</f>
        <v>0</v>
      </c>
      <c r="O147" s="351">
        <f>YetKieu!O39</f>
        <v>0</v>
      </c>
      <c r="P147" s="351">
        <f>YetKieu!P39</f>
        <v>0</v>
      </c>
      <c r="Q147" s="351">
        <f>YetKieu!Q39</f>
        <v>0</v>
      </c>
      <c r="R147" s="351">
        <f t="shared" si="53"/>
        <v>118.38814600000001</v>
      </c>
      <c r="S147" s="351">
        <f t="shared" si="54"/>
        <v>0</v>
      </c>
      <c r="T147" s="359">
        <f t="shared" si="55"/>
        <v>118.38814600000001</v>
      </c>
      <c r="U147" s="386">
        <f t="shared" si="57"/>
        <v>2.6059111403050317E-3</v>
      </c>
      <c r="V147" s="387" t="str">
        <f t="shared" si="58"/>
        <v/>
      </c>
      <c r="W147" s="387">
        <f t="shared" si="59"/>
        <v>2.6059111403050317E-3</v>
      </c>
    </row>
    <row r="148" spans="2:23" hidden="1" outlineLevel="1" x14ac:dyDescent="0.35">
      <c r="B148" s="27"/>
      <c r="D148" s="345" t="s">
        <v>153</v>
      </c>
      <c r="F148" s="351">
        <f>NhaTrang!F33</f>
        <v>0</v>
      </c>
      <c r="G148" s="351">
        <f>NhaTrang!G33</f>
        <v>19.9528</v>
      </c>
      <c r="H148" s="351">
        <f>NhaTrang!H33</f>
        <v>0</v>
      </c>
      <c r="I148" s="351">
        <f>NhaTrang!I33</f>
        <v>30</v>
      </c>
      <c r="J148" s="351">
        <f>NhaTrang!J33</f>
        <v>0</v>
      </c>
      <c r="K148" s="351">
        <f>NhaTrang!K33</f>
        <v>0</v>
      </c>
      <c r="L148" s="351">
        <f>NhaTrang!L33</f>
        <v>0</v>
      </c>
      <c r="M148" s="351">
        <f>NhaTrang!M33</f>
        <v>0</v>
      </c>
      <c r="N148" s="351">
        <f>NhaTrang!N33</f>
        <v>0</v>
      </c>
      <c r="O148" s="351">
        <f>NhaTrang!O33</f>
        <v>5.7709999999999999</v>
      </c>
      <c r="P148" s="351">
        <f>NhaTrang!P33</f>
        <v>5.0722740000000002</v>
      </c>
      <c r="Q148" s="351">
        <f>NhaTrang!Q33</f>
        <v>0</v>
      </c>
      <c r="R148" s="351">
        <f t="shared" si="53"/>
        <v>60.796073999999997</v>
      </c>
      <c r="S148" s="351">
        <f t="shared" si="54"/>
        <v>0</v>
      </c>
      <c r="T148" s="359">
        <f t="shared" si="55"/>
        <v>60.796073999999997</v>
      </c>
      <c r="U148" s="386">
        <f t="shared" si="57"/>
        <v>1.338218156768914E-3</v>
      </c>
      <c r="V148" s="387" t="str">
        <f t="shared" si="58"/>
        <v/>
      </c>
      <c r="W148" s="387">
        <f t="shared" si="59"/>
        <v>1.338218156768914E-3</v>
      </c>
    </row>
    <row r="149" spans="2:23" hidden="1" outlineLevel="1" x14ac:dyDescent="0.35">
      <c r="B149" s="27"/>
      <c r="D149" s="345" t="s">
        <v>154</v>
      </c>
      <c r="F149" s="351">
        <f>0</f>
        <v>0</v>
      </c>
      <c r="G149" s="351">
        <f>0</f>
        <v>0</v>
      </c>
      <c r="H149" s="351">
        <f>0</f>
        <v>0</v>
      </c>
      <c r="I149" s="351">
        <f>0</f>
        <v>0</v>
      </c>
      <c r="J149" s="351">
        <f>0</f>
        <v>0</v>
      </c>
      <c r="K149" s="351">
        <f>0</f>
        <v>0</v>
      </c>
      <c r="L149" s="351">
        <f>0</f>
        <v>0</v>
      </c>
      <c r="M149" s="351">
        <f>0</f>
        <v>0</v>
      </c>
      <c r="N149" s="351">
        <f>0</f>
        <v>0</v>
      </c>
      <c r="O149" s="351">
        <f>0</f>
        <v>0</v>
      </c>
      <c r="P149" s="351">
        <f>0</f>
        <v>0</v>
      </c>
      <c r="Q149" s="351">
        <f>0</f>
        <v>0</v>
      </c>
      <c r="R149" s="351">
        <f t="shared" si="53"/>
        <v>0</v>
      </c>
      <c r="S149" s="351">
        <f t="shared" si="54"/>
        <v>0</v>
      </c>
      <c r="T149" s="359">
        <f t="shared" si="55"/>
        <v>0</v>
      </c>
      <c r="U149" s="386">
        <f t="shared" si="57"/>
        <v>0</v>
      </c>
      <c r="V149" s="387" t="str">
        <f t="shared" si="58"/>
        <v/>
      </c>
      <c r="W149" s="387">
        <f t="shared" si="59"/>
        <v>0</v>
      </c>
    </row>
    <row r="150" spans="2:23" hidden="1" outlineLevel="1" x14ac:dyDescent="0.35">
      <c r="B150" s="27"/>
      <c r="D150" s="392" t="s">
        <v>155</v>
      </c>
      <c r="E150" s="245"/>
      <c r="F150" s="378">
        <f>0</f>
        <v>0</v>
      </c>
      <c r="G150" s="378">
        <f>0</f>
        <v>0</v>
      </c>
      <c r="H150" s="378">
        <f>0</f>
        <v>0</v>
      </c>
      <c r="I150" s="378">
        <f>0</f>
        <v>0</v>
      </c>
      <c r="J150" s="378">
        <f>0</f>
        <v>0</v>
      </c>
      <c r="K150" s="378">
        <f>0</f>
        <v>0</v>
      </c>
      <c r="L150" s="378">
        <f>0</f>
        <v>0</v>
      </c>
      <c r="M150" s="378">
        <f>0</f>
        <v>0</v>
      </c>
      <c r="N150" s="378">
        <f>0</f>
        <v>0</v>
      </c>
      <c r="O150" s="378">
        <f>0</f>
        <v>0</v>
      </c>
      <c r="P150" s="378">
        <f>0</f>
        <v>0</v>
      </c>
      <c r="Q150" s="378">
        <f>0</f>
        <v>0</v>
      </c>
      <c r="R150" s="378">
        <f t="shared" si="53"/>
        <v>0</v>
      </c>
      <c r="S150" s="378">
        <f t="shared" si="54"/>
        <v>0</v>
      </c>
      <c r="T150" s="393">
        <f t="shared" si="55"/>
        <v>0</v>
      </c>
      <c r="U150" s="386">
        <f t="shared" si="57"/>
        <v>0</v>
      </c>
      <c r="V150" s="387" t="str">
        <f t="shared" si="58"/>
        <v/>
      </c>
      <c r="W150" s="387">
        <f t="shared" si="59"/>
        <v>0</v>
      </c>
    </row>
    <row r="151" spans="2:23" ht="13.15" collapsed="1" thickBot="1" x14ac:dyDescent="0.4">
      <c r="B151" s="397"/>
      <c r="C151" s="397" t="s">
        <v>189</v>
      </c>
      <c r="D151" s="87"/>
      <c r="E151" s="70"/>
      <c r="F151" s="88">
        <f>SUBTOTAL(9,F111:F150)</f>
        <v>1701.2666384204367</v>
      </c>
      <c r="G151" s="88">
        <f>SUBTOTAL(9,G111:G150)</f>
        <v>1629.3811654815333</v>
      </c>
      <c r="H151" s="88">
        <f t="shared" ref="H151:Q151" si="60">SUBTOTAL(9,H111:H150)</f>
        <v>1576.4033427796246</v>
      </c>
      <c r="I151" s="88">
        <f t="shared" si="60"/>
        <v>1677.3360959722993</v>
      </c>
      <c r="J151" s="88">
        <f t="shared" si="60"/>
        <v>1536.8726664241301</v>
      </c>
      <c r="K151" s="88">
        <f t="shared" si="60"/>
        <v>2020.0277713927367</v>
      </c>
      <c r="L151" s="88">
        <f t="shared" si="60"/>
        <v>1817.468834457987</v>
      </c>
      <c r="M151" s="88">
        <f t="shared" si="60"/>
        <v>1800.3807932717762</v>
      </c>
      <c r="N151" s="88">
        <f t="shared" si="60"/>
        <v>2013.1262749319792</v>
      </c>
      <c r="O151" s="88">
        <f t="shared" si="60"/>
        <v>1799.8567223225607</v>
      </c>
      <c r="P151" s="88">
        <f t="shared" si="60"/>
        <v>1815.9428623681138</v>
      </c>
      <c r="Q151" s="88">
        <f t="shared" si="60"/>
        <v>1766.2003383434901</v>
      </c>
      <c r="R151" s="88">
        <f t="shared" si="53"/>
        <v>21154.263506166666</v>
      </c>
      <c r="S151" s="88">
        <f t="shared" si="54"/>
        <v>0</v>
      </c>
      <c r="T151" s="88">
        <f>SUM(R151:S151)</f>
        <v>21154.263506166666</v>
      </c>
      <c r="U151" s="383">
        <f t="shared" si="57"/>
        <v>0.46563894104455267</v>
      </c>
      <c r="V151" s="387" t="str">
        <f t="shared" si="58"/>
        <v/>
      </c>
      <c r="W151" s="387">
        <f t="shared" si="59"/>
        <v>0.46563894104455267</v>
      </c>
    </row>
    <row r="152" spans="2:23" x14ac:dyDescent="0.35">
      <c r="B152" s="89" t="s">
        <v>476</v>
      </c>
      <c r="C152" s="90"/>
      <c r="D152" s="90"/>
      <c r="E152" s="91"/>
      <c r="F152" s="92" t="e">
        <f t="shared" ref="F152:Q152" si="61">F109-F151</f>
        <v>#REF!</v>
      </c>
      <c r="G152" s="92">
        <f>G109-G151</f>
        <v>424.0188281666658</v>
      </c>
      <c r="H152" s="92">
        <f t="shared" si="61"/>
        <v>982.34912499999996</v>
      </c>
      <c r="I152" s="92">
        <f t="shared" si="61"/>
        <v>1003.7867269999995</v>
      </c>
      <c r="J152" s="92">
        <f t="shared" si="61"/>
        <v>1516.0313970000013</v>
      </c>
      <c r="K152" s="92">
        <f t="shared" si="61"/>
        <v>1267.824294999999</v>
      </c>
      <c r="L152" s="92">
        <f t="shared" si="61"/>
        <v>1258.2028516666662</v>
      </c>
      <c r="M152" s="92">
        <f t="shared" si="61"/>
        <v>835.612922999999</v>
      </c>
      <c r="N152" s="92">
        <f t="shared" si="61"/>
        <v>1414.1622879999979</v>
      </c>
      <c r="O152" s="92">
        <f t="shared" si="61"/>
        <v>857.65982100000042</v>
      </c>
      <c r="P152" s="92">
        <f t="shared" si="61"/>
        <v>509.12375699999939</v>
      </c>
      <c r="Q152" s="92">
        <f t="shared" si="61"/>
        <v>738.61031600000092</v>
      </c>
      <c r="R152" s="92" t="e">
        <f>R109-R151</f>
        <v>#REF!</v>
      </c>
      <c r="S152" s="92">
        <f>S109-S151</f>
        <v>0</v>
      </c>
      <c r="T152" s="92" t="e">
        <f>T109-T151</f>
        <v>#REF!</v>
      </c>
      <c r="U152" s="390" t="str">
        <f t="shared" si="57"/>
        <v/>
      </c>
      <c r="V152" s="387" t="str">
        <f t="shared" si="58"/>
        <v/>
      </c>
      <c r="W152" s="387" t="str">
        <f t="shared" si="59"/>
        <v/>
      </c>
    </row>
    <row r="153" spans="2:23" ht="14.45" customHeight="1" x14ac:dyDescent="0.35">
      <c r="B153" s="27" t="s">
        <v>488</v>
      </c>
      <c r="C153" s="6"/>
      <c r="D153" s="6"/>
      <c r="F153" s="85">
        <f>'Site liên kết'!F20</f>
        <v>243.76249005329899</v>
      </c>
      <c r="G153" s="85">
        <f>'Site liên kết'!G20</f>
        <v>323.20794946789511</v>
      </c>
      <c r="H153" s="85">
        <f>'Site liên kết'!H20</f>
        <v>386.49842033270227</v>
      </c>
      <c r="I153" s="85">
        <f>'Site liên kết'!I20</f>
        <v>365.54594250764046</v>
      </c>
      <c r="J153" s="85">
        <f>'Site liên kết'!J20</f>
        <v>345.72177518219115</v>
      </c>
      <c r="K153" s="85">
        <f>'Site liên kết'!K20</f>
        <v>291.87794614419295</v>
      </c>
      <c r="L153" s="85">
        <f>'Site liên kết'!L20</f>
        <v>298.74186546999999</v>
      </c>
      <c r="M153" s="85">
        <f>'Site liên kết'!M20</f>
        <v>266.83279366782597</v>
      </c>
      <c r="N153" s="85">
        <f>'Site liên kết'!N20</f>
        <v>230.61661392194407</v>
      </c>
      <c r="O153" s="85">
        <f>'Site liên kết'!O20</f>
        <v>226.52769647764751</v>
      </c>
      <c r="P153" s="85">
        <f>'Site liên kết'!P20</f>
        <v>231.64543936606077</v>
      </c>
      <c r="Q153" s="85">
        <f>'Site liên kết'!Q20</f>
        <v>231.26852255266618</v>
      </c>
      <c r="R153" s="85">
        <v>1173.0374559999998</v>
      </c>
      <c r="S153" s="85">
        <f t="shared" si="54"/>
        <v>0</v>
      </c>
      <c r="T153" s="85">
        <f>SUM(R153:S153)</f>
        <v>1173.0374559999998</v>
      </c>
      <c r="U153" s="385">
        <f t="shared" si="57"/>
        <v>2.5820417650475522E-2</v>
      </c>
      <c r="V153" s="387" t="str">
        <f t="shared" si="58"/>
        <v/>
      </c>
      <c r="W153" s="387">
        <f t="shared" si="59"/>
        <v>2.5820417650475522E-2</v>
      </c>
    </row>
    <row r="154" spans="2:23" x14ac:dyDescent="0.35">
      <c r="B154" s="27" t="s">
        <v>473</v>
      </c>
      <c r="D154" s="6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386"/>
      <c r="V154" s="387"/>
      <c r="W154" s="387"/>
    </row>
    <row r="155" spans="2:23" x14ac:dyDescent="0.35">
      <c r="B155" s="27"/>
      <c r="C155" s="6" t="s">
        <v>310</v>
      </c>
      <c r="D155" s="6"/>
      <c r="F155" s="57">
        <f>SUM(HO!F18,HO!F26)</f>
        <v>348.26213999999999</v>
      </c>
      <c r="G155" s="57">
        <f>SUM(HO!G18,HO!G26)</f>
        <v>287.39332999999999</v>
      </c>
      <c r="H155" s="57">
        <f>SUM(HO!H18,HO!H26)</f>
        <v>269.90999999999997</v>
      </c>
      <c r="I155" s="57">
        <f>SUM(HO!I18,HO!I26)</f>
        <v>255.92099999999999</v>
      </c>
      <c r="J155" s="57">
        <f>SUM(HO!J18,HO!J26)</f>
        <v>244.12974100000002</v>
      </c>
      <c r="K155" s="57">
        <f>SUM(HO!K18,HO!K26)</f>
        <v>243.53362300000001</v>
      </c>
      <c r="L155" s="57">
        <f>SUM(HO!L18,HO!L26)</f>
        <v>181.34199999999998</v>
      </c>
      <c r="M155" s="57">
        <f>SUM(HO!M18,HO!M26)</f>
        <v>232.15800000000002</v>
      </c>
      <c r="N155" s="57">
        <f>SUM(HO!N18,HO!N26)</f>
        <v>250.7</v>
      </c>
      <c r="O155" s="57">
        <f>SUM(HO!O18,HO!O26)</f>
        <v>147.98399999999998</v>
      </c>
      <c r="P155" s="57">
        <f>SUM(HO!P18,HO!P26)</f>
        <v>123.66</v>
      </c>
      <c r="Q155" s="57">
        <f>SUM(HO!Q18,HO!Q26)</f>
        <v>304.32900000000001</v>
      </c>
      <c r="R155" s="62">
        <f t="shared" ref="R155:R164" si="62">SUMIFS($F155:$Q155,$F$7:$Q$7,"A")</f>
        <v>2889.3228339999996</v>
      </c>
      <c r="S155" s="62">
        <f t="shared" si="54"/>
        <v>0</v>
      </c>
      <c r="T155" s="57">
        <f t="shared" ref="T155:T162" si="63">SUM(R155:S155)</f>
        <v>2889.3228339999996</v>
      </c>
      <c r="U155" s="386">
        <f t="shared" si="57"/>
        <v>6.3598584955104412E-2</v>
      </c>
      <c r="V155" s="387" t="str">
        <f t="shared" si="58"/>
        <v/>
      </c>
      <c r="W155" s="387">
        <f t="shared" si="59"/>
        <v>6.3598584955104412E-2</v>
      </c>
    </row>
    <row r="156" spans="2:23" x14ac:dyDescent="0.35">
      <c r="B156" s="27"/>
      <c r="C156" s="6" t="s">
        <v>496</v>
      </c>
      <c r="D156" s="6"/>
      <c r="F156" s="57">
        <f>SUM(HO!F19,HO!F20,HO!F28)</f>
        <v>59.38247600000004</v>
      </c>
      <c r="G156" s="57">
        <f>SUM(HO!G19,HO!G20,HO!G28)</f>
        <v>51.451982000000037</v>
      </c>
      <c r="H156" s="57">
        <f>SUM(HO!H19,HO!H20,HO!H28)</f>
        <v>54.196550484678262</v>
      </c>
      <c r="I156" s="57">
        <f>SUM(HO!I19,HO!I20,HO!I28)</f>
        <v>54.271816000000001</v>
      </c>
      <c r="J156" s="57">
        <f>SUM(HO!J19,HO!J20,HO!J28)</f>
        <v>55.358938999999999</v>
      </c>
      <c r="K156" s="57">
        <f>SUM(HO!K19,HO!K20,HO!K28)</f>
        <v>69.326437999999996</v>
      </c>
      <c r="L156" s="57">
        <f>SUM(HO!L19,HO!L20,HO!L28)</f>
        <v>86.323745000000002</v>
      </c>
      <c r="M156" s="57">
        <f>SUM(HO!M19,HO!M20,HO!M28)</f>
        <v>65.666991999999993</v>
      </c>
      <c r="N156" s="57">
        <f>SUM(HO!N19,HO!N20,HO!N28)</f>
        <v>64.038544999999999</v>
      </c>
      <c r="O156" s="57">
        <f>SUM(HO!O19,HO!O20,HO!O28)</f>
        <v>64.592440999999994</v>
      </c>
      <c r="P156" s="57">
        <f>SUM(HO!P19,HO!P20,HO!P28)</f>
        <v>55.949697</v>
      </c>
      <c r="Q156" s="57">
        <f>SUM(HO!Q19,HO!Q20,HO!Q28)</f>
        <v>60.516432999999999</v>
      </c>
      <c r="R156" s="57">
        <f t="shared" si="62"/>
        <v>741.07605448467825</v>
      </c>
      <c r="S156" s="57">
        <f t="shared" si="54"/>
        <v>0</v>
      </c>
      <c r="T156" s="57">
        <f t="shared" si="63"/>
        <v>741.07605448467825</v>
      </c>
      <c r="U156" s="386">
        <f t="shared" si="57"/>
        <v>1.6312261078866137E-2</v>
      </c>
      <c r="V156" s="387" t="str">
        <f t="shared" si="58"/>
        <v/>
      </c>
      <c r="W156" s="387">
        <f t="shared" si="59"/>
        <v>1.6312261078866137E-2</v>
      </c>
    </row>
    <row r="157" spans="2:23" x14ac:dyDescent="0.35">
      <c r="B157" s="27"/>
      <c r="C157" s="6" t="s">
        <v>495</v>
      </c>
      <c r="D157" s="6"/>
      <c r="F157" s="57">
        <f>SUM(HO!F21,HO!F29)</f>
        <v>14.560866000000001</v>
      </c>
      <c r="G157" s="57">
        <f>SUM(HO!G21,HO!G29)</f>
        <v>5.9349410000000002</v>
      </c>
      <c r="H157" s="57">
        <f>SUM(HO!H21,HO!H29)</f>
        <v>9.2500169999999997</v>
      </c>
      <c r="I157" s="57">
        <f>SUM(HO!I21,HO!I29)</f>
        <v>10.099723000000001</v>
      </c>
      <c r="J157" s="57">
        <f>SUM(HO!J21,HO!J29)</f>
        <v>8.7372540000000001</v>
      </c>
      <c r="K157" s="57">
        <f>SUM(HO!K21,HO!K29)</f>
        <v>4.8522679999999996</v>
      </c>
      <c r="L157" s="57">
        <f>SUM(HO!L21,HO!L29)</f>
        <v>4.6858140000000006</v>
      </c>
      <c r="M157" s="57">
        <f>SUM(HO!M21,HO!M29)</f>
        <v>3.068228</v>
      </c>
      <c r="N157" s="57">
        <f>SUM(HO!N21,HO!N29)</f>
        <v>2.0947200000000001</v>
      </c>
      <c r="O157" s="57">
        <f>SUM(HO!O21,HO!O29)</f>
        <v>6.7130789999999996</v>
      </c>
      <c r="P157" s="57">
        <f>SUM(HO!P21,HO!P29)</f>
        <v>11.304259999999999</v>
      </c>
      <c r="Q157" s="57">
        <f>SUM(HO!Q21,HO!Q29)</f>
        <v>3.9988769999999998</v>
      </c>
      <c r="R157" s="57">
        <f t="shared" si="62"/>
        <v>85.300046999999992</v>
      </c>
      <c r="S157" s="57">
        <f t="shared" si="54"/>
        <v>0</v>
      </c>
      <c r="T157" s="57">
        <f t="shared" si="63"/>
        <v>85.300046999999992</v>
      </c>
      <c r="U157" s="386">
        <f t="shared" si="57"/>
        <v>1.8775895244262275E-3</v>
      </c>
      <c r="V157" s="387" t="str">
        <f t="shared" si="58"/>
        <v/>
      </c>
      <c r="W157" s="387">
        <f t="shared" si="59"/>
        <v>1.8775895244262275E-3</v>
      </c>
    </row>
    <row r="158" spans="2:23" x14ac:dyDescent="0.35">
      <c r="B158" s="27"/>
      <c r="C158" s="6" t="s">
        <v>347</v>
      </c>
      <c r="D158" s="6"/>
      <c r="F158" s="57">
        <f>SUM(HO!F23,HO!F27)</f>
        <v>35.744</v>
      </c>
      <c r="G158" s="57">
        <f>SUM(HO!G23,HO!G27)</f>
        <v>6.4614760422015198</v>
      </c>
      <c r="H158" s="57">
        <f>SUM(HO!H23,HO!H27)</f>
        <v>0</v>
      </c>
      <c r="I158" s="57">
        <f>SUM(HO!I23,HO!I27)</f>
        <v>0</v>
      </c>
      <c r="J158" s="57">
        <f>SUM(HO!J23,HO!J27)</f>
        <v>2.5</v>
      </c>
      <c r="K158" s="57">
        <f>SUM(HO!K23,HO!K27)</f>
        <v>16.646000000000001</v>
      </c>
      <c r="L158" s="57">
        <f>SUM(HO!L23,HO!L27)</f>
        <v>0</v>
      </c>
      <c r="M158" s="57">
        <f>SUM(HO!M23,HO!M27)</f>
        <v>1.8680000000000001</v>
      </c>
      <c r="N158" s="57">
        <f>SUM(HO!N23,HO!N27)</f>
        <v>3.8</v>
      </c>
      <c r="O158" s="57">
        <f>SUM(HO!O23,HO!O27)</f>
        <v>1.1998800000000001</v>
      </c>
      <c r="P158" s="57">
        <f>SUM(HO!P23,HO!P27)</f>
        <v>0</v>
      </c>
      <c r="Q158" s="57">
        <f>SUM(HO!Q23,HO!Q27)</f>
        <v>35.744497000000003</v>
      </c>
      <c r="R158" s="57">
        <f t="shared" si="62"/>
        <v>103.96385304220152</v>
      </c>
      <c r="S158" s="57">
        <f t="shared" si="54"/>
        <v>0</v>
      </c>
      <c r="T158" s="57">
        <f t="shared" si="63"/>
        <v>103.96385304220152</v>
      </c>
      <c r="U158" s="386">
        <f t="shared" si="57"/>
        <v>2.2884095408649114E-3</v>
      </c>
      <c r="V158" s="387" t="str">
        <f t="shared" si="58"/>
        <v/>
      </c>
      <c r="W158" s="387">
        <f t="shared" si="59"/>
        <v>2.2884095408649114E-3</v>
      </c>
    </row>
    <row r="159" spans="2:23" x14ac:dyDescent="0.35">
      <c r="B159" s="27"/>
      <c r="C159" s="6" t="s">
        <v>474</v>
      </c>
      <c r="D159" s="6"/>
      <c r="F159" s="57">
        <f>SUM(HO!F22)</f>
        <v>1.46462</v>
      </c>
      <c r="G159" s="57">
        <f>SUM(HO!G22)</f>
        <v>1.5579000000000001</v>
      </c>
      <c r="H159" s="57">
        <f>SUM(HO!H22)</f>
        <v>1.2388999999999999</v>
      </c>
      <c r="I159" s="57">
        <f>SUM(HO!I22)</f>
        <v>4.0589000000000004</v>
      </c>
      <c r="J159" s="57">
        <f>SUM(HO!J22)</f>
        <v>0.43890000000000001</v>
      </c>
      <c r="K159" s="57">
        <f>SUM(HO!K22)</f>
        <v>0.3135</v>
      </c>
      <c r="L159" s="57">
        <f>SUM(HO!L22)</f>
        <v>15.385189</v>
      </c>
      <c r="M159" s="57">
        <f>SUM(HO!M22)</f>
        <v>8.3845159999999996</v>
      </c>
      <c r="N159" s="57">
        <f>SUM(HO!N22)</f>
        <v>10.379175999999999</v>
      </c>
      <c r="O159" s="57">
        <f>SUM(HO!O22)</f>
        <v>23.338630999999999</v>
      </c>
      <c r="P159" s="57">
        <f>SUM(HO!P22)</f>
        <v>25.970652000000001</v>
      </c>
      <c r="Q159" s="57">
        <f>SUM(HO!Q22)</f>
        <v>29.686803000000001</v>
      </c>
      <c r="R159" s="57">
        <f t="shared" si="62"/>
        <v>122.217687</v>
      </c>
      <c r="S159" s="57">
        <f t="shared" si="54"/>
        <v>0</v>
      </c>
      <c r="T159" s="57">
        <f t="shared" si="63"/>
        <v>122.217687</v>
      </c>
      <c r="U159" s="386">
        <f t="shared" si="57"/>
        <v>2.6902054205292939E-3</v>
      </c>
      <c r="V159" s="387" t="str">
        <f t="shared" si="58"/>
        <v/>
      </c>
      <c r="W159" s="387">
        <f t="shared" si="59"/>
        <v>2.6902054205292939E-3</v>
      </c>
    </row>
    <row r="160" spans="2:23" x14ac:dyDescent="0.35">
      <c r="B160" s="27"/>
      <c r="C160" s="6" t="s">
        <v>188</v>
      </c>
      <c r="D160" s="6"/>
      <c r="F160" s="57">
        <f>SUM(HO!F24,HO!F30)</f>
        <v>119.925467</v>
      </c>
      <c r="G160" s="57">
        <f>SUM(HO!G24,HO!G30)</f>
        <v>5.3186100000000005</v>
      </c>
      <c r="H160" s="57">
        <f>SUM(HO!H24,HO!H30)</f>
        <v>0.31845000000000001</v>
      </c>
      <c r="I160" s="57">
        <f>SUM(HO!I24,HO!I30)</f>
        <v>5.6538446110972167</v>
      </c>
      <c r="J160" s="57">
        <f>SUM(HO!J24,HO!J30)</f>
        <v>4.7333499999999997</v>
      </c>
      <c r="K160" s="57">
        <f>SUM(HO!K24,HO!K30)</f>
        <v>72.323937999999998</v>
      </c>
      <c r="L160" s="57">
        <f>SUM(HO!L24,HO!L30)</f>
        <v>16.645741999999998</v>
      </c>
      <c r="M160" s="57">
        <f>SUM(HO!M24,HO!M30)</f>
        <v>65.277704</v>
      </c>
      <c r="N160" s="57">
        <f>SUM(HO!N24,HO!N30)</f>
        <v>83.661068889205936</v>
      </c>
      <c r="O160" s="57">
        <f>SUM(HO!O24,HO!O30)</f>
        <v>34.455914</v>
      </c>
      <c r="P160" s="57">
        <f>SUM(HO!P24,HO!P30)</f>
        <v>91.830234000000004</v>
      </c>
      <c r="Q160" s="57">
        <f>SUM(HO!Q24,HO!Q30)</f>
        <v>49.349241999999997</v>
      </c>
      <c r="R160" s="57">
        <f t="shared" si="62"/>
        <v>549.49356450030314</v>
      </c>
      <c r="S160" s="57">
        <f t="shared" si="54"/>
        <v>0</v>
      </c>
      <c r="T160" s="57">
        <f t="shared" si="63"/>
        <v>549.49356450030314</v>
      </c>
      <c r="U160" s="386">
        <f t="shared" si="57"/>
        <v>1.2095226166116847E-2</v>
      </c>
      <c r="V160" s="387" t="str">
        <f t="shared" si="58"/>
        <v/>
      </c>
      <c r="W160" s="387">
        <f t="shared" si="59"/>
        <v>1.2095226166116847E-2</v>
      </c>
    </row>
    <row r="161" spans="2:23" x14ac:dyDescent="0.35">
      <c r="B161" s="396"/>
      <c r="C161" s="396" t="s">
        <v>497</v>
      </c>
      <c r="D161" s="394"/>
      <c r="E161" s="395"/>
      <c r="F161" s="398">
        <f>SUM(F155:F160)</f>
        <v>579.33956899999998</v>
      </c>
      <c r="G161" s="398">
        <f t="shared" ref="G161:Q161" si="64">SUM(G155:G160)</f>
        <v>358.11823904220154</v>
      </c>
      <c r="H161" s="398">
        <f t="shared" si="64"/>
        <v>334.91391748467822</v>
      </c>
      <c r="I161" s="398">
        <f t="shared" si="64"/>
        <v>330.00528361109718</v>
      </c>
      <c r="J161" s="398">
        <f t="shared" si="64"/>
        <v>315.89818400000001</v>
      </c>
      <c r="K161" s="398">
        <f t="shared" si="64"/>
        <v>406.99576699999994</v>
      </c>
      <c r="L161" s="398">
        <f t="shared" si="64"/>
        <v>304.38249000000002</v>
      </c>
      <c r="M161" s="398">
        <f t="shared" si="64"/>
        <v>376.42344000000003</v>
      </c>
      <c r="N161" s="398">
        <f t="shared" si="64"/>
        <v>414.67350988920589</v>
      </c>
      <c r="O161" s="398">
        <f t="shared" si="64"/>
        <v>278.28394499999996</v>
      </c>
      <c r="P161" s="398">
        <f t="shared" si="64"/>
        <v>308.71484299999997</v>
      </c>
      <c r="Q161" s="398">
        <f t="shared" si="64"/>
        <v>483.62485200000003</v>
      </c>
      <c r="R161" s="398">
        <f t="shared" si="62"/>
        <v>4491.3740400271827</v>
      </c>
      <c r="S161" s="398">
        <f t="shared" si="54"/>
        <v>0</v>
      </c>
      <c r="T161" s="398">
        <f t="shared" si="63"/>
        <v>4491.3740400271827</v>
      </c>
      <c r="U161" s="386">
        <f>IFERROR(R161/R$45,"")</f>
        <v>9.8862276685907829E-2</v>
      </c>
      <c r="V161" s="387" t="str">
        <f>IFERROR(S161/S$45,"")</f>
        <v/>
      </c>
      <c r="W161" s="387">
        <f>IFERROR(T161/T$45,"")</f>
        <v>9.8862276685907829E-2</v>
      </c>
    </row>
    <row r="162" spans="2:23" ht="13.15" thickBot="1" x14ac:dyDescent="0.4">
      <c r="B162" s="339" t="s">
        <v>475</v>
      </c>
      <c r="C162" s="340"/>
      <c r="D162" s="340"/>
      <c r="E162" s="54"/>
      <c r="F162" s="399" t="e">
        <f>SUM(F152:F153)-F161</f>
        <v>#REF!</v>
      </c>
      <c r="G162" s="399">
        <f t="shared" ref="G162:Q162" si="65">SUM(G152:G153)-G161</f>
        <v>389.10853859235937</v>
      </c>
      <c r="H162" s="399">
        <f t="shared" si="65"/>
        <v>1033.9336278480241</v>
      </c>
      <c r="I162" s="399">
        <f t="shared" si="65"/>
        <v>1039.3273858965426</v>
      </c>
      <c r="J162" s="399">
        <f t="shared" si="65"/>
        <v>1545.8549881821923</v>
      </c>
      <c r="K162" s="399">
        <f t="shared" si="65"/>
        <v>1152.706474144192</v>
      </c>
      <c r="L162" s="399">
        <f t="shared" si="65"/>
        <v>1252.5622271366663</v>
      </c>
      <c r="M162" s="399">
        <f t="shared" si="65"/>
        <v>726.02227666782483</v>
      </c>
      <c r="N162" s="399">
        <f t="shared" si="65"/>
        <v>1230.1053920327361</v>
      </c>
      <c r="O162" s="399">
        <f t="shared" si="65"/>
        <v>805.90357247764791</v>
      </c>
      <c r="P162" s="399">
        <f t="shared" si="65"/>
        <v>432.05435336606024</v>
      </c>
      <c r="Q162" s="399">
        <f t="shared" si="65"/>
        <v>486.25398655266702</v>
      </c>
      <c r="R162" s="399" t="e">
        <f t="shared" si="62"/>
        <v>#REF!</v>
      </c>
      <c r="S162" s="399">
        <f t="shared" si="54"/>
        <v>0</v>
      </c>
      <c r="T162" s="399" t="e">
        <f t="shared" si="63"/>
        <v>#REF!</v>
      </c>
      <c r="U162" s="391" t="str">
        <f t="shared" si="57"/>
        <v/>
      </c>
      <c r="V162" s="387" t="str">
        <f t="shared" si="58"/>
        <v/>
      </c>
      <c r="W162" s="387" t="str">
        <f t="shared" si="59"/>
        <v/>
      </c>
    </row>
    <row r="163" spans="2:23" ht="8.25" customHeight="1" x14ac:dyDescent="0.35">
      <c r="B163" s="27"/>
      <c r="C163" s="6"/>
      <c r="D163" s="6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386"/>
      <c r="V163" s="387" t="str">
        <f t="shared" si="58"/>
        <v/>
      </c>
      <c r="W163" s="387"/>
    </row>
    <row r="164" spans="2:23" x14ac:dyDescent="0.35">
      <c r="B164" s="27"/>
      <c r="C164" s="6" t="s">
        <v>477</v>
      </c>
      <c r="D164" s="6"/>
      <c r="F164" s="57">
        <f>SUBTOTAL(9,F165:F173)</f>
        <v>415.86204299999997</v>
      </c>
      <c r="G164" s="57">
        <f t="shared" ref="G164:Q164" si="66">SUBTOTAL(9,G165:G173)</f>
        <v>367.999077</v>
      </c>
      <c r="H164" s="57">
        <f t="shared" si="66"/>
        <v>375.49372976923075</v>
      </c>
      <c r="I164" s="57">
        <f t="shared" si="66"/>
        <v>348.21408130769237</v>
      </c>
      <c r="J164" s="57">
        <f t="shared" si="66"/>
        <v>453.74508492307694</v>
      </c>
      <c r="K164" s="57">
        <f t="shared" si="66"/>
        <v>466.59997900000008</v>
      </c>
      <c r="L164" s="57">
        <f t="shared" si="66"/>
        <v>499.01476300000002</v>
      </c>
      <c r="M164" s="57">
        <f t="shared" si="66"/>
        <v>445.04825300000005</v>
      </c>
      <c r="N164" s="57">
        <f t="shared" si="66"/>
        <v>434.33810699999998</v>
      </c>
      <c r="O164" s="57">
        <f t="shared" si="66"/>
        <v>494.21475499999997</v>
      </c>
      <c r="P164" s="57">
        <f t="shared" si="66"/>
        <v>416.96587500000004</v>
      </c>
      <c r="Q164" s="57">
        <f t="shared" si="66"/>
        <v>428.85764599999999</v>
      </c>
      <c r="R164" s="57">
        <f t="shared" si="62"/>
        <v>5146.3533940000007</v>
      </c>
      <c r="S164" s="57">
        <f t="shared" si="54"/>
        <v>0</v>
      </c>
      <c r="T164" s="57">
        <f>SUM(R164:S164)</f>
        <v>5146.3533940000007</v>
      </c>
      <c r="U164" s="386">
        <f t="shared" si="57"/>
        <v>0.11327941263115322</v>
      </c>
      <c r="V164" s="387" t="str">
        <f t="shared" si="58"/>
        <v/>
      </c>
      <c r="W164" s="387">
        <f t="shared" si="59"/>
        <v>0.11327941263115322</v>
      </c>
    </row>
    <row r="165" spans="2:23" hidden="1" outlineLevel="1" x14ac:dyDescent="0.35">
      <c r="B165" s="27"/>
      <c r="C165" s="6"/>
      <c r="D165" s="341" t="s">
        <v>147</v>
      </c>
      <c r="E165" s="367"/>
      <c r="F165" s="355">
        <f>-HaiDuong!F83</f>
        <v>-5.7002759999999997</v>
      </c>
      <c r="G165" s="355">
        <f>-HaiDuong!G83</f>
        <v>-5.7010540000000001</v>
      </c>
      <c r="H165" s="355">
        <f>-HaiDuong!H83</f>
        <v>-5.29657</v>
      </c>
      <c r="I165" s="355">
        <f>-HaiDuong!I83</f>
        <v>-5.8846090000000002</v>
      </c>
      <c r="J165" s="355">
        <f>-HaiDuong!J83</f>
        <v>-5.8067229999999999</v>
      </c>
      <c r="K165" s="355">
        <f>-HaiDuong!K83</f>
        <v>-6.0993649999999997</v>
      </c>
      <c r="L165" s="355">
        <f>-HaiDuong!L83</f>
        <v>-98.599457000000001</v>
      </c>
      <c r="M165" s="355">
        <f>-HaiDuong!M83</f>
        <v>-2.9135999999999999E-2</v>
      </c>
      <c r="N165" s="355">
        <f>-HaiDuong!N83</f>
        <v>-1.5352980000000001</v>
      </c>
      <c r="O165" s="355">
        <f>-HaiDuong!O83</f>
        <v>-6.9331000000000004E-2</v>
      </c>
      <c r="P165" s="355">
        <f>-HaiDuong!P83</f>
        <v>-8.3237000000000005E-2</v>
      </c>
      <c r="Q165" s="355">
        <f>-HaiDuong!Q83</f>
        <v>-2.4414000000000002E-2</v>
      </c>
      <c r="R165" s="355">
        <f t="shared" ref="R165:R183" si="67">SUMIFS($F165:$Q165,$F$7:$Q$7,"A")</f>
        <v>-134.82947000000001</v>
      </c>
      <c r="S165" s="355">
        <f t="shared" ref="S165:S183" si="68">SUMIFS($F165:$Q165,$F$7:$Q$7,"B")</f>
        <v>0</v>
      </c>
      <c r="T165" s="358">
        <f t="shared" ref="T165:T183" si="69">SUM(R165:S165)</f>
        <v>-134.82947000000001</v>
      </c>
      <c r="U165" s="386">
        <f t="shared" si="57"/>
        <v>-2.9678107968210189E-3</v>
      </c>
      <c r="V165" s="387" t="str">
        <f t="shared" si="58"/>
        <v/>
      </c>
      <c r="W165" s="387">
        <f t="shared" si="59"/>
        <v>-2.9678107968210189E-3</v>
      </c>
    </row>
    <row r="166" spans="2:23" hidden="1" outlineLevel="1" x14ac:dyDescent="0.35">
      <c r="B166" s="27"/>
      <c r="C166" s="6"/>
      <c r="D166" s="345" t="s">
        <v>150</v>
      </c>
      <c r="F166" s="356">
        <f>-CaMau!F53</f>
        <v>62.429642000000001</v>
      </c>
      <c r="G166" s="356">
        <f>-CaMau!G53</f>
        <v>91.882058000000001</v>
      </c>
      <c r="H166" s="356">
        <f>-CaMau!H53</f>
        <v>73.206543999999994</v>
      </c>
      <c r="I166" s="356">
        <f>-CaMau!I53</f>
        <v>40.194716999999997</v>
      </c>
      <c r="J166" s="356">
        <f>-CaMau!J53</f>
        <v>69.127308999999997</v>
      </c>
      <c r="K166" s="356">
        <f>-CaMau!K53</f>
        <v>69.070040000000006</v>
      </c>
      <c r="L166" s="356">
        <f>-CaMau!L53</f>
        <v>57.499274999999997</v>
      </c>
      <c r="M166" s="356">
        <f>-CaMau!M53</f>
        <v>64.872139000000004</v>
      </c>
      <c r="N166" s="356">
        <f>-CaMau!N53</f>
        <v>64.841911999999994</v>
      </c>
      <c r="O166" s="356">
        <f>-CaMau!O53</f>
        <v>57.971873000000002</v>
      </c>
      <c r="P166" s="356">
        <f>-CaMau!P53</f>
        <v>59.886608000000003</v>
      </c>
      <c r="Q166" s="356">
        <f>-CaMau!Q53</f>
        <v>61.880138000000002</v>
      </c>
      <c r="R166" s="356">
        <f t="shared" si="67"/>
        <v>772.86225499999989</v>
      </c>
      <c r="S166" s="356">
        <f t="shared" si="68"/>
        <v>0</v>
      </c>
      <c r="T166" s="359">
        <f t="shared" si="69"/>
        <v>772.86225499999989</v>
      </c>
      <c r="U166" s="386">
        <f t="shared" si="57"/>
        <v>1.7011925841171362E-2</v>
      </c>
      <c r="V166" s="387" t="str">
        <f t="shared" si="58"/>
        <v/>
      </c>
      <c r="W166" s="387">
        <f t="shared" si="59"/>
        <v>1.7011925841171362E-2</v>
      </c>
    </row>
    <row r="167" spans="2:23" hidden="1" outlineLevel="1" x14ac:dyDescent="0.35">
      <c r="B167" s="27"/>
      <c r="C167" s="6"/>
      <c r="D167" s="345" t="s">
        <v>146</v>
      </c>
      <c r="F167" s="356">
        <f>ThanhHoa!F52</f>
        <v>96.866731000000001</v>
      </c>
      <c r="G167" s="356">
        <f>ThanhHoa!G52</f>
        <v>76.222117999999995</v>
      </c>
      <c r="H167" s="356">
        <f>ThanhHoa!H52</f>
        <v>84.382036999999997</v>
      </c>
      <c r="I167" s="356">
        <f>ThanhHoa!I52</f>
        <v>81.602151000000006</v>
      </c>
      <c r="J167" s="356">
        <f>ThanhHoa!J52</f>
        <v>80.443156999999999</v>
      </c>
      <c r="K167" s="356">
        <f>ThanhHoa!K52</f>
        <v>81.492800000000003</v>
      </c>
      <c r="L167" s="356">
        <f>ThanhHoa!L52</f>
        <v>62.798800999999997</v>
      </c>
      <c r="M167" s="356">
        <f>ThanhHoa!M52</f>
        <v>72.688445999999999</v>
      </c>
      <c r="N167" s="356">
        <f>ThanhHoa!N52</f>
        <v>67.499210000000005</v>
      </c>
      <c r="O167" s="356">
        <f>ThanhHoa!O52</f>
        <v>82.726337999999998</v>
      </c>
      <c r="P167" s="356">
        <f>ThanhHoa!P52</f>
        <v>67.501841999999996</v>
      </c>
      <c r="Q167" s="356">
        <f>ThanhHoa!Q52</f>
        <v>67.503055000000003</v>
      </c>
      <c r="R167" s="356">
        <f t="shared" si="67"/>
        <v>921.72668599999997</v>
      </c>
      <c r="S167" s="356">
        <f t="shared" si="68"/>
        <v>0</v>
      </c>
      <c r="T167" s="359">
        <f t="shared" si="69"/>
        <v>921.72668599999997</v>
      </c>
      <c r="U167" s="386">
        <f t="shared" si="57"/>
        <v>2.0288668422629389E-2</v>
      </c>
      <c r="V167" s="387" t="str">
        <f t="shared" si="58"/>
        <v/>
      </c>
      <c r="W167" s="387">
        <f t="shared" si="59"/>
        <v>2.0288668422629389E-2</v>
      </c>
    </row>
    <row r="168" spans="2:23" hidden="1" outlineLevel="1" x14ac:dyDescent="0.35">
      <c r="B168" s="27"/>
      <c r="C168" s="6"/>
      <c r="D168" s="345" t="s">
        <v>148</v>
      </c>
      <c r="F168" s="356">
        <f>ThaiNguyen!F52</f>
        <v>62.997999999999998</v>
      </c>
      <c r="G168" s="356">
        <f>ThaiNguyen!G52</f>
        <v>60.423454999999997</v>
      </c>
      <c r="H168" s="356">
        <f>ThaiNguyen!H52</f>
        <v>59.475859999999997</v>
      </c>
      <c r="I168" s="356">
        <f>ThaiNguyen!I52</f>
        <v>60.965752999999999</v>
      </c>
      <c r="J168" s="356">
        <f>ThaiNguyen!J52</f>
        <v>62.997945000000001</v>
      </c>
      <c r="K168" s="356">
        <f>ThaiNguyen!K52</f>
        <v>62.997891000000003</v>
      </c>
      <c r="L168" s="356">
        <f>ThaiNguyen!L52</f>
        <v>62.997945000000001</v>
      </c>
      <c r="M168" s="356">
        <f>ThaiNguyen!M52</f>
        <v>62.997945000000001</v>
      </c>
      <c r="N168" s="356">
        <f>ThaiNguyen!N52</f>
        <v>60.965752999999999</v>
      </c>
      <c r="O168" s="356">
        <f>ThaiNguyen!O52</f>
        <v>59.060206000000001</v>
      </c>
      <c r="P168" s="356">
        <f>ThaiNguyen!P52</f>
        <v>57.917465999999997</v>
      </c>
      <c r="Q168" s="356">
        <f>ThaiNguyen!Q52</f>
        <v>68.829452000000003</v>
      </c>
      <c r="R168" s="356">
        <f t="shared" si="67"/>
        <v>742.62767099999996</v>
      </c>
      <c r="S168" s="356">
        <f t="shared" si="68"/>
        <v>0</v>
      </c>
      <c r="T168" s="359">
        <f t="shared" si="69"/>
        <v>742.62767099999996</v>
      </c>
      <c r="U168" s="386">
        <f t="shared" si="57"/>
        <v>1.6346414622944429E-2</v>
      </c>
      <c r="V168" s="387" t="str">
        <f t="shared" si="58"/>
        <v/>
      </c>
      <c r="W168" s="387">
        <f t="shared" si="59"/>
        <v>1.6346414622944429E-2</v>
      </c>
    </row>
    <row r="169" spans="2:23" hidden="1" outlineLevel="1" x14ac:dyDescent="0.35">
      <c r="B169" s="27"/>
      <c r="C169" s="6"/>
      <c r="D169" s="345" t="s">
        <v>327</v>
      </c>
      <c r="F169" s="356">
        <f>ThaiBinh!F37</f>
        <v>0</v>
      </c>
      <c r="G169" s="356">
        <f>ThaiBinh!G37</f>
        <v>0</v>
      </c>
      <c r="H169" s="356">
        <f>ThaiBinh!H37</f>
        <v>18.565858769230768</v>
      </c>
      <c r="I169" s="356">
        <f>ThaiBinh!I37</f>
        <v>55.697576307692302</v>
      </c>
      <c r="J169" s="356">
        <f>ThaiBinh!J37</f>
        <v>46.414646923076923</v>
      </c>
      <c r="K169" s="356">
        <f>ThaiBinh!K37</f>
        <v>58.569862999999998</v>
      </c>
      <c r="L169" s="356">
        <f>ThaiBinh!L37</f>
        <v>60.522191999999997</v>
      </c>
      <c r="M169" s="356">
        <f>ThaiBinh!M37</f>
        <v>60.522191999999997</v>
      </c>
      <c r="N169" s="356">
        <f>ThaiBinh!N37</f>
        <v>58.569862999999998</v>
      </c>
      <c r="O169" s="356">
        <f>ThaiBinh!O37</f>
        <v>57.431002999999997</v>
      </c>
      <c r="P169" s="356">
        <f>ThaiBinh!P37</f>
        <v>58.569862999999998</v>
      </c>
      <c r="Q169" s="356">
        <f>ThaiBinh!Q37</f>
        <v>57.496082000000001</v>
      </c>
      <c r="R169" s="356">
        <f t="shared" si="67"/>
        <v>532.35914000000002</v>
      </c>
      <c r="S169" s="356">
        <f t="shared" si="68"/>
        <v>0</v>
      </c>
      <c r="T169" s="359">
        <f t="shared" si="69"/>
        <v>532.35914000000002</v>
      </c>
      <c r="U169" s="386">
        <f t="shared" si="57"/>
        <v>1.1718070266673541E-2</v>
      </c>
      <c r="V169" s="387" t="str">
        <f t="shared" si="58"/>
        <v/>
      </c>
      <c r="W169" s="387">
        <f t="shared" si="59"/>
        <v>1.1718070266673541E-2</v>
      </c>
    </row>
    <row r="170" spans="2:23" hidden="1" outlineLevel="1" x14ac:dyDescent="0.35">
      <c r="B170" s="27"/>
      <c r="C170" s="6"/>
      <c r="D170" s="345" t="s">
        <v>151</v>
      </c>
      <c r="F170" s="356">
        <f>YetKieu!F46</f>
        <v>99.96</v>
      </c>
      <c r="G170" s="356">
        <f>YetKieu!G46</f>
        <v>72.342500000000001</v>
      </c>
      <c r="H170" s="356">
        <f>YetKieu!H46</f>
        <v>72.342500000000001</v>
      </c>
      <c r="I170" s="356">
        <f>YetKieu!I46</f>
        <v>58.484999999999999</v>
      </c>
      <c r="J170" s="356">
        <f>YetKieu!J46</f>
        <v>103.47750000000001</v>
      </c>
      <c r="K170" s="356">
        <f>YetKieu!K46</f>
        <v>103.47750000000001</v>
      </c>
      <c r="L170" s="356">
        <f>YetKieu!L46</f>
        <v>187.25700000000001</v>
      </c>
      <c r="M170" s="356">
        <f>YetKieu!M46</f>
        <v>92.299374999999998</v>
      </c>
      <c r="N170" s="356">
        <f>YetKieu!N46</f>
        <v>92.299374999999998</v>
      </c>
      <c r="O170" s="356">
        <f>YetKieu!O46</f>
        <v>118.93525</v>
      </c>
      <c r="P170" s="356">
        <f>YetKieu!P46</f>
        <v>86.87</v>
      </c>
      <c r="Q170" s="356">
        <f>YetKieu!Q46</f>
        <v>86.87</v>
      </c>
      <c r="R170" s="356">
        <f t="shared" si="67"/>
        <v>1174.616</v>
      </c>
      <c r="S170" s="356">
        <f t="shared" si="68"/>
        <v>0</v>
      </c>
      <c r="T170" s="359">
        <f t="shared" si="69"/>
        <v>1174.616</v>
      </c>
      <c r="U170" s="386">
        <f t="shared" si="57"/>
        <v>2.5855163911263E-2</v>
      </c>
      <c r="V170" s="387" t="str">
        <f t="shared" si="58"/>
        <v/>
      </c>
      <c r="W170" s="387">
        <f t="shared" si="59"/>
        <v>2.5855163911263E-2</v>
      </c>
    </row>
    <row r="171" spans="2:23" hidden="1" outlineLevel="1" x14ac:dyDescent="0.35">
      <c r="B171" s="27"/>
      <c r="C171" s="6"/>
      <c r="D171" s="345" t="s">
        <v>153</v>
      </c>
      <c r="F171" s="356">
        <f>NhaTrang!F36</f>
        <v>99.307946000000001</v>
      </c>
      <c r="G171" s="356">
        <f>NhaTrang!G36</f>
        <v>72.83</v>
      </c>
      <c r="H171" s="356">
        <f>NhaTrang!H36</f>
        <v>72.817499999999995</v>
      </c>
      <c r="I171" s="356">
        <f>NhaTrang!I36</f>
        <v>57.153492999999997</v>
      </c>
      <c r="J171" s="356">
        <f>NhaTrang!J36</f>
        <v>97.091250000000002</v>
      </c>
      <c r="K171" s="356">
        <f>NhaTrang!K36</f>
        <v>97.091250000000002</v>
      </c>
      <c r="L171" s="356">
        <f>NhaTrang!L36</f>
        <v>166.539007</v>
      </c>
      <c r="M171" s="356">
        <f>NhaTrang!M36</f>
        <v>91.697292000000004</v>
      </c>
      <c r="N171" s="356">
        <f>NhaTrang!N36</f>
        <v>91.697292000000004</v>
      </c>
      <c r="O171" s="356">
        <f>NhaTrang!O36</f>
        <v>118.15941599999999</v>
      </c>
      <c r="P171" s="356">
        <f>NhaTrang!P36</f>
        <v>86.303332999999995</v>
      </c>
      <c r="Q171" s="356">
        <f>NhaTrang!Q36</f>
        <v>86.303332999999995</v>
      </c>
      <c r="R171" s="356">
        <f t="shared" si="67"/>
        <v>1136.9911120000002</v>
      </c>
      <c r="S171" s="356">
        <f t="shared" si="68"/>
        <v>0</v>
      </c>
      <c r="T171" s="359">
        <f t="shared" si="69"/>
        <v>1136.9911120000002</v>
      </c>
      <c r="U171" s="386">
        <f t="shared" si="57"/>
        <v>2.5026980363292508E-2</v>
      </c>
      <c r="V171" s="387" t="str">
        <f t="shared" si="58"/>
        <v/>
      </c>
      <c r="W171" s="387">
        <f t="shared" si="59"/>
        <v>2.5026980363292508E-2</v>
      </c>
    </row>
    <row r="172" spans="2:23" hidden="1" outlineLevel="1" x14ac:dyDescent="0.35">
      <c r="B172" s="27"/>
      <c r="C172" s="6"/>
      <c r="D172" s="345" t="s">
        <v>154</v>
      </c>
      <c r="F172" s="356">
        <v>0</v>
      </c>
      <c r="G172" s="356">
        <v>0</v>
      </c>
      <c r="H172" s="356">
        <v>0</v>
      </c>
      <c r="I172" s="356">
        <v>0</v>
      </c>
      <c r="J172" s="356">
        <v>0</v>
      </c>
      <c r="K172" s="356">
        <v>0</v>
      </c>
      <c r="L172" s="356">
        <v>0</v>
      </c>
      <c r="M172" s="356">
        <v>0</v>
      </c>
      <c r="N172" s="356">
        <v>0</v>
      </c>
      <c r="O172" s="356">
        <v>0</v>
      </c>
      <c r="P172" s="356">
        <v>0</v>
      </c>
      <c r="Q172" s="356">
        <v>0</v>
      </c>
      <c r="R172" s="356">
        <f t="shared" si="67"/>
        <v>0</v>
      </c>
      <c r="S172" s="356">
        <f t="shared" si="68"/>
        <v>0</v>
      </c>
      <c r="T172" s="359">
        <f t="shared" si="69"/>
        <v>0</v>
      </c>
      <c r="U172" s="386">
        <f t="shared" si="57"/>
        <v>0</v>
      </c>
      <c r="V172" s="387" t="str">
        <f t="shared" si="58"/>
        <v/>
      </c>
      <c r="W172" s="387">
        <f t="shared" si="59"/>
        <v>0</v>
      </c>
    </row>
    <row r="173" spans="2:23" hidden="1" outlineLevel="1" x14ac:dyDescent="0.35">
      <c r="B173" s="27"/>
      <c r="C173" s="6"/>
      <c r="D173" s="347" t="s">
        <v>155</v>
      </c>
      <c r="E173" s="368"/>
      <c r="F173" s="357">
        <v>0</v>
      </c>
      <c r="G173" s="357">
        <v>0</v>
      </c>
      <c r="H173" s="357">
        <v>0</v>
      </c>
      <c r="I173" s="357">
        <v>0</v>
      </c>
      <c r="J173" s="357">
        <v>0</v>
      </c>
      <c r="K173" s="357">
        <v>0</v>
      </c>
      <c r="L173" s="357">
        <v>0</v>
      </c>
      <c r="M173" s="357">
        <v>0</v>
      </c>
      <c r="N173" s="357">
        <v>0</v>
      </c>
      <c r="O173" s="357">
        <v>0</v>
      </c>
      <c r="P173" s="357">
        <v>0</v>
      </c>
      <c r="Q173" s="357">
        <v>0</v>
      </c>
      <c r="R173" s="357">
        <f t="shared" si="67"/>
        <v>0</v>
      </c>
      <c r="S173" s="357">
        <f t="shared" si="68"/>
        <v>0</v>
      </c>
      <c r="T173" s="360">
        <f t="shared" si="69"/>
        <v>0</v>
      </c>
      <c r="U173" s="386">
        <f t="shared" si="57"/>
        <v>0</v>
      </c>
      <c r="V173" s="387" t="str">
        <f t="shared" si="58"/>
        <v/>
      </c>
      <c r="W173" s="387">
        <f t="shared" si="59"/>
        <v>0</v>
      </c>
    </row>
    <row r="174" spans="2:23" collapsed="1" x14ac:dyDescent="0.35">
      <c r="B174" s="27"/>
      <c r="C174" s="6" t="s">
        <v>478</v>
      </c>
      <c r="D174" s="6"/>
      <c r="F174" s="57">
        <f>SUBTOTAL(9,F175:F183)</f>
        <v>1112.69805625</v>
      </c>
      <c r="G174" s="57">
        <f t="shared" ref="G174:Q174" si="70">SUBTOTAL(9,G175:G183)</f>
        <v>1112.69805625</v>
      </c>
      <c r="H174" s="57">
        <f t="shared" si="70"/>
        <v>1112.69805625</v>
      </c>
      <c r="I174" s="57">
        <f t="shared" si="70"/>
        <v>1112.69805625</v>
      </c>
      <c r="J174" s="57">
        <f t="shared" si="70"/>
        <v>1112.69805625</v>
      </c>
      <c r="K174" s="57">
        <f t="shared" si="70"/>
        <v>1256.0313892500001</v>
      </c>
      <c r="L174" s="57">
        <f t="shared" si="70"/>
        <v>1256.0313892500001</v>
      </c>
      <c r="M174" s="57">
        <f t="shared" si="70"/>
        <v>1285.7676462500001</v>
      </c>
      <c r="N174" s="57">
        <f t="shared" si="70"/>
        <v>1322.12033425</v>
      </c>
      <c r="O174" s="57">
        <f t="shared" si="70"/>
        <v>1382.17033425</v>
      </c>
      <c r="P174" s="57">
        <f t="shared" si="70"/>
        <v>1381.72033425</v>
      </c>
      <c r="Q174" s="57">
        <f t="shared" si="70"/>
        <v>1381.72033425</v>
      </c>
      <c r="R174" s="57">
        <f t="shared" si="67"/>
        <v>14829.052043</v>
      </c>
      <c r="S174" s="57">
        <f t="shared" si="68"/>
        <v>0</v>
      </c>
      <c r="T174" s="57">
        <f t="shared" si="69"/>
        <v>14829.052043</v>
      </c>
      <c r="U174" s="386">
        <f t="shared" si="57"/>
        <v>0.32641098982170724</v>
      </c>
      <c r="V174" s="387" t="str">
        <f t="shared" si="58"/>
        <v/>
      </c>
      <c r="W174" s="387">
        <f t="shared" si="59"/>
        <v>0.32641098982170724</v>
      </c>
    </row>
    <row r="175" spans="2:23" hidden="1" outlineLevel="1" x14ac:dyDescent="0.35">
      <c r="B175" s="27"/>
      <c r="D175" s="341" t="s">
        <v>147</v>
      </c>
      <c r="E175" s="367"/>
      <c r="F175" s="405">
        <f>HaiDuong!F75</f>
        <v>236.5</v>
      </c>
      <c r="G175" s="405">
        <f>HaiDuong!G75</f>
        <v>236.5</v>
      </c>
      <c r="H175" s="405">
        <f>HaiDuong!H75</f>
        <v>236.5</v>
      </c>
      <c r="I175" s="405">
        <f>HaiDuong!I75</f>
        <v>236.5</v>
      </c>
      <c r="J175" s="405">
        <f>HaiDuong!J75</f>
        <v>236.5</v>
      </c>
      <c r="K175" s="405">
        <f>HaiDuong!K75</f>
        <v>236.5</v>
      </c>
      <c r="L175" s="405">
        <f>HaiDuong!L75</f>
        <v>236.5</v>
      </c>
      <c r="M175" s="405">
        <f>HaiDuong!M75</f>
        <v>236.5</v>
      </c>
      <c r="N175" s="405">
        <f>HaiDuong!N75</f>
        <v>236.5</v>
      </c>
      <c r="O175" s="405">
        <f>HaiDuong!O75</f>
        <v>236.5</v>
      </c>
      <c r="P175" s="405">
        <f>HaiDuong!P75</f>
        <v>236.5</v>
      </c>
      <c r="Q175" s="405">
        <f>HaiDuong!Q75</f>
        <v>236.5</v>
      </c>
      <c r="R175" s="353">
        <f t="shared" si="67"/>
        <v>2838</v>
      </c>
      <c r="S175" s="353">
        <f t="shared" si="68"/>
        <v>0</v>
      </c>
      <c r="T175" s="344">
        <f t="shared" si="69"/>
        <v>2838</v>
      </c>
      <c r="U175" s="386">
        <f t="shared" si="57"/>
        <v>6.2468887857959024E-2</v>
      </c>
      <c r="V175" s="387" t="str">
        <f t="shared" si="58"/>
        <v/>
      </c>
      <c r="W175" s="387">
        <f t="shared" si="59"/>
        <v>6.2468887857959024E-2</v>
      </c>
    </row>
    <row r="176" spans="2:23" hidden="1" outlineLevel="1" x14ac:dyDescent="0.35">
      <c r="B176" s="27"/>
      <c r="D176" s="345" t="s">
        <v>150</v>
      </c>
      <c r="F176" s="406">
        <f>CaMau!F45</f>
        <v>160</v>
      </c>
      <c r="G176" s="406">
        <f>CaMau!G45</f>
        <v>160</v>
      </c>
      <c r="H176" s="406">
        <f>CaMau!H45</f>
        <v>160</v>
      </c>
      <c r="I176" s="406">
        <f>CaMau!I45</f>
        <v>160</v>
      </c>
      <c r="J176" s="406">
        <f>CaMau!J45</f>
        <v>160</v>
      </c>
      <c r="K176" s="406">
        <f>CaMau!K45</f>
        <v>160</v>
      </c>
      <c r="L176" s="406">
        <f>CaMau!L45</f>
        <v>160</v>
      </c>
      <c r="M176" s="406">
        <f>CaMau!M45</f>
        <v>160</v>
      </c>
      <c r="N176" s="406">
        <f>CaMau!N45</f>
        <v>160</v>
      </c>
      <c r="O176" s="406">
        <f>CaMau!O45</f>
        <v>160</v>
      </c>
      <c r="P176" s="406">
        <f>CaMau!P45</f>
        <v>160</v>
      </c>
      <c r="Q176" s="406">
        <f>CaMau!Q45</f>
        <v>160</v>
      </c>
      <c r="R176" s="57">
        <f t="shared" si="67"/>
        <v>1920</v>
      </c>
      <c r="S176" s="57">
        <f t="shared" si="68"/>
        <v>0</v>
      </c>
      <c r="T176" s="346">
        <f t="shared" si="69"/>
        <v>1920</v>
      </c>
      <c r="U176" s="386">
        <f t="shared" si="57"/>
        <v>4.2262249713629782E-2</v>
      </c>
      <c r="V176" s="387" t="str">
        <f t="shared" si="58"/>
        <v/>
      </c>
      <c r="W176" s="387">
        <f t="shared" si="59"/>
        <v>4.2262249713629782E-2</v>
      </c>
    </row>
    <row r="177" spans="2:23" hidden="1" outlineLevel="1" x14ac:dyDescent="0.35">
      <c r="B177" s="27"/>
      <c r="D177" s="345" t="s">
        <v>146</v>
      </c>
      <c r="F177" s="406">
        <f>ThanhHoa!F44</f>
        <v>177.76985525000001</v>
      </c>
      <c r="G177" s="406">
        <f>ThanhHoa!G44</f>
        <v>177.76985525000001</v>
      </c>
      <c r="H177" s="406">
        <f>ThanhHoa!H44</f>
        <v>177.76985525000001</v>
      </c>
      <c r="I177" s="406">
        <f>ThanhHoa!I44</f>
        <v>177.76985525000001</v>
      </c>
      <c r="J177" s="406">
        <f>ThanhHoa!J44</f>
        <v>177.76985525000001</v>
      </c>
      <c r="K177" s="406">
        <f>ThanhHoa!K44</f>
        <v>177.76985525000001</v>
      </c>
      <c r="L177" s="406">
        <f>ThanhHoa!L44</f>
        <v>177.76985525000001</v>
      </c>
      <c r="M177" s="406">
        <f>ThanhHoa!M44</f>
        <v>177.76985525000001</v>
      </c>
      <c r="N177" s="406">
        <f>ThanhHoa!N44</f>
        <v>177.76985525000001</v>
      </c>
      <c r="O177" s="406">
        <f>ThanhHoa!O44</f>
        <v>177.76985525000001</v>
      </c>
      <c r="P177" s="406">
        <f>ThanhHoa!P44</f>
        <v>177.76985525000001</v>
      </c>
      <c r="Q177" s="406">
        <f>ThanhHoa!Q44</f>
        <v>177.76985525000001</v>
      </c>
      <c r="R177" s="57">
        <f t="shared" si="67"/>
        <v>2133.2382630000006</v>
      </c>
      <c r="S177" s="57">
        <f t="shared" si="68"/>
        <v>0</v>
      </c>
      <c r="T177" s="346">
        <f t="shared" si="69"/>
        <v>2133.2382630000006</v>
      </c>
      <c r="U177" s="386">
        <f t="shared" si="57"/>
        <v>4.6955962588320764E-2</v>
      </c>
      <c r="V177" s="387" t="str">
        <f t="shared" si="58"/>
        <v/>
      </c>
      <c r="W177" s="387">
        <f t="shared" si="59"/>
        <v>4.6955962588320764E-2</v>
      </c>
    </row>
    <row r="178" spans="2:23" hidden="1" outlineLevel="1" x14ac:dyDescent="0.35">
      <c r="B178" s="27"/>
      <c r="D178" s="345" t="s">
        <v>148</v>
      </c>
      <c r="E178" s="93"/>
      <c r="F178" s="407">
        <f>ThaiNguyen!F44</f>
        <v>143.33333300000001</v>
      </c>
      <c r="G178" s="407">
        <f>ThaiNguyen!G44</f>
        <v>143.33333300000001</v>
      </c>
      <c r="H178" s="407">
        <f>ThaiNguyen!H44</f>
        <v>143.33333300000001</v>
      </c>
      <c r="I178" s="407">
        <f>ThaiNguyen!I44</f>
        <v>143.33333300000001</v>
      </c>
      <c r="J178" s="407">
        <f>ThaiNguyen!J44</f>
        <v>143.33333300000001</v>
      </c>
      <c r="K178" s="407">
        <f>ThaiNguyen!K44</f>
        <v>143.33333300000001</v>
      </c>
      <c r="L178" s="407">
        <f>ThaiNguyen!L44</f>
        <v>143.33333300000001</v>
      </c>
      <c r="M178" s="407">
        <f>ThaiNguyen!M44</f>
        <v>165.91397800000001</v>
      </c>
      <c r="N178" s="407">
        <f>ThaiNguyen!N44</f>
        <v>168.933333</v>
      </c>
      <c r="O178" s="407">
        <f>ThaiNguyen!O44</f>
        <v>171.48333300000002</v>
      </c>
      <c r="P178" s="407">
        <f>ThaiNguyen!P44</f>
        <v>171.033333</v>
      </c>
      <c r="Q178" s="407">
        <f>ThaiNguyen!Q44</f>
        <v>171.033333</v>
      </c>
      <c r="R178" s="400">
        <f t="shared" si="67"/>
        <v>1851.7306410000001</v>
      </c>
      <c r="S178" s="400">
        <f t="shared" si="68"/>
        <v>0</v>
      </c>
      <c r="T178" s="401">
        <f t="shared" si="69"/>
        <v>1851.7306410000001</v>
      </c>
      <c r="U178" s="384">
        <f t="shared" si="57"/>
        <v>4.075953268350091E-2</v>
      </c>
      <c r="V178" s="387" t="str">
        <f t="shared" si="58"/>
        <v/>
      </c>
      <c r="W178" s="387">
        <f t="shared" si="59"/>
        <v>4.075953268350091E-2</v>
      </c>
    </row>
    <row r="179" spans="2:23" hidden="1" outlineLevel="1" x14ac:dyDescent="0.35">
      <c r="B179" s="27"/>
      <c r="D179" s="345" t="s">
        <v>327</v>
      </c>
      <c r="E179" s="93"/>
      <c r="F179" s="407">
        <f>ThaiBinh!F35</f>
        <v>0</v>
      </c>
      <c r="G179" s="407">
        <f>ThaiBinh!G35</f>
        <v>0</v>
      </c>
      <c r="H179" s="407">
        <f>ThaiBinh!H35</f>
        <v>0</v>
      </c>
      <c r="I179" s="407">
        <f>ThaiBinh!I35</f>
        <v>0</v>
      </c>
      <c r="J179" s="407">
        <f>ThaiBinh!J35</f>
        <v>0</v>
      </c>
      <c r="K179" s="407">
        <f>ThaiBinh!K35</f>
        <v>143.33333300000001</v>
      </c>
      <c r="L179" s="407">
        <f>ThaiBinh!L35</f>
        <v>143.33333300000001</v>
      </c>
      <c r="M179" s="407">
        <f>ThaiBinh!M35</f>
        <v>143.33333300000001</v>
      </c>
      <c r="N179" s="407">
        <f>ThaiBinh!N35</f>
        <v>143.33333300000001</v>
      </c>
      <c r="O179" s="407">
        <f>ThaiBinh!O35</f>
        <v>143.33333300000001</v>
      </c>
      <c r="P179" s="407">
        <f>ThaiBinh!P35</f>
        <v>143.33333300000001</v>
      </c>
      <c r="Q179" s="407">
        <f>ThaiBinh!Q35</f>
        <v>143.33333300000001</v>
      </c>
      <c r="R179" s="400">
        <f t="shared" si="67"/>
        <v>1003.3333310000002</v>
      </c>
      <c r="S179" s="400">
        <f t="shared" si="68"/>
        <v>0</v>
      </c>
      <c r="T179" s="401">
        <f t="shared" si="69"/>
        <v>1003.3333310000002</v>
      </c>
      <c r="U179" s="384">
        <f t="shared" si="57"/>
        <v>2.2084960302463527E-2</v>
      </c>
      <c r="V179" s="387" t="str">
        <f t="shared" si="58"/>
        <v/>
      </c>
      <c r="W179" s="387">
        <f t="shared" si="59"/>
        <v>2.2084960302463527E-2</v>
      </c>
    </row>
    <row r="180" spans="2:23" hidden="1" outlineLevel="1" x14ac:dyDescent="0.35">
      <c r="B180" s="27"/>
      <c r="D180" s="345" t="s">
        <v>151</v>
      </c>
      <c r="E180" s="93"/>
      <c r="F180" s="407">
        <f>YetKieu!F41</f>
        <v>196.83345700000001</v>
      </c>
      <c r="G180" s="407">
        <f>YetKieu!G41</f>
        <v>196.83345700000001</v>
      </c>
      <c r="H180" s="407">
        <f>YetKieu!H41</f>
        <v>196.83345700000001</v>
      </c>
      <c r="I180" s="407">
        <f>YetKieu!I41</f>
        <v>196.83345700000001</v>
      </c>
      <c r="J180" s="407">
        <f>YetKieu!J41</f>
        <v>196.83345700000001</v>
      </c>
      <c r="K180" s="407">
        <f>YetKieu!K41</f>
        <v>196.83345700000001</v>
      </c>
      <c r="L180" s="407">
        <f>YetKieu!L41</f>
        <v>196.83345700000001</v>
      </c>
      <c r="M180" s="407">
        <f>YetKieu!M41</f>
        <v>203.98906900000003</v>
      </c>
      <c r="N180" s="407">
        <f>YetKieu!N41</f>
        <v>203.98906899999997</v>
      </c>
      <c r="O180" s="407">
        <f>YetKieu!O41</f>
        <v>203.98906899999997</v>
      </c>
      <c r="P180" s="407">
        <f>YetKieu!P41</f>
        <v>203.98906899999997</v>
      </c>
      <c r="Q180" s="407">
        <f>YetKieu!Q41</f>
        <v>203.98906899999997</v>
      </c>
      <c r="R180" s="400">
        <f t="shared" si="67"/>
        <v>2397.779544</v>
      </c>
      <c r="S180" s="400">
        <f t="shared" si="68"/>
        <v>0</v>
      </c>
      <c r="T180" s="401">
        <f t="shared" si="69"/>
        <v>2397.779544</v>
      </c>
      <c r="U180" s="384">
        <f t="shared" si="57"/>
        <v>5.2778936378521539E-2</v>
      </c>
      <c r="V180" s="387" t="str">
        <f t="shared" si="58"/>
        <v/>
      </c>
      <c r="W180" s="387">
        <f t="shared" si="59"/>
        <v>5.2778936378521539E-2</v>
      </c>
    </row>
    <row r="181" spans="2:23" hidden="1" outlineLevel="1" x14ac:dyDescent="0.35">
      <c r="B181" s="27"/>
      <c r="D181" s="345" t="s">
        <v>153</v>
      </c>
      <c r="E181" s="93"/>
      <c r="F181" s="407">
        <f>NhaTrang!F37</f>
        <v>198.26141100000001</v>
      </c>
      <c r="G181" s="407">
        <f>NhaTrang!G37</f>
        <v>198.26141100000001</v>
      </c>
      <c r="H181" s="407">
        <f>NhaTrang!H37</f>
        <v>198.26141100000001</v>
      </c>
      <c r="I181" s="407">
        <f>NhaTrang!I37</f>
        <v>198.26141100000001</v>
      </c>
      <c r="J181" s="407">
        <f>NhaTrang!J37</f>
        <v>198.26141100000001</v>
      </c>
      <c r="K181" s="407">
        <f>NhaTrang!K37</f>
        <v>198.26141100000001</v>
      </c>
      <c r="L181" s="407">
        <f>NhaTrang!L37</f>
        <v>198.26141100000001</v>
      </c>
      <c r="M181" s="407">
        <f>NhaTrang!M37</f>
        <v>198.26141100000001</v>
      </c>
      <c r="N181" s="407">
        <f>NhaTrang!N37</f>
        <v>198.26141100000001</v>
      </c>
      <c r="O181" s="407">
        <f>NhaTrang!O37</f>
        <v>198.26141100000001</v>
      </c>
      <c r="P181" s="407">
        <f>NhaTrang!P37</f>
        <v>198.26141100000001</v>
      </c>
      <c r="Q181" s="407">
        <f>NhaTrang!Q37</f>
        <v>198.26141100000001</v>
      </c>
      <c r="R181" s="400">
        <f t="shared" si="67"/>
        <v>2379.1369319999999</v>
      </c>
      <c r="S181" s="400">
        <f t="shared" si="68"/>
        <v>0</v>
      </c>
      <c r="T181" s="401">
        <f t="shared" si="69"/>
        <v>2379.1369319999999</v>
      </c>
      <c r="U181" s="384">
        <f t="shared" si="57"/>
        <v>5.2368582876616165E-2</v>
      </c>
      <c r="V181" s="387" t="str">
        <f t="shared" si="58"/>
        <v/>
      </c>
      <c r="W181" s="387">
        <f t="shared" si="59"/>
        <v>5.2368582876616165E-2</v>
      </c>
    </row>
    <row r="182" spans="2:23" hidden="1" outlineLevel="1" x14ac:dyDescent="0.35">
      <c r="B182" s="27"/>
      <c r="D182" s="345" t="s">
        <v>154</v>
      </c>
      <c r="E182" s="93"/>
      <c r="F182" s="407">
        <f>ThachThat!F30</f>
        <v>0</v>
      </c>
      <c r="G182" s="407">
        <f>ThachThat!G30</f>
        <v>0</v>
      </c>
      <c r="H182" s="407">
        <f>ThachThat!H30</f>
        <v>0</v>
      </c>
      <c r="I182" s="407">
        <f>ThachThat!I30</f>
        <v>0</v>
      </c>
      <c r="J182" s="407">
        <f>ThachThat!J30</f>
        <v>0</v>
      </c>
      <c r="K182" s="407">
        <f>ThachThat!K30</f>
        <v>0</v>
      </c>
      <c r="L182" s="407">
        <f>ThachThat!L30</f>
        <v>0</v>
      </c>
      <c r="M182" s="407">
        <f>ThachThat!M30</f>
        <v>0</v>
      </c>
      <c r="N182" s="407">
        <f>ThachThat!N30</f>
        <v>33.333333000000003</v>
      </c>
      <c r="O182" s="407">
        <f>ThachThat!O30</f>
        <v>33.333333000000003</v>
      </c>
      <c r="P182" s="407">
        <f>ThachThat!P30</f>
        <v>33.333333000000003</v>
      </c>
      <c r="Q182" s="407">
        <f>ThachThat!Q30</f>
        <v>33.333333000000003</v>
      </c>
      <c r="R182" s="400">
        <f t="shared" si="67"/>
        <v>133.33333200000001</v>
      </c>
      <c r="S182" s="400">
        <f t="shared" si="68"/>
        <v>0</v>
      </c>
      <c r="T182" s="401">
        <f t="shared" si="69"/>
        <v>133.33333200000001</v>
      </c>
      <c r="U182" s="384">
        <f t="shared" si="57"/>
        <v>2.9348784229866172E-3</v>
      </c>
      <c r="V182" s="387" t="str">
        <f t="shared" si="58"/>
        <v/>
      </c>
      <c r="W182" s="387">
        <f t="shared" si="59"/>
        <v>2.9348784229866172E-3</v>
      </c>
    </row>
    <row r="183" spans="2:23" hidden="1" outlineLevel="1" x14ac:dyDescent="0.35">
      <c r="B183" s="27"/>
      <c r="D183" s="347" t="s">
        <v>155</v>
      </c>
      <c r="E183" s="402"/>
      <c r="F183" s="408">
        <f>'SocSon-1'!F40</f>
        <v>0</v>
      </c>
      <c r="G183" s="408">
        <f>'SocSon-1'!G40</f>
        <v>0</v>
      </c>
      <c r="H183" s="408">
        <f>'SocSon-1'!H40</f>
        <v>0</v>
      </c>
      <c r="I183" s="408">
        <f>'SocSon-1'!I40</f>
        <v>0</v>
      </c>
      <c r="J183" s="408">
        <f>'SocSon-1'!J40</f>
        <v>0</v>
      </c>
      <c r="K183" s="408">
        <f>'SocSon-1'!K40</f>
        <v>0</v>
      </c>
      <c r="L183" s="408">
        <f>'SocSon-1'!L40</f>
        <v>0</v>
      </c>
      <c r="M183" s="408">
        <f>'SocSon-1'!M40</f>
        <v>0</v>
      </c>
      <c r="N183" s="408">
        <f>'SocSon-1'!N40</f>
        <v>0</v>
      </c>
      <c r="O183" s="408">
        <f>'SocSon-1'!O40</f>
        <v>57.5</v>
      </c>
      <c r="P183" s="408">
        <f>'SocSon-1'!P40</f>
        <v>57.5</v>
      </c>
      <c r="Q183" s="408">
        <f>'SocSon-1'!Q40</f>
        <v>57.5</v>
      </c>
      <c r="R183" s="403">
        <f t="shared" si="67"/>
        <v>172.5</v>
      </c>
      <c r="S183" s="403">
        <f t="shared" si="68"/>
        <v>0</v>
      </c>
      <c r="T183" s="404">
        <f t="shared" si="69"/>
        <v>172.5</v>
      </c>
      <c r="U183" s="384">
        <f t="shared" si="57"/>
        <v>3.7969989977089257E-3</v>
      </c>
      <c r="V183" s="387" t="str">
        <f t="shared" si="58"/>
        <v/>
      </c>
      <c r="W183" s="387">
        <f t="shared" si="59"/>
        <v>3.7969989977089257E-3</v>
      </c>
    </row>
    <row r="184" spans="2:23" collapsed="1" x14ac:dyDescent="0.35">
      <c r="B184" s="27"/>
      <c r="C184" s="6" t="s">
        <v>195</v>
      </c>
      <c r="E184" s="93"/>
      <c r="F184" s="103">
        <f>SUBTOTAL(9,F185:F194)</f>
        <v>499.30383116666701</v>
      </c>
      <c r="G184" s="103">
        <f t="shared" ref="G184:Q184" si="71">SUBTOTAL(9,G185:G194)</f>
        <v>516.30630916666701</v>
      </c>
      <c r="H184" s="103">
        <f t="shared" si="71"/>
        <v>243.41587199999998</v>
      </c>
      <c r="I184" s="103">
        <f t="shared" si="71"/>
        <v>242.956695</v>
      </c>
      <c r="J184" s="103">
        <f t="shared" si="71"/>
        <v>242.956695</v>
      </c>
      <c r="K184" s="103">
        <f t="shared" si="71"/>
        <v>262.76545299999998</v>
      </c>
      <c r="L184" s="103">
        <f t="shared" si="71"/>
        <v>262.76545299999998</v>
      </c>
      <c r="M184" s="103">
        <f t="shared" si="71"/>
        <v>264.01645299999996</v>
      </c>
      <c r="N184" s="103">
        <f t="shared" si="71"/>
        <v>292.72842700000001</v>
      </c>
      <c r="O184" s="103">
        <f t="shared" si="71"/>
        <v>528.78749899999991</v>
      </c>
      <c r="P184" s="103">
        <f t="shared" si="71"/>
        <v>529.83662800000002</v>
      </c>
      <c r="Q184" s="103">
        <f t="shared" si="71"/>
        <v>523.30283499999996</v>
      </c>
      <c r="R184" s="57">
        <f t="shared" ref="R184:R194" si="72">SUMIFS($F184:$Q184,$F$7:$Q$7,"A")</f>
        <v>4409.1421503333349</v>
      </c>
      <c r="S184" s="57">
        <f t="shared" ref="S184:S194" si="73">SUMIFS($F184:$Q184,$F$7:$Q$7,"B")</f>
        <v>0</v>
      </c>
      <c r="T184" s="57">
        <f>SUM(R184:S184)</f>
        <v>4409.1421503333349</v>
      </c>
      <c r="U184" s="386">
        <f t="shared" si="57"/>
        <v>9.7052222177228115E-2</v>
      </c>
      <c r="V184" s="387" t="str">
        <f t="shared" si="58"/>
        <v/>
      </c>
      <c r="W184" s="387">
        <f t="shared" si="59"/>
        <v>9.7052222177228115E-2</v>
      </c>
    </row>
    <row r="185" spans="2:23" hidden="1" outlineLevel="1" x14ac:dyDescent="0.35">
      <c r="B185" s="27"/>
      <c r="D185" s="409" t="s">
        <v>147</v>
      </c>
      <c r="E185" s="410"/>
      <c r="F185" s="411">
        <f>HaiDuong!F81</f>
        <v>24.41545</v>
      </c>
      <c r="G185" s="411">
        <f>HaiDuong!G81</f>
        <v>24.41545</v>
      </c>
      <c r="H185" s="411">
        <f>HaiDuong!H81</f>
        <v>24.41545</v>
      </c>
      <c r="I185" s="411">
        <f>HaiDuong!I81</f>
        <v>24.41545</v>
      </c>
      <c r="J185" s="411">
        <f>HaiDuong!J81</f>
        <v>24.41545</v>
      </c>
      <c r="K185" s="411">
        <f>HaiDuong!K81</f>
        <v>24.41545</v>
      </c>
      <c r="L185" s="411">
        <f>HaiDuong!L81</f>
        <v>24.41545</v>
      </c>
      <c r="M185" s="411">
        <f>HaiDuong!M81</f>
        <v>24.41545</v>
      </c>
      <c r="N185" s="411">
        <f>HaiDuong!N81</f>
        <v>24.41545</v>
      </c>
      <c r="O185" s="411">
        <f>HaiDuong!O81</f>
        <v>24.41545</v>
      </c>
      <c r="P185" s="411">
        <f>HaiDuong!P81</f>
        <v>24.41545</v>
      </c>
      <c r="Q185" s="411">
        <f>HaiDuong!Q81</f>
        <v>24.41545</v>
      </c>
      <c r="R185" s="355">
        <f t="shared" si="72"/>
        <v>292.98539999999997</v>
      </c>
      <c r="S185" s="355">
        <f t="shared" si="73"/>
        <v>0</v>
      </c>
      <c r="T185" s="358">
        <f t="shared" ref="T185:T194" si="74">SUM(R185:S185)</f>
        <v>292.98539999999997</v>
      </c>
      <c r="U185" s="386">
        <f t="shared" si="57"/>
        <v>6.4490740298165138E-3</v>
      </c>
      <c r="V185" s="387" t="str">
        <f t="shared" si="58"/>
        <v/>
      </c>
      <c r="W185" s="387">
        <f t="shared" si="59"/>
        <v>6.4490740298165138E-3</v>
      </c>
    </row>
    <row r="186" spans="2:23" hidden="1" outlineLevel="1" x14ac:dyDescent="0.35">
      <c r="B186" s="27"/>
      <c r="D186" s="412" t="s">
        <v>150</v>
      </c>
      <c r="E186" s="93"/>
      <c r="F186" s="407">
        <f>CaMau!F51</f>
        <v>24.695902</v>
      </c>
      <c r="G186" s="407">
        <f>CaMau!G51</f>
        <v>24.695902</v>
      </c>
      <c r="H186" s="407">
        <f>CaMau!H51</f>
        <v>24.695902</v>
      </c>
      <c r="I186" s="407">
        <f>CaMau!I51</f>
        <v>24.695902</v>
      </c>
      <c r="J186" s="407">
        <f>CaMau!J51</f>
        <v>24.695902</v>
      </c>
      <c r="K186" s="407">
        <f>CaMau!K51</f>
        <v>24.695902</v>
      </c>
      <c r="L186" s="407">
        <f>CaMau!L51</f>
        <v>24.695902</v>
      </c>
      <c r="M186" s="407">
        <f>CaMau!M51</f>
        <v>24.695902</v>
      </c>
      <c r="N186" s="407">
        <f>CaMau!N51</f>
        <v>24.695902</v>
      </c>
      <c r="O186" s="407">
        <f>CaMau!O51</f>
        <v>24.695902</v>
      </c>
      <c r="P186" s="407">
        <f>CaMau!P51</f>
        <v>24.695902</v>
      </c>
      <c r="Q186" s="407">
        <f>CaMau!Q51</f>
        <v>24.695902</v>
      </c>
      <c r="R186" s="356">
        <f t="shared" si="72"/>
        <v>296.35082399999993</v>
      </c>
      <c r="S186" s="356">
        <f t="shared" si="73"/>
        <v>0</v>
      </c>
      <c r="T186" s="359">
        <f t="shared" si="74"/>
        <v>296.35082399999993</v>
      </c>
      <c r="U186" s="386">
        <f t="shared" si="57"/>
        <v>6.5231523576708061E-3</v>
      </c>
      <c r="V186" s="387" t="str">
        <f t="shared" si="58"/>
        <v/>
      </c>
      <c r="W186" s="387">
        <f t="shared" si="59"/>
        <v>6.5231523576708061E-3</v>
      </c>
    </row>
    <row r="187" spans="2:23" hidden="1" outlineLevel="1" x14ac:dyDescent="0.35">
      <c r="B187" s="27"/>
      <c r="D187" s="412" t="s">
        <v>146</v>
      </c>
      <c r="E187" s="93"/>
      <c r="F187" s="407">
        <f>ThanhHoa!F50</f>
        <v>30.014921999999999</v>
      </c>
      <c r="G187" s="407">
        <f>ThanhHoa!G50</f>
        <v>30.014921999999999</v>
      </c>
      <c r="H187" s="407">
        <f>ThanhHoa!H50</f>
        <v>30.014921999999999</v>
      </c>
      <c r="I187" s="407">
        <f>ThanhHoa!I50</f>
        <v>30.014921999999999</v>
      </c>
      <c r="J187" s="407">
        <f>ThanhHoa!J50</f>
        <v>30.014921999999999</v>
      </c>
      <c r="K187" s="407">
        <f>ThanhHoa!K50</f>
        <v>30.014921999999999</v>
      </c>
      <c r="L187" s="407">
        <f>ThanhHoa!L50</f>
        <v>30.014921999999999</v>
      </c>
      <c r="M187" s="407">
        <f>ThanhHoa!M50</f>
        <v>30.014921999999999</v>
      </c>
      <c r="N187" s="407">
        <f>ThanhHoa!N50</f>
        <v>30.014921999999999</v>
      </c>
      <c r="O187" s="407">
        <f>ThanhHoa!O50</f>
        <v>30.014921999999999</v>
      </c>
      <c r="P187" s="407">
        <f>ThanhHoa!P50</f>
        <v>30.014921999999999</v>
      </c>
      <c r="Q187" s="407">
        <f>ThanhHoa!Q50</f>
        <v>30.014921999999999</v>
      </c>
      <c r="R187" s="356">
        <f t="shared" si="72"/>
        <v>360.1790640000001</v>
      </c>
      <c r="S187" s="356">
        <f t="shared" si="73"/>
        <v>0</v>
      </c>
      <c r="T187" s="359">
        <f t="shared" si="74"/>
        <v>360.1790640000001</v>
      </c>
      <c r="U187" s="386">
        <f t="shared" si="57"/>
        <v>7.9281133043695041E-3</v>
      </c>
      <c r="V187" s="387" t="str">
        <f t="shared" si="58"/>
        <v/>
      </c>
      <c r="W187" s="387">
        <f t="shared" si="59"/>
        <v>7.9281133043695041E-3</v>
      </c>
    </row>
    <row r="188" spans="2:23" hidden="1" outlineLevel="1" x14ac:dyDescent="0.35">
      <c r="B188" s="27"/>
      <c r="D188" s="412" t="s">
        <v>148</v>
      </c>
      <c r="E188" s="93"/>
      <c r="F188" s="407">
        <f>ThaiNguyen!F50</f>
        <v>25.220376999999999</v>
      </c>
      <c r="G188" s="407">
        <f>ThaiNguyen!G50</f>
        <v>25.220376999999999</v>
      </c>
      <c r="H188" s="407">
        <f>ThaiNguyen!H50</f>
        <v>25.220376999999999</v>
      </c>
      <c r="I188" s="407">
        <f>ThaiNguyen!I50</f>
        <v>25.220376999999999</v>
      </c>
      <c r="J188" s="407">
        <f>ThaiNguyen!J50</f>
        <v>25.220376999999999</v>
      </c>
      <c r="K188" s="407">
        <f>ThaiNguyen!K50</f>
        <v>25.220376999999999</v>
      </c>
      <c r="L188" s="407">
        <f>ThaiNguyen!L50</f>
        <v>25.220376999999999</v>
      </c>
      <c r="M188" s="407">
        <f>ThaiNguyen!M50</f>
        <v>25.220376999999999</v>
      </c>
      <c r="N188" s="407">
        <f>ThaiNguyen!N50</f>
        <v>25.220376999999999</v>
      </c>
      <c r="O188" s="407">
        <f>ThaiNguyen!O50</f>
        <v>25.220376999999999</v>
      </c>
      <c r="P188" s="407">
        <f>ThaiNguyen!P50</f>
        <v>25.220376999999999</v>
      </c>
      <c r="Q188" s="407">
        <f>ThaiNguyen!Q50</f>
        <v>25.220376999999999</v>
      </c>
      <c r="R188" s="356">
        <f t="shared" si="72"/>
        <v>302.64452399999993</v>
      </c>
      <c r="S188" s="356">
        <f t="shared" si="73"/>
        <v>0</v>
      </c>
      <c r="T188" s="359">
        <f t="shared" si="74"/>
        <v>302.64452399999993</v>
      </c>
      <c r="U188" s="386">
        <f t="shared" si="57"/>
        <v>6.661686691536781E-3</v>
      </c>
      <c r="V188" s="387" t="str">
        <f t="shared" si="58"/>
        <v/>
      </c>
      <c r="W188" s="387">
        <f t="shared" si="59"/>
        <v>6.661686691536781E-3</v>
      </c>
    </row>
    <row r="189" spans="2:23" hidden="1" outlineLevel="1" x14ac:dyDescent="0.35">
      <c r="B189" s="27"/>
      <c r="D189" s="412" t="s">
        <v>327</v>
      </c>
      <c r="E189" s="93"/>
      <c r="F189" s="407">
        <f>ThaiBinh!F36</f>
        <v>0</v>
      </c>
      <c r="G189" s="407">
        <f>ThaiBinh!G36</f>
        <v>0</v>
      </c>
      <c r="H189" s="407">
        <f>ThaiBinh!H36</f>
        <v>0</v>
      </c>
      <c r="I189" s="407">
        <f>ThaiBinh!I36</f>
        <v>0</v>
      </c>
      <c r="J189" s="407">
        <f>ThaiBinh!J36</f>
        <v>0</v>
      </c>
      <c r="K189" s="407">
        <f>ThaiBinh!K36</f>
        <v>19.808758000000001</v>
      </c>
      <c r="L189" s="407">
        <f>ThaiBinh!L36</f>
        <v>19.808758000000001</v>
      </c>
      <c r="M189" s="407">
        <f>ThaiBinh!M36</f>
        <v>21.059757999999999</v>
      </c>
      <c r="N189" s="407">
        <f>ThaiBinh!N36</f>
        <v>21.059757999999999</v>
      </c>
      <c r="O189" s="407">
        <f>ThaiBinh!O36</f>
        <v>21.059757999999999</v>
      </c>
      <c r="P189" s="407">
        <f>ThaiBinh!P36</f>
        <v>21.059757999999999</v>
      </c>
      <c r="Q189" s="407">
        <f>ThaiBinh!Q36</f>
        <v>21.059757999999999</v>
      </c>
      <c r="R189" s="356">
        <f t="shared" si="72"/>
        <v>144.91630599999999</v>
      </c>
      <c r="S189" s="356">
        <f t="shared" si="73"/>
        <v>0</v>
      </c>
      <c r="T189" s="359">
        <f t="shared" si="74"/>
        <v>144.91630599999999</v>
      </c>
      <c r="U189" s="386">
        <f t="shared" si="57"/>
        <v>3.189838079035826E-3</v>
      </c>
      <c r="V189" s="387" t="str">
        <f t="shared" si="58"/>
        <v/>
      </c>
      <c r="W189" s="387">
        <f t="shared" si="59"/>
        <v>3.189838079035826E-3</v>
      </c>
    </row>
    <row r="190" spans="2:23" hidden="1" outlineLevel="1" x14ac:dyDescent="0.35">
      <c r="B190" s="27"/>
      <c r="D190" s="412" t="s">
        <v>151</v>
      </c>
      <c r="E190" s="93"/>
      <c r="F190" s="407">
        <f>SUM(YetKieu!F45)</f>
        <v>60.922421999999997</v>
      </c>
      <c r="G190" s="407">
        <f>SUM(YetKieu!G45)</f>
        <v>60.922421999999997</v>
      </c>
      <c r="H190" s="407">
        <f>SUM(YetKieu!H45)</f>
        <v>60.922421999999997</v>
      </c>
      <c r="I190" s="407">
        <f>SUM(YetKieu!I45)</f>
        <v>61.197421999999996</v>
      </c>
      <c r="J190" s="407">
        <f>SUM(YetKieu!J45)</f>
        <v>61.197421999999996</v>
      </c>
      <c r="K190" s="407">
        <f>SUM(YetKieu!K45)</f>
        <v>61.197421999999996</v>
      </c>
      <c r="L190" s="407">
        <f>SUM(YetKieu!L45)</f>
        <v>61.197421999999996</v>
      </c>
      <c r="M190" s="407">
        <f>SUM(YetKieu!M45)</f>
        <v>61.197421999999996</v>
      </c>
      <c r="N190" s="407">
        <f>SUM(YetKieu!N45)</f>
        <v>61.197421999999996</v>
      </c>
      <c r="O190" s="407">
        <f>SUM(YetKieu!O45)</f>
        <v>61.197421999999996</v>
      </c>
      <c r="P190" s="407">
        <f>SUM(YetKieu!P45)</f>
        <v>61.197421999999996</v>
      </c>
      <c r="Q190" s="407">
        <f>SUM(YetKieu!Q45)</f>
        <v>61.197421999999996</v>
      </c>
      <c r="R190" s="356">
        <f t="shared" si="72"/>
        <v>733.54406399999993</v>
      </c>
      <c r="S190" s="356">
        <f t="shared" si="73"/>
        <v>0</v>
      </c>
      <c r="T190" s="359">
        <f t="shared" si="74"/>
        <v>733.54406399999993</v>
      </c>
      <c r="U190" s="386">
        <f t="shared" si="57"/>
        <v>1.6146470004541055E-2</v>
      </c>
      <c r="V190" s="387" t="str">
        <f t="shared" si="58"/>
        <v/>
      </c>
      <c r="W190" s="387">
        <f t="shared" si="59"/>
        <v>1.6146470004541055E-2</v>
      </c>
    </row>
    <row r="191" spans="2:23" hidden="1" outlineLevel="1" x14ac:dyDescent="0.35">
      <c r="B191" s="27"/>
      <c r="D191" s="412" t="s">
        <v>153</v>
      </c>
      <c r="E191" s="93"/>
      <c r="F191" s="407">
        <f>SUM(NhaTrang!F35,NhaTrang!F41)</f>
        <v>334.03475816666702</v>
      </c>
      <c r="G191" s="407">
        <f>SUM(NhaTrang!G35,NhaTrang!G41)</f>
        <v>334.03475816666702</v>
      </c>
      <c r="H191" s="407">
        <f>SUM(NhaTrang!H35,NhaTrang!H41)</f>
        <v>59.630744</v>
      </c>
      <c r="I191" s="407">
        <f>SUM(NhaTrang!I35,NhaTrang!I41)</f>
        <v>59.630744</v>
      </c>
      <c r="J191" s="407">
        <f>SUM(NhaTrang!J35,NhaTrang!J41)</f>
        <v>59.630744</v>
      </c>
      <c r="K191" s="407">
        <f>SUM(NhaTrang!K35,NhaTrang!K41)</f>
        <v>59.630744</v>
      </c>
      <c r="L191" s="407">
        <f>SUM(NhaTrang!L35,NhaTrang!L41)</f>
        <v>59.630744</v>
      </c>
      <c r="M191" s="407">
        <f>SUM(NhaTrang!M35,NhaTrang!M41)</f>
        <v>59.630744</v>
      </c>
      <c r="N191" s="407">
        <f>SUM(NhaTrang!N35,NhaTrang!N41)</f>
        <v>59.630744</v>
      </c>
      <c r="O191" s="407">
        <f>SUM(NhaTrang!O35,NhaTrang!O41)</f>
        <v>59.630744</v>
      </c>
      <c r="P191" s="407">
        <f>SUM(NhaTrang!P35,NhaTrang!P41)</f>
        <v>59.630744</v>
      </c>
      <c r="Q191" s="407">
        <f>SUM(NhaTrang!Q35,NhaTrang!Q41)</f>
        <v>59.630744</v>
      </c>
      <c r="R191" s="356">
        <f t="shared" si="72"/>
        <v>1264.3769563333344</v>
      </c>
      <c r="S191" s="356">
        <f t="shared" si="73"/>
        <v>0</v>
      </c>
      <c r="T191" s="359">
        <f t="shared" si="74"/>
        <v>1264.3769563333344</v>
      </c>
      <c r="U191" s="386">
        <f t="shared" si="57"/>
        <v>2.7830945135790916E-2</v>
      </c>
      <c r="V191" s="387" t="str">
        <f t="shared" si="58"/>
        <v/>
      </c>
      <c r="W191" s="387">
        <f t="shared" si="59"/>
        <v>2.7830945135790916E-2</v>
      </c>
    </row>
    <row r="192" spans="2:23" hidden="1" outlineLevel="1" x14ac:dyDescent="0.35">
      <c r="B192" s="27"/>
      <c r="D192" s="412" t="s">
        <v>154</v>
      </c>
      <c r="E192" s="93"/>
      <c r="F192" s="407">
        <f>ThachThat!F30</f>
        <v>0</v>
      </c>
      <c r="G192" s="407">
        <f>ThachThat!G30</f>
        <v>0</v>
      </c>
      <c r="H192" s="407">
        <f>ThachThat!H30</f>
        <v>0</v>
      </c>
      <c r="I192" s="407">
        <f>ThachThat!I30</f>
        <v>0</v>
      </c>
      <c r="J192" s="407">
        <f>ThachThat!J30</f>
        <v>0</v>
      </c>
      <c r="K192" s="407">
        <f>ThachThat!K30</f>
        <v>0</v>
      </c>
      <c r="L192" s="407">
        <f>ThachThat!L30</f>
        <v>0</v>
      </c>
      <c r="M192" s="407">
        <f>ThachThat!M30</f>
        <v>0</v>
      </c>
      <c r="N192" s="407">
        <f>ThachThat!N30</f>
        <v>33.333333000000003</v>
      </c>
      <c r="O192" s="407">
        <f>ThachThat!O30</f>
        <v>33.333333000000003</v>
      </c>
      <c r="P192" s="407">
        <f>ThachThat!P30</f>
        <v>33.333333000000003</v>
      </c>
      <c r="Q192" s="407">
        <f>ThachThat!Q30</f>
        <v>33.333333000000003</v>
      </c>
      <c r="R192" s="356">
        <f t="shared" si="72"/>
        <v>133.33333200000001</v>
      </c>
      <c r="S192" s="356">
        <f t="shared" si="73"/>
        <v>0</v>
      </c>
      <c r="T192" s="359">
        <f t="shared" si="74"/>
        <v>133.33333200000001</v>
      </c>
      <c r="U192" s="386">
        <f t="shared" si="57"/>
        <v>2.9348784229866172E-3</v>
      </c>
      <c r="V192" s="387" t="str">
        <f t="shared" si="58"/>
        <v/>
      </c>
      <c r="W192" s="387">
        <f t="shared" si="59"/>
        <v>2.9348784229866172E-3</v>
      </c>
    </row>
    <row r="193" spans="2:23" hidden="1" outlineLevel="1" x14ac:dyDescent="0.35">
      <c r="B193" s="27"/>
      <c r="D193" s="412" t="s">
        <v>155</v>
      </c>
      <c r="E193" s="93"/>
      <c r="F193" s="407">
        <f>SUM('SocSon-1'!F41:F42)</f>
        <v>0</v>
      </c>
      <c r="G193" s="407">
        <f>SUM('SocSon-1'!G41:G42)</f>
        <v>0</v>
      </c>
      <c r="H193" s="407">
        <f>SUM('SocSon-1'!H41:H42)</f>
        <v>0</v>
      </c>
      <c r="I193" s="407">
        <f>SUM('SocSon-1'!I41:I42)</f>
        <v>0</v>
      </c>
      <c r="J193" s="407">
        <f>SUM('SocSon-1'!J41:J42)</f>
        <v>0</v>
      </c>
      <c r="K193" s="407">
        <f>SUM('SocSon-1'!K41:K42)</f>
        <v>0</v>
      </c>
      <c r="L193" s="407">
        <f>SUM('SocSon-1'!L41:L42)</f>
        <v>0</v>
      </c>
      <c r="M193" s="407">
        <f>SUM('SocSon-1'!M41:M42)</f>
        <v>0</v>
      </c>
      <c r="N193" s="407">
        <f>SUM('SocSon-1'!N41:N42)</f>
        <v>0</v>
      </c>
      <c r="O193" s="407">
        <f>SUM('SocSon-1'!O41:O42)</f>
        <v>236.99730700000001</v>
      </c>
      <c r="P193" s="407">
        <f>SUM('SocSon-1'!P41:P42)</f>
        <v>236.99730700000001</v>
      </c>
      <c r="Q193" s="407">
        <f>SUM('SocSon-1'!Q41:Q42)</f>
        <v>228.55268100000001</v>
      </c>
      <c r="R193" s="356">
        <f t="shared" si="72"/>
        <v>702.54729500000008</v>
      </c>
      <c r="S193" s="356">
        <f t="shared" si="73"/>
        <v>0</v>
      </c>
      <c r="T193" s="359">
        <f t="shared" si="74"/>
        <v>702.54729500000008</v>
      </c>
      <c r="U193" s="386">
        <f t="shared" si="57"/>
        <v>1.5464181883815173E-2</v>
      </c>
      <c r="V193" s="387" t="str">
        <f t="shared" si="58"/>
        <v/>
      </c>
      <c r="W193" s="387">
        <f t="shared" si="59"/>
        <v>1.5464181883815173E-2</v>
      </c>
    </row>
    <row r="194" spans="2:23" hidden="1" outlineLevel="1" x14ac:dyDescent="0.35">
      <c r="B194" s="27"/>
      <c r="D194" s="413" t="s">
        <v>329</v>
      </c>
      <c r="E194" s="402"/>
      <c r="F194" s="408">
        <f>HO!F35</f>
        <v>0</v>
      </c>
      <c r="G194" s="408">
        <f>HO!G35</f>
        <v>17.002478</v>
      </c>
      <c r="H194" s="408">
        <f>HO!H35</f>
        <v>18.516055000000001</v>
      </c>
      <c r="I194" s="408">
        <f>HO!I35</f>
        <v>17.781877999999999</v>
      </c>
      <c r="J194" s="408">
        <f>HO!J35</f>
        <v>17.781877999999999</v>
      </c>
      <c r="K194" s="408">
        <f>HO!K35</f>
        <v>17.781877999999999</v>
      </c>
      <c r="L194" s="408">
        <f>HO!L35</f>
        <v>17.781877999999999</v>
      </c>
      <c r="M194" s="408">
        <f>HO!M35</f>
        <v>17.781877999999999</v>
      </c>
      <c r="N194" s="408">
        <f>HO!N35</f>
        <v>13.160519000000001</v>
      </c>
      <c r="O194" s="408">
        <f>HO!O35</f>
        <v>12.222284</v>
      </c>
      <c r="P194" s="408">
        <f>HO!P35</f>
        <v>13.271413000000001</v>
      </c>
      <c r="Q194" s="408">
        <f>HO!Q35</f>
        <v>15.182245999999999</v>
      </c>
      <c r="R194" s="357">
        <f t="shared" si="72"/>
        <v>178.264385</v>
      </c>
      <c r="S194" s="357">
        <f t="shared" si="73"/>
        <v>0</v>
      </c>
      <c r="T194" s="360">
        <f t="shared" si="74"/>
        <v>178.264385</v>
      </c>
      <c r="U194" s="386">
        <f t="shared" si="57"/>
        <v>3.9238822676649163E-3</v>
      </c>
      <c r="V194" s="387" t="str">
        <f t="shared" si="58"/>
        <v/>
      </c>
      <c r="W194" s="387">
        <f t="shared" si="59"/>
        <v>3.9238822676649163E-3</v>
      </c>
    </row>
    <row r="195" spans="2:23" collapsed="1" x14ac:dyDescent="0.35">
      <c r="C195" s="6" t="s">
        <v>191</v>
      </c>
      <c r="D195" s="55"/>
      <c r="F195" s="62">
        <f>SUBTOTAL(9,F196:F205)</f>
        <v>250.79844800000001</v>
      </c>
      <c r="G195" s="62">
        <f t="shared" ref="G195:Q195" si="75">SUBTOTAL(9,G196:G205)</f>
        <v>33.998322999999999</v>
      </c>
      <c r="H195" s="62">
        <f t="shared" si="75"/>
        <v>36.513122000000003</v>
      </c>
      <c r="I195" s="62">
        <f t="shared" si="75"/>
        <v>57.064205000000001</v>
      </c>
      <c r="J195" s="62">
        <f t="shared" si="75"/>
        <v>24.694745999999999</v>
      </c>
      <c r="K195" s="62">
        <f t="shared" si="75"/>
        <v>20.928639</v>
      </c>
      <c r="L195" s="62">
        <f t="shared" si="75"/>
        <v>38.578741000000001</v>
      </c>
      <c r="M195" s="62">
        <f t="shared" si="75"/>
        <v>115.311927</v>
      </c>
      <c r="N195" s="62">
        <f t="shared" si="75"/>
        <v>0.13795299999999999</v>
      </c>
      <c r="O195" s="62">
        <f t="shared" si="75"/>
        <v>0.17776400000000001</v>
      </c>
      <c r="P195" s="62">
        <f t="shared" si="75"/>
        <v>3.3790000000000001E-2</v>
      </c>
      <c r="Q195" s="62">
        <f t="shared" si="75"/>
        <v>0.11438</v>
      </c>
      <c r="R195" s="57">
        <f>SUMIFS($F195:$Q195,$F$7:$Q$7,"A")</f>
        <v>578.35203799999999</v>
      </c>
      <c r="S195" s="57">
        <f>SUMIFS($F195:$Q195,$F$7:$Q$7,"B")</f>
        <v>0</v>
      </c>
      <c r="T195" s="57">
        <f>SUM(R195:S195)</f>
        <v>578.35203799999999</v>
      </c>
      <c r="U195" s="385">
        <f t="shared" si="57"/>
        <v>1.273044700642849E-2</v>
      </c>
      <c r="V195" s="387" t="str">
        <f t="shared" si="58"/>
        <v/>
      </c>
      <c r="W195" s="387">
        <f t="shared" si="59"/>
        <v>1.273044700642849E-2</v>
      </c>
    </row>
    <row r="196" spans="2:23" hidden="1" outlineLevel="1" x14ac:dyDescent="0.35">
      <c r="C196" s="6"/>
      <c r="D196" s="341" t="s">
        <v>147</v>
      </c>
      <c r="E196" s="367"/>
      <c r="F196" s="342">
        <f>HaiDuong!F82</f>
        <v>0</v>
      </c>
      <c r="G196" s="342">
        <f>HaiDuong!G82</f>
        <v>33.998322999999999</v>
      </c>
      <c r="H196" s="342">
        <f>HaiDuong!H82</f>
        <v>30.020430000000001</v>
      </c>
      <c r="I196" s="342">
        <f>HaiDuong!I82</f>
        <v>30.045971999999999</v>
      </c>
      <c r="J196" s="342">
        <f>HaiDuong!J82</f>
        <v>23.868843999999999</v>
      </c>
      <c r="K196" s="342">
        <f>HaiDuong!K82</f>
        <v>20.09956</v>
      </c>
      <c r="L196" s="342">
        <f>HaiDuong!L82</f>
        <v>37.639122999999998</v>
      </c>
      <c r="M196" s="342">
        <f>HaiDuong!M82</f>
        <v>115.21</v>
      </c>
      <c r="N196" s="342">
        <f>HaiDuong!N82</f>
        <v>0</v>
      </c>
      <c r="O196" s="342">
        <f>HaiDuong!O82</f>
        <v>0</v>
      </c>
      <c r="P196" s="342">
        <f>HaiDuong!P82</f>
        <v>0</v>
      </c>
      <c r="Q196" s="342">
        <f>HaiDuong!Q82</f>
        <v>0</v>
      </c>
      <c r="R196" s="355">
        <f t="shared" ref="R196:R205" si="76">SUMIFS($F196:$Q196,$F$7:$Q$7,"A")</f>
        <v>290.88225199999999</v>
      </c>
      <c r="S196" s="355">
        <f t="shared" ref="S196:S205" si="77">SUMIFS($F196:$Q196,$F$7:$Q$7,"B")</f>
        <v>0</v>
      </c>
      <c r="T196" s="358">
        <f t="shared" ref="T196:T205" si="78">SUM(R196:S196)</f>
        <v>290.88225199999999</v>
      </c>
      <c r="U196" s="385">
        <f t="shared" si="57"/>
        <v>6.4027804017119721E-3</v>
      </c>
      <c r="V196" s="387" t="str">
        <f t="shared" si="58"/>
        <v/>
      </c>
      <c r="W196" s="387">
        <f t="shared" si="59"/>
        <v>6.4027804017119721E-3</v>
      </c>
    </row>
    <row r="197" spans="2:23" hidden="1" outlineLevel="1" x14ac:dyDescent="0.35">
      <c r="C197" s="6"/>
      <c r="D197" s="345" t="s">
        <v>150</v>
      </c>
      <c r="F197" s="351">
        <f>CaMau!F52</f>
        <v>0</v>
      </c>
      <c r="G197" s="351">
        <f>CaMau!G52</f>
        <v>0</v>
      </c>
      <c r="H197" s="351">
        <f>CaMau!H52</f>
        <v>0</v>
      </c>
      <c r="I197" s="351">
        <f>CaMau!I52</f>
        <v>0</v>
      </c>
      <c r="J197" s="351">
        <f>CaMau!J52</f>
        <v>0</v>
      </c>
      <c r="K197" s="351">
        <f>CaMau!K52</f>
        <v>0</v>
      </c>
      <c r="L197" s="351">
        <f>CaMau!L52</f>
        <v>0</v>
      </c>
      <c r="M197" s="351">
        <f>CaMau!M52</f>
        <v>0</v>
      </c>
      <c r="N197" s="351">
        <f>CaMau!N52</f>
        <v>0</v>
      </c>
      <c r="O197" s="351">
        <f>CaMau!O52</f>
        <v>0</v>
      </c>
      <c r="P197" s="351">
        <f>CaMau!P52</f>
        <v>0</v>
      </c>
      <c r="Q197" s="351">
        <f>CaMau!Q52</f>
        <v>0</v>
      </c>
      <c r="R197" s="356">
        <f t="shared" si="76"/>
        <v>0</v>
      </c>
      <c r="S197" s="356">
        <f t="shared" si="77"/>
        <v>0</v>
      </c>
      <c r="T197" s="359">
        <f t="shared" si="78"/>
        <v>0</v>
      </c>
      <c r="U197" s="385">
        <f t="shared" si="57"/>
        <v>0</v>
      </c>
      <c r="V197" s="387" t="str">
        <f t="shared" si="58"/>
        <v/>
      </c>
      <c r="W197" s="387">
        <f t="shared" si="59"/>
        <v>0</v>
      </c>
    </row>
    <row r="198" spans="2:23" hidden="1" outlineLevel="1" x14ac:dyDescent="0.35">
      <c r="C198" s="6"/>
      <c r="D198" s="345" t="s">
        <v>146</v>
      </c>
      <c r="F198" s="351">
        <f>ThanhHoa!F51</f>
        <v>0</v>
      </c>
      <c r="G198" s="351">
        <f>ThanhHoa!G51</f>
        <v>0</v>
      </c>
      <c r="H198" s="351">
        <f>ThanhHoa!H51</f>
        <v>0</v>
      </c>
      <c r="I198" s="351">
        <f>ThanhHoa!I51</f>
        <v>0</v>
      </c>
      <c r="J198" s="351">
        <f>ThanhHoa!J51</f>
        <v>0</v>
      </c>
      <c r="K198" s="351">
        <f>ThanhHoa!K51</f>
        <v>0</v>
      </c>
      <c r="L198" s="351">
        <f>ThanhHoa!L51</f>
        <v>0</v>
      </c>
      <c r="M198" s="351">
        <f>ThanhHoa!M51</f>
        <v>0</v>
      </c>
      <c r="N198" s="351">
        <f>ThanhHoa!N51</f>
        <v>0</v>
      </c>
      <c r="O198" s="351">
        <f>ThanhHoa!O51</f>
        <v>0</v>
      </c>
      <c r="P198" s="351">
        <f>ThanhHoa!P51</f>
        <v>0</v>
      </c>
      <c r="Q198" s="351">
        <f>ThanhHoa!Q51</f>
        <v>0</v>
      </c>
      <c r="R198" s="356">
        <f t="shared" si="76"/>
        <v>0</v>
      </c>
      <c r="S198" s="356">
        <f t="shared" si="77"/>
        <v>0</v>
      </c>
      <c r="T198" s="359">
        <f t="shared" si="78"/>
        <v>0</v>
      </c>
      <c r="U198" s="385">
        <f t="shared" si="57"/>
        <v>0</v>
      </c>
      <c r="V198" s="387" t="str">
        <f t="shared" si="58"/>
        <v/>
      </c>
      <c r="W198" s="387">
        <f t="shared" si="59"/>
        <v>0</v>
      </c>
    </row>
    <row r="199" spans="2:23" hidden="1" outlineLevel="1" x14ac:dyDescent="0.35">
      <c r="C199" s="6"/>
      <c r="D199" s="345" t="s">
        <v>148</v>
      </c>
      <c r="F199" s="351">
        <f>ThaiNguyen!F51</f>
        <v>0</v>
      </c>
      <c r="G199" s="351">
        <f>ThaiNguyen!G51</f>
        <v>0</v>
      </c>
      <c r="H199" s="351">
        <f>ThaiNguyen!H51</f>
        <v>0</v>
      </c>
      <c r="I199" s="351">
        <f>ThaiNguyen!I51</f>
        <v>0</v>
      </c>
      <c r="J199" s="351">
        <f>ThaiNguyen!J51</f>
        <v>0</v>
      </c>
      <c r="K199" s="351">
        <f>ThaiNguyen!K51</f>
        <v>0</v>
      </c>
      <c r="L199" s="351">
        <f>ThaiNguyen!L51</f>
        <v>0</v>
      </c>
      <c r="M199" s="351">
        <f>ThaiNguyen!M51</f>
        <v>0</v>
      </c>
      <c r="N199" s="351">
        <f>ThaiNguyen!N51</f>
        <v>0</v>
      </c>
      <c r="O199" s="351">
        <f>ThaiNguyen!O51</f>
        <v>0</v>
      </c>
      <c r="P199" s="351">
        <f>ThaiNguyen!P51</f>
        <v>0</v>
      </c>
      <c r="Q199" s="351">
        <f>ThaiNguyen!Q51</f>
        <v>0</v>
      </c>
      <c r="R199" s="356">
        <f t="shared" si="76"/>
        <v>0</v>
      </c>
      <c r="S199" s="356">
        <f t="shared" si="77"/>
        <v>0</v>
      </c>
      <c r="T199" s="359">
        <f t="shared" si="78"/>
        <v>0</v>
      </c>
      <c r="U199" s="385">
        <f t="shared" si="57"/>
        <v>0</v>
      </c>
      <c r="V199" s="387" t="str">
        <f t="shared" si="58"/>
        <v/>
      </c>
      <c r="W199" s="387">
        <f t="shared" si="59"/>
        <v>0</v>
      </c>
    </row>
    <row r="200" spans="2:23" hidden="1" outlineLevel="1" x14ac:dyDescent="0.35">
      <c r="C200" s="6"/>
      <c r="D200" s="345" t="s">
        <v>327</v>
      </c>
      <c r="F200" s="351">
        <v>0</v>
      </c>
      <c r="G200" s="351">
        <v>0</v>
      </c>
      <c r="H200" s="351">
        <v>0</v>
      </c>
      <c r="I200" s="351">
        <v>0</v>
      </c>
      <c r="J200" s="351">
        <v>0</v>
      </c>
      <c r="K200" s="351">
        <v>0</v>
      </c>
      <c r="L200" s="351">
        <v>0</v>
      </c>
      <c r="M200" s="351">
        <v>0</v>
      </c>
      <c r="N200" s="351">
        <v>0</v>
      </c>
      <c r="O200" s="351">
        <v>0</v>
      </c>
      <c r="P200" s="351">
        <v>0</v>
      </c>
      <c r="Q200" s="351">
        <v>0</v>
      </c>
      <c r="R200" s="356">
        <f t="shared" si="76"/>
        <v>0</v>
      </c>
      <c r="S200" s="356">
        <f t="shared" si="77"/>
        <v>0</v>
      </c>
      <c r="T200" s="359">
        <f t="shared" si="78"/>
        <v>0</v>
      </c>
      <c r="U200" s="385">
        <f t="shared" si="57"/>
        <v>0</v>
      </c>
      <c r="V200" s="387" t="str">
        <f t="shared" si="58"/>
        <v/>
      </c>
      <c r="W200" s="387">
        <f t="shared" si="59"/>
        <v>0</v>
      </c>
    </row>
    <row r="201" spans="2:23" hidden="1" outlineLevel="1" x14ac:dyDescent="0.35">
      <c r="C201" s="6"/>
      <c r="D201" s="345" t="s">
        <v>151</v>
      </c>
      <c r="F201" s="351">
        <v>0</v>
      </c>
      <c r="G201" s="351">
        <v>0</v>
      </c>
      <c r="H201" s="351">
        <v>0</v>
      </c>
      <c r="I201" s="351">
        <v>0</v>
      </c>
      <c r="J201" s="351">
        <v>0</v>
      </c>
      <c r="K201" s="351">
        <v>0</v>
      </c>
      <c r="L201" s="351">
        <v>0</v>
      </c>
      <c r="M201" s="351">
        <v>0</v>
      </c>
      <c r="N201" s="351">
        <v>0</v>
      </c>
      <c r="O201" s="351">
        <v>0</v>
      </c>
      <c r="P201" s="351">
        <v>0</v>
      </c>
      <c r="Q201" s="351">
        <v>0</v>
      </c>
      <c r="R201" s="356">
        <f t="shared" si="76"/>
        <v>0</v>
      </c>
      <c r="S201" s="356">
        <f t="shared" si="77"/>
        <v>0</v>
      </c>
      <c r="T201" s="359">
        <f t="shared" si="78"/>
        <v>0</v>
      </c>
      <c r="U201" s="385">
        <f t="shared" si="57"/>
        <v>0</v>
      </c>
      <c r="V201" s="387" t="str">
        <f t="shared" si="58"/>
        <v/>
      </c>
      <c r="W201" s="387">
        <f t="shared" si="59"/>
        <v>0</v>
      </c>
    </row>
    <row r="202" spans="2:23" hidden="1" outlineLevel="1" x14ac:dyDescent="0.35">
      <c r="C202" s="6"/>
      <c r="D202" s="345" t="s">
        <v>153</v>
      </c>
      <c r="F202" s="351">
        <v>0</v>
      </c>
      <c r="G202" s="351">
        <v>0</v>
      </c>
      <c r="H202" s="351">
        <v>0</v>
      </c>
      <c r="I202" s="351">
        <v>0</v>
      </c>
      <c r="J202" s="351">
        <v>0</v>
      </c>
      <c r="K202" s="351">
        <v>0</v>
      </c>
      <c r="L202" s="351">
        <v>0</v>
      </c>
      <c r="M202" s="351">
        <v>0</v>
      </c>
      <c r="N202" s="351">
        <v>0</v>
      </c>
      <c r="O202" s="351">
        <v>0</v>
      </c>
      <c r="P202" s="351">
        <v>0</v>
      </c>
      <c r="Q202" s="351">
        <v>0</v>
      </c>
      <c r="R202" s="356">
        <f t="shared" si="76"/>
        <v>0</v>
      </c>
      <c r="S202" s="356">
        <f t="shared" si="77"/>
        <v>0</v>
      </c>
      <c r="T202" s="359">
        <f t="shared" si="78"/>
        <v>0</v>
      </c>
      <c r="U202" s="385">
        <f t="shared" si="57"/>
        <v>0</v>
      </c>
      <c r="V202" s="387" t="str">
        <f t="shared" si="58"/>
        <v/>
      </c>
      <c r="W202" s="387">
        <f t="shared" si="59"/>
        <v>0</v>
      </c>
    </row>
    <row r="203" spans="2:23" hidden="1" outlineLevel="1" x14ac:dyDescent="0.35">
      <c r="C203" s="6"/>
      <c r="D203" s="345" t="s">
        <v>154</v>
      </c>
      <c r="F203" s="351">
        <v>0</v>
      </c>
      <c r="G203" s="351">
        <v>0</v>
      </c>
      <c r="H203" s="351">
        <v>0</v>
      </c>
      <c r="I203" s="351">
        <v>0</v>
      </c>
      <c r="J203" s="351">
        <v>0</v>
      </c>
      <c r="K203" s="351">
        <v>0</v>
      </c>
      <c r="L203" s="351">
        <v>0</v>
      </c>
      <c r="M203" s="351">
        <v>0</v>
      </c>
      <c r="N203" s="351">
        <v>0</v>
      </c>
      <c r="O203" s="351">
        <v>0</v>
      </c>
      <c r="P203" s="351">
        <v>0</v>
      </c>
      <c r="Q203" s="351">
        <v>0</v>
      </c>
      <c r="R203" s="356">
        <f t="shared" si="76"/>
        <v>0</v>
      </c>
      <c r="S203" s="356">
        <f t="shared" si="77"/>
        <v>0</v>
      </c>
      <c r="T203" s="359">
        <f t="shared" si="78"/>
        <v>0</v>
      </c>
      <c r="U203" s="385">
        <f t="shared" si="57"/>
        <v>0</v>
      </c>
      <c r="V203" s="387" t="str">
        <f t="shared" si="58"/>
        <v/>
      </c>
      <c r="W203" s="387">
        <f t="shared" si="59"/>
        <v>0</v>
      </c>
    </row>
    <row r="204" spans="2:23" hidden="1" outlineLevel="1" x14ac:dyDescent="0.35">
      <c r="D204" s="345" t="s">
        <v>155</v>
      </c>
      <c r="F204" s="351">
        <v>0</v>
      </c>
      <c r="G204" s="351">
        <v>0</v>
      </c>
      <c r="H204" s="351">
        <v>0</v>
      </c>
      <c r="I204" s="351">
        <v>0</v>
      </c>
      <c r="J204" s="351">
        <v>0</v>
      </c>
      <c r="K204" s="351">
        <v>0</v>
      </c>
      <c r="L204" s="351">
        <v>0</v>
      </c>
      <c r="M204" s="351">
        <v>0</v>
      </c>
      <c r="N204" s="351">
        <v>0</v>
      </c>
      <c r="O204" s="351">
        <v>0</v>
      </c>
      <c r="P204" s="351">
        <v>0</v>
      </c>
      <c r="Q204" s="351">
        <v>0</v>
      </c>
      <c r="R204" s="356">
        <f t="shared" si="76"/>
        <v>0</v>
      </c>
      <c r="S204" s="356">
        <f t="shared" si="77"/>
        <v>0</v>
      </c>
      <c r="T204" s="359">
        <f t="shared" si="78"/>
        <v>0</v>
      </c>
      <c r="U204" s="385">
        <f t="shared" si="57"/>
        <v>0</v>
      </c>
      <c r="V204" s="387" t="str">
        <f t="shared" si="58"/>
        <v/>
      </c>
      <c r="W204" s="387">
        <f t="shared" si="59"/>
        <v>0</v>
      </c>
    </row>
    <row r="205" spans="2:23" hidden="1" outlineLevel="1" x14ac:dyDescent="0.35">
      <c r="D205" s="392" t="s">
        <v>329</v>
      </c>
      <c r="E205" s="245"/>
      <c r="F205" s="378">
        <f>HO!F39</f>
        <v>250.79844800000001</v>
      </c>
      <c r="G205" s="378">
        <f>HO!G39</f>
        <v>0</v>
      </c>
      <c r="H205" s="378">
        <f>HO!H39</f>
        <v>6.4926919999999999</v>
      </c>
      <c r="I205" s="378">
        <f>HO!I39</f>
        <v>27.018232999999999</v>
      </c>
      <c r="J205" s="378">
        <f>HO!J39</f>
        <v>0.82590200000000003</v>
      </c>
      <c r="K205" s="378">
        <f>HO!K39</f>
        <v>0.82907900000000001</v>
      </c>
      <c r="L205" s="378">
        <f>HO!L39</f>
        <v>0.93961799999999995</v>
      </c>
      <c r="M205" s="378">
        <f>HO!M39</f>
        <v>0.101927</v>
      </c>
      <c r="N205" s="378">
        <f>HO!N39</f>
        <v>0.13795299999999999</v>
      </c>
      <c r="O205" s="378">
        <f>HO!O39</f>
        <v>0.17776400000000001</v>
      </c>
      <c r="P205" s="378">
        <f>HO!P39</f>
        <v>3.3790000000000001E-2</v>
      </c>
      <c r="Q205" s="378">
        <f>HO!Q39</f>
        <v>0.11438</v>
      </c>
      <c r="R205" s="374">
        <f t="shared" si="76"/>
        <v>287.46978599999994</v>
      </c>
      <c r="S205" s="374">
        <f t="shared" si="77"/>
        <v>0</v>
      </c>
      <c r="T205" s="393">
        <f t="shared" si="78"/>
        <v>287.46978599999994</v>
      </c>
      <c r="U205" s="385">
        <f t="shared" si="57"/>
        <v>6.3276666047165173E-3</v>
      </c>
      <c r="V205" s="387" t="str">
        <f t="shared" si="58"/>
        <v/>
      </c>
      <c r="W205" s="387">
        <f t="shared" si="59"/>
        <v>6.3276666047165173E-3</v>
      </c>
    </row>
    <row r="206" spans="2:23" collapsed="1" x14ac:dyDescent="0.35">
      <c r="B206" s="86" t="s">
        <v>192</v>
      </c>
      <c r="C206" s="87"/>
      <c r="D206" s="87"/>
      <c r="E206" s="70"/>
      <c r="F206" s="88" t="e">
        <f>F162-SUM(F164,F174,F184,F195)</f>
        <v>#REF!</v>
      </c>
      <c r="G206" s="88">
        <f t="shared" ref="G206:Q206" si="79">G162-SUM(G164,G174,G184,G195)</f>
        <v>-1641.8932268243077</v>
      </c>
      <c r="H206" s="88">
        <f t="shared" si="79"/>
        <v>-734.18715217120666</v>
      </c>
      <c r="I206" s="88">
        <f t="shared" si="79"/>
        <v>-721.60565166114975</v>
      </c>
      <c r="J206" s="88">
        <f t="shared" si="79"/>
        <v>-288.23959399088471</v>
      </c>
      <c r="K206" s="88">
        <f t="shared" si="79"/>
        <v>-853.61898610580806</v>
      </c>
      <c r="L206" s="88">
        <f t="shared" si="79"/>
        <v>-803.82811911333351</v>
      </c>
      <c r="M206" s="88">
        <f t="shared" si="79"/>
        <v>-1384.1220025821754</v>
      </c>
      <c r="N206" s="88">
        <f t="shared" si="79"/>
        <v>-819.21942921726372</v>
      </c>
      <c r="O206" s="88">
        <f t="shared" si="79"/>
        <v>-1599.4467797723521</v>
      </c>
      <c r="P206" s="88">
        <f t="shared" si="79"/>
        <v>-1896.5022738839398</v>
      </c>
      <c r="Q206" s="88">
        <f t="shared" si="79"/>
        <v>-1847.7412086973327</v>
      </c>
      <c r="R206" s="88" t="e">
        <f>SUMIFS($F206:$Q206,$F$7:$Q$7,"A")</f>
        <v>#REF!</v>
      </c>
      <c r="S206" s="88">
        <f>SUMIFS($F206:$Q206,$F$7:$Q$7,"B")</f>
        <v>0</v>
      </c>
      <c r="T206" s="88" t="e">
        <f>SUM(R206:S206)</f>
        <v>#REF!</v>
      </c>
      <c r="U206" s="383" t="str">
        <f t="shared" ref="U206:U232" si="80">IFERROR(R206/R$45,"")</f>
        <v/>
      </c>
      <c r="V206" s="387" t="str">
        <f t="shared" ref="V206:V232" si="81">IFERROR(S206/S$45,"")</f>
        <v/>
      </c>
      <c r="W206" s="387" t="str">
        <f t="shared" ref="W206:W232" si="82">IFERROR(T206/T$45,"")</f>
        <v/>
      </c>
    </row>
    <row r="207" spans="2:23" ht="13.15" thickBot="1" x14ac:dyDescent="0.4">
      <c r="C207" s="6" t="s">
        <v>193</v>
      </c>
      <c r="D207" s="55"/>
      <c r="F207" s="57">
        <f>SUBTOTAL(9,F208:F217)</f>
        <v>0</v>
      </c>
      <c r="G207" s="57">
        <f t="shared" ref="G207:Q207" si="83">SUBTOTAL(9,G208:G217)</f>
        <v>36.068296549999999</v>
      </c>
      <c r="H207" s="57">
        <f t="shared" si="83"/>
        <v>58.792371180769237</v>
      </c>
      <c r="I207" s="57">
        <f t="shared" si="83"/>
        <v>48.819172442307703</v>
      </c>
      <c r="J207" s="57">
        <f t="shared" si="83"/>
        <v>121.62565582692309</v>
      </c>
      <c r="K207" s="57">
        <f t="shared" si="83"/>
        <v>-447.01652964999994</v>
      </c>
      <c r="L207" s="57">
        <f t="shared" si="83"/>
        <v>-152.58015164999995</v>
      </c>
      <c r="M207" s="57">
        <f t="shared" si="83"/>
        <v>-120.9846124</v>
      </c>
      <c r="N207" s="57">
        <f t="shared" si="83"/>
        <v>-123.61304245000002</v>
      </c>
      <c r="O207" s="57">
        <f t="shared" si="83"/>
        <v>-234.90855320000003</v>
      </c>
      <c r="P207" s="57">
        <f t="shared" si="83"/>
        <v>-249.16352700000002</v>
      </c>
      <c r="Q207" s="57">
        <f t="shared" si="83"/>
        <v>-228.74736480000001</v>
      </c>
      <c r="R207" s="57">
        <f t="shared" ref="R207:R225" si="84">SUMIFS($F207:$Q207,$F$7:$Q$7,"A")</f>
        <v>-1291.7082851499999</v>
      </c>
      <c r="S207" s="57">
        <f t="shared" ref="S207:S225" si="85">SUMIFS($F207:$Q207,$F$7:$Q$7,"B")</f>
        <v>0</v>
      </c>
      <c r="T207" s="57">
        <f t="shared" ref="T207:T217" si="86">SUM(R207:S207)</f>
        <v>-1291.7082851499999</v>
      </c>
      <c r="U207" s="385">
        <f t="shared" si="80"/>
        <v>-2.8432551095923856E-2</v>
      </c>
      <c r="V207" s="387" t="str">
        <f t="shared" si="81"/>
        <v/>
      </c>
      <c r="W207" s="387">
        <f t="shared" si="82"/>
        <v>-2.8432551095923856E-2</v>
      </c>
    </row>
    <row r="208" spans="2:23" hidden="1" outlineLevel="1" x14ac:dyDescent="0.35">
      <c r="C208" s="6"/>
      <c r="D208" s="341" t="s">
        <v>147</v>
      </c>
      <c r="E208" s="367"/>
      <c r="F208" s="355">
        <f>HaiDuong!F85</f>
        <v>0</v>
      </c>
      <c r="G208" s="355">
        <f>HaiDuong!G85</f>
        <v>29.571683800000002</v>
      </c>
      <c r="H208" s="355">
        <f>HaiDuong!H85</f>
        <v>46.791821800000001</v>
      </c>
      <c r="I208" s="355">
        <f>HaiDuong!I85</f>
        <v>72.572156600000014</v>
      </c>
      <c r="J208" s="355">
        <f>HaiDuong!J85</f>
        <v>42.966949</v>
      </c>
      <c r="K208" s="355">
        <f>HaiDuong!K85</f>
        <v>27.985540200000003</v>
      </c>
      <c r="L208" s="355">
        <f>HaiDuong!L85</f>
        <v>50.726321800000008</v>
      </c>
      <c r="M208" s="355">
        <f>HaiDuong!M85</f>
        <v>21.416434600000002</v>
      </c>
      <c r="N208" s="355">
        <f>HaiDuong!N85</f>
        <v>11.792107</v>
      </c>
      <c r="O208" s="355">
        <f>HaiDuong!O85</f>
        <v>7.5358876000000006</v>
      </c>
      <c r="P208" s="355">
        <f>HaiDuong!P85</f>
        <v>0.21277960000000001</v>
      </c>
      <c r="Q208" s="355">
        <f>HaiDuong!Q85</f>
        <v>12.013814200000001</v>
      </c>
      <c r="R208" s="353">
        <f t="shared" si="84"/>
        <v>323.58549620000002</v>
      </c>
      <c r="S208" s="353">
        <f t="shared" si="85"/>
        <v>0</v>
      </c>
      <c r="T208" s="344">
        <f t="shared" si="86"/>
        <v>323.58549620000002</v>
      </c>
      <c r="U208" s="385">
        <f t="shared" si="80"/>
        <v>7.1226307521422925E-3</v>
      </c>
      <c r="V208" s="387" t="str">
        <f t="shared" si="81"/>
        <v/>
      </c>
      <c r="W208" s="387">
        <f t="shared" si="82"/>
        <v>7.1226307521422925E-3</v>
      </c>
    </row>
    <row r="209" spans="2:23" hidden="1" outlineLevel="1" x14ac:dyDescent="0.35">
      <c r="C209" s="6"/>
      <c r="D209" s="345" t="s">
        <v>150</v>
      </c>
      <c r="F209" s="356">
        <f>CaMau!F55</f>
        <v>0</v>
      </c>
      <c r="G209" s="356">
        <f>CaMau!G55</f>
        <v>0</v>
      </c>
      <c r="H209" s="356">
        <f>CaMau!H55</f>
        <v>0</v>
      </c>
      <c r="I209" s="356">
        <f>CaMau!I55</f>
        <v>0</v>
      </c>
      <c r="J209" s="356">
        <f>CaMau!J55</f>
        <v>1.7036294000000027</v>
      </c>
      <c r="K209" s="356">
        <f>CaMau!K55</f>
        <v>27.457818199999998</v>
      </c>
      <c r="L209" s="356">
        <f>CaMau!L55</f>
        <v>2.6785099999999886</v>
      </c>
      <c r="M209" s="356">
        <f>CaMau!M55</f>
        <v>0</v>
      </c>
      <c r="N209" s="356">
        <f>CaMau!N55</f>
        <v>0</v>
      </c>
      <c r="O209" s="356">
        <f>CaMau!O55</f>
        <v>8.1594801999999849</v>
      </c>
      <c r="P209" s="356">
        <f>CaMau!P55</f>
        <v>5.4297873999999879</v>
      </c>
      <c r="Q209" s="356">
        <f>CaMau!Q55</f>
        <v>0</v>
      </c>
      <c r="R209" s="59">
        <f t="shared" si="84"/>
        <v>45.429225199999962</v>
      </c>
      <c r="S209" s="59">
        <f t="shared" si="85"/>
        <v>0</v>
      </c>
      <c r="T209" s="414">
        <f t="shared" si="86"/>
        <v>45.429225199999962</v>
      </c>
      <c r="U209" s="385">
        <f t="shared" si="80"/>
        <v>9.9996940609329231E-4</v>
      </c>
      <c r="V209" s="387" t="str">
        <f t="shared" si="81"/>
        <v/>
      </c>
      <c r="W209" s="387">
        <f t="shared" si="82"/>
        <v>9.9996940609329231E-4</v>
      </c>
    </row>
    <row r="210" spans="2:23" hidden="1" outlineLevel="1" x14ac:dyDescent="0.35">
      <c r="C210" s="6"/>
      <c r="D210" s="345" t="s">
        <v>146</v>
      </c>
      <c r="F210" s="356">
        <f>ThanhHoa!F54</f>
        <v>0</v>
      </c>
      <c r="G210" s="356">
        <f>ThanhHoa!G54</f>
        <v>6.4966127500000006</v>
      </c>
      <c r="H210" s="356">
        <f>ThanhHoa!H54</f>
        <v>30.566408150000015</v>
      </c>
      <c r="I210" s="356">
        <f>ThanhHoa!I54</f>
        <v>31.944592149999995</v>
      </c>
      <c r="J210" s="356">
        <f>ThanhHoa!J54</f>
        <v>123.36972435000001</v>
      </c>
      <c r="K210" s="356">
        <f>ThanhHoa!K54</f>
        <v>96.06873395000008</v>
      </c>
      <c r="L210" s="356">
        <f>ThanhHoa!L54</f>
        <v>48.201708550000035</v>
      </c>
      <c r="M210" s="356">
        <f>ThanhHoa!M54</f>
        <v>0</v>
      </c>
      <c r="N210" s="356">
        <f>ThanhHoa!N54</f>
        <v>85.310551549999971</v>
      </c>
      <c r="O210" s="356">
        <f>ThanhHoa!O54</f>
        <v>0</v>
      </c>
      <c r="P210" s="356">
        <f>ThanhHoa!P54</f>
        <v>0</v>
      </c>
      <c r="Q210" s="356">
        <f>ThanhHoa!Q54</f>
        <v>0</v>
      </c>
      <c r="R210" s="59">
        <f t="shared" si="84"/>
        <v>421.95833145000012</v>
      </c>
      <c r="S210" s="59">
        <f t="shared" si="85"/>
        <v>0</v>
      </c>
      <c r="T210" s="414">
        <f t="shared" si="86"/>
        <v>421.95833145000012</v>
      </c>
      <c r="U210" s="385">
        <f t="shared" si="80"/>
        <v>9.2879731106700354E-3</v>
      </c>
      <c r="V210" s="387" t="str">
        <f t="shared" si="81"/>
        <v/>
      </c>
      <c r="W210" s="387">
        <f t="shared" si="82"/>
        <v>9.2879731106700354E-3</v>
      </c>
    </row>
    <row r="211" spans="2:23" hidden="1" outlineLevel="1" x14ac:dyDescent="0.35">
      <c r="C211" s="6"/>
      <c r="D211" s="345" t="s">
        <v>148</v>
      </c>
      <c r="F211" s="356">
        <f>ThaiNguyen!F54</f>
        <v>0</v>
      </c>
      <c r="G211" s="356">
        <f>ThaiNguyen!G54</f>
        <v>0</v>
      </c>
      <c r="H211" s="356">
        <f>ThaiNguyen!H54</f>
        <v>0</v>
      </c>
      <c r="I211" s="356">
        <f>ThaiNguyen!I54</f>
        <v>0</v>
      </c>
      <c r="J211" s="356">
        <f>ThaiNguyen!J54</f>
        <v>0</v>
      </c>
      <c r="K211" s="356">
        <f>ThaiNguyen!K54</f>
        <v>0</v>
      </c>
      <c r="L211" s="356">
        <f>ThaiNguyen!L54</f>
        <v>0</v>
      </c>
      <c r="M211" s="356">
        <f>ThaiNguyen!M54</f>
        <v>0</v>
      </c>
      <c r="N211" s="356">
        <f>ThaiNguyen!N54</f>
        <v>0</v>
      </c>
      <c r="O211" s="356">
        <f>ThaiNguyen!O54</f>
        <v>0</v>
      </c>
      <c r="P211" s="356">
        <f>ThaiNguyen!P54</f>
        <v>0</v>
      </c>
      <c r="Q211" s="356">
        <f>ThaiNguyen!Q54</f>
        <v>0</v>
      </c>
      <c r="R211" s="59">
        <f t="shared" si="84"/>
        <v>0</v>
      </c>
      <c r="S211" s="59">
        <f t="shared" si="85"/>
        <v>0</v>
      </c>
      <c r="T211" s="414">
        <f t="shared" si="86"/>
        <v>0</v>
      </c>
      <c r="U211" s="385">
        <f t="shared" si="80"/>
        <v>0</v>
      </c>
      <c r="V211" s="387" t="str">
        <f t="shared" si="81"/>
        <v/>
      </c>
      <c r="W211" s="387">
        <f t="shared" si="82"/>
        <v>0</v>
      </c>
    </row>
    <row r="212" spans="2:23" hidden="1" outlineLevel="1" x14ac:dyDescent="0.35">
      <c r="C212" s="6"/>
      <c r="D212" s="345" t="s">
        <v>327</v>
      </c>
      <c r="F212" s="356">
        <f>ThaiBinh!F41</f>
        <v>0</v>
      </c>
      <c r="G212" s="356">
        <f>ThaiBinh!G41</f>
        <v>0</v>
      </c>
      <c r="H212" s="356">
        <f>ThaiBinh!H41</f>
        <v>-18.565858769230768</v>
      </c>
      <c r="I212" s="356">
        <f>ThaiBinh!I41</f>
        <v>-55.697576307692302</v>
      </c>
      <c r="J212" s="356">
        <f>ThaiBinh!J41</f>
        <v>-46.414646923076923</v>
      </c>
      <c r="K212" s="356">
        <f>ThaiBinh!K41</f>
        <v>-598.52862200000004</v>
      </c>
      <c r="L212" s="356">
        <f>ThaiBinh!L41</f>
        <v>-254.18669199999999</v>
      </c>
      <c r="M212" s="356">
        <f>ThaiBinh!M41</f>
        <v>-142.40104700000001</v>
      </c>
      <c r="N212" s="356">
        <f>ThaiBinh!N41</f>
        <v>-220.715701</v>
      </c>
      <c r="O212" s="356">
        <f>ThaiBinh!O41</f>
        <v>-250.60392100000001</v>
      </c>
      <c r="P212" s="356">
        <f>ThaiBinh!P41</f>
        <v>-254.806094</v>
      </c>
      <c r="Q212" s="356">
        <f>ThaiBinh!Q41</f>
        <v>-240.76117900000003</v>
      </c>
      <c r="R212" s="59">
        <f t="shared" si="84"/>
        <v>-2082.6813380000003</v>
      </c>
      <c r="S212" s="59">
        <f t="shared" si="85"/>
        <v>0</v>
      </c>
      <c r="T212" s="414">
        <f t="shared" si="86"/>
        <v>-2082.6813380000003</v>
      </c>
      <c r="U212" s="385">
        <f t="shared" si="80"/>
        <v>-4.5843124364829485E-2</v>
      </c>
      <c r="V212" s="387" t="str">
        <f t="shared" si="81"/>
        <v/>
      </c>
      <c r="W212" s="387">
        <f t="shared" si="82"/>
        <v>-4.5843124364829485E-2</v>
      </c>
    </row>
    <row r="213" spans="2:23" hidden="1" outlineLevel="1" x14ac:dyDescent="0.35">
      <c r="C213" s="6"/>
      <c r="D213" s="345" t="s">
        <v>151</v>
      </c>
      <c r="F213" s="356">
        <v>0</v>
      </c>
      <c r="G213" s="356">
        <v>0</v>
      </c>
      <c r="H213" s="356">
        <v>0</v>
      </c>
      <c r="I213" s="356">
        <v>0</v>
      </c>
      <c r="J213" s="356">
        <v>0</v>
      </c>
      <c r="K213" s="356">
        <v>0</v>
      </c>
      <c r="L213" s="356">
        <v>0</v>
      </c>
      <c r="M213" s="356">
        <v>0</v>
      </c>
      <c r="N213" s="356">
        <v>0</v>
      </c>
      <c r="O213" s="356">
        <v>0</v>
      </c>
      <c r="P213" s="356">
        <v>0</v>
      </c>
      <c r="Q213" s="356">
        <v>0</v>
      </c>
      <c r="R213" s="59">
        <f t="shared" si="84"/>
        <v>0</v>
      </c>
      <c r="S213" s="59">
        <f t="shared" si="85"/>
        <v>0</v>
      </c>
      <c r="T213" s="414">
        <f t="shared" si="86"/>
        <v>0</v>
      </c>
      <c r="U213" s="385">
        <f t="shared" si="80"/>
        <v>0</v>
      </c>
      <c r="V213" s="387" t="str">
        <f t="shared" si="81"/>
        <v/>
      </c>
      <c r="W213" s="387">
        <f t="shared" si="82"/>
        <v>0</v>
      </c>
    </row>
    <row r="214" spans="2:23" hidden="1" outlineLevel="1" x14ac:dyDescent="0.35">
      <c r="C214" s="6"/>
      <c r="D214" s="345" t="s">
        <v>153</v>
      </c>
      <c r="F214" s="356">
        <v>0</v>
      </c>
      <c r="G214" s="356">
        <v>0</v>
      </c>
      <c r="H214" s="356">
        <v>0</v>
      </c>
      <c r="I214" s="356">
        <v>0</v>
      </c>
      <c r="J214" s="356">
        <v>0</v>
      </c>
      <c r="K214" s="356">
        <v>0</v>
      </c>
      <c r="L214" s="356">
        <v>0</v>
      </c>
      <c r="M214" s="356">
        <v>0</v>
      </c>
      <c r="N214" s="356">
        <v>0</v>
      </c>
      <c r="O214" s="356">
        <v>0</v>
      </c>
      <c r="P214" s="356">
        <v>0</v>
      </c>
      <c r="Q214" s="356">
        <v>0</v>
      </c>
      <c r="R214" s="59">
        <f t="shared" si="84"/>
        <v>0</v>
      </c>
      <c r="S214" s="59">
        <f t="shared" si="85"/>
        <v>0</v>
      </c>
      <c r="T214" s="414">
        <f t="shared" si="86"/>
        <v>0</v>
      </c>
      <c r="U214" s="385">
        <f t="shared" si="80"/>
        <v>0</v>
      </c>
      <c r="V214" s="387" t="str">
        <f t="shared" si="81"/>
        <v/>
      </c>
      <c r="W214" s="387">
        <f t="shared" si="82"/>
        <v>0</v>
      </c>
    </row>
    <row r="215" spans="2:23" hidden="1" outlineLevel="1" x14ac:dyDescent="0.35">
      <c r="C215" s="6"/>
      <c r="D215" s="345" t="s">
        <v>154</v>
      </c>
      <c r="F215" s="356">
        <v>0</v>
      </c>
      <c r="G215" s="356">
        <v>0</v>
      </c>
      <c r="H215" s="356">
        <v>0</v>
      </c>
      <c r="I215" s="356">
        <v>0</v>
      </c>
      <c r="J215" s="356">
        <v>0</v>
      </c>
      <c r="K215" s="356">
        <v>0</v>
      </c>
      <c r="L215" s="356">
        <v>0</v>
      </c>
      <c r="M215" s="356">
        <v>0</v>
      </c>
      <c r="N215" s="356">
        <v>0</v>
      </c>
      <c r="O215" s="356">
        <v>0</v>
      </c>
      <c r="P215" s="356">
        <v>0</v>
      </c>
      <c r="Q215" s="356">
        <v>0</v>
      </c>
      <c r="R215" s="59">
        <f t="shared" si="84"/>
        <v>0</v>
      </c>
      <c r="S215" s="59">
        <f t="shared" si="85"/>
        <v>0</v>
      </c>
      <c r="T215" s="414">
        <f t="shared" si="86"/>
        <v>0</v>
      </c>
      <c r="U215" s="385">
        <f t="shared" si="80"/>
        <v>0</v>
      </c>
      <c r="V215" s="387" t="str">
        <f t="shared" si="81"/>
        <v/>
      </c>
      <c r="W215" s="387">
        <f t="shared" si="82"/>
        <v>0</v>
      </c>
    </row>
    <row r="216" spans="2:23" hidden="1" outlineLevel="1" x14ac:dyDescent="0.35">
      <c r="C216" s="6"/>
      <c r="D216" s="345" t="s">
        <v>155</v>
      </c>
      <c r="F216" s="356">
        <v>0</v>
      </c>
      <c r="G216" s="356">
        <v>0</v>
      </c>
      <c r="H216" s="356">
        <v>0</v>
      </c>
      <c r="I216" s="356">
        <v>0</v>
      </c>
      <c r="J216" s="356">
        <v>0</v>
      </c>
      <c r="K216" s="356">
        <v>0</v>
      </c>
      <c r="L216" s="356">
        <v>0</v>
      </c>
      <c r="M216" s="356">
        <v>0</v>
      </c>
      <c r="N216" s="356">
        <v>0</v>
      </c>
      <c r="O216" s="356">
        <v>0</v>
      </c>
      <c r="P216" s="356">
        <v>0</v>
      </c>
      <c r="Q216" s="356">
        <v>0</v>
      </c>
      <c r="R216" s="59">
        <f t="shared" si="84"/>
        <v>0</v>
      </c>
      <c r="S216" s="59">
        <f t="shared" si="85"/>
        <v>0</v>
      </c>
      <c r="T216" s="414">
        <f t="shared" si="86"/>
        <v>0</v>
      </c>
      <c r="U216" s="385">
        <f t="shared" si="80"/>
        <v>0</v>
      </c>
      <c r="V216" s="387" t="str">
        <f t="shared" si="81"/>
        <v/>
      </c>
      <c r="W216" s="387">
        <f t="shared" si="82"/>
        <v>0</v>
      </c>
    </row>
    <row r="217" spans="2:23" ht="13.15" hidden="1" outlineLevel="1" thickBot="1" x14ac:dyDescent="0.4">
      <c r="C217" s="6"/>
      <c r="D217" s="415" t="s">
        <v>329</v>
      </c>
      <c r="E217" s="416"/>
      <c r="F217" s="419">
        <v>0</v>
      </c>
      <c r="G217" s="419">
        <v>0</v>
      </c>
      <c r="H217" s="419">
        <v>0</v>
      </c>
      <c r="I217" s="419">
        <v>0</v>
      </c>
      <c r="J217" s="419">
        <v>0</v>
      </c>
      <c r="K217" s="419">
        <v>0</v>
      </c>
      <c r="L217" s="419">
        <v>0</v>
      </c>
      <c r="M217" s="419">
        <v>0</v>
      </c>
      <c r="N217" s="419">
        <v>0</v>
      </c>
      <c r="O217" s="419">
        <v>0</v>
      </c>
      <c r="P217" s="419">
        <v>0</v>
      </c>
      <c r="Q217" s="419">
        <v>0</v>
      </c>
      <c r="R217" s="417">
        <f t="shared" si="84"/>
        <v>0</v>
      </c>
      <c r="S217" s="417">
        <f t="shared" si="85"/>
        <v>0</v>
      </c>
      <c r="T217" s="418">
        <f t="shared" si="86"/>
        <v>0</v>
      </c>
      <c r="U217" s="385">
        <f t="shared" si="80"/>
        <v>0</v>
      </c>
      <c r="V217" s="387" t="str">
        <f t="shared" si="81"/>
        <v/>
      </c>
      <c r="W217" s="387">
        <f t="shared" si="82"/>
        <v>0</v>
      </c>
    </row>
    <row r="218" spans="2:23" collapsed="1" x14ac:dyDescent="0.35">
      <c r="B218" s="89" t="s">
        <v>502</v>
      </c>
      <c r="C218" s="90"/>
      <c r="D218" s="90"/>
      <c r="E218" s="91"/>
      <c r="F218" s="92" t="e">
        <f>F206-F207</f>
        <v>#REF!</v>
      </c>
      <c r="G218" s="92">
        <f t="shared" ref="G218:Q218" si="87">G206-G207</f>
        <v>-1677.9615233743077</v>
      </c>
      <c r="H218" s="92">
        <f t="shared" si="87"/>
        <v>-792.9795233519759</v>
      </c>
      <c r="I218" s="92">
        <f t="shared" si="87"/>
        <v>-770.42482410345747</v>
      </c>
      <c r="J218" s="92">
        <f t="shared" si="87"/>
        <v>-409.86524981780781</v>
      </c>
      <c r="K218" s="92">
        <f t="shared" si="87"/>
        <v>-406.60245645580812</v>
      </c>
      <c r="L218" s="92">
        <f t="shared" si="87"/>
        <v>-651.24796746333357</v>
      </c>
      <c r="M218" s="92">
        <f t="shared" si="87"/>
        <v>-1263.1373901821753</v>
      </c>
      <c r="N218" s="92">
        <f t="shared" si="87"/>
        <v>-695.60638676726376</v>
      </c>
      <c r="O218" s="92">
        <f t="shared" si="87"/>
        <v>-1364.538226572352</v>
      </c>
      <c r="P218" s="92">
        <f t="shared" si="87"/>
        <v>-1647.3387468839398</v>
      </c>
      <c r="Q218" s="92">
        <f t="shared" si="87"/>
        <v>-1618.9938438973327</v>
      </c>
      <c r="R218" s="92" t="e">
        <f t="shared" si="84"/>
        <v>#REF!</v>
      </c>
      <c r="S218" s="92">
        <f t="shared" si="85"/>
        <v>0</v>
      </c>
      <c r="T218" s="92" t="e">
        <f>SUM(R218:S218)</f>
        <v>#REF!</v>
      </c>
      <c r="U218" s="390" t="str">
        <f t="shared" si="80"/>
        <v/>
      </c>
      <c r="V218" s="387" t="str">
        <f t="shared" si="81"/>
        <v/>
      </c>
      <c r="W218" s="387" t="str">
        <f t="shared" si="82"/>
        <v/>
      </c>
    </row>
    <row r="219" spans="2:23" ht="13.15" thickBot="1" x14ac:dyDescent="0.4">
      <c r="B219" s="27"/>
      <c r="C219" s="55" t="s">
        <v>204</v>
      </c>
      <c r="D219" s="6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385">
        <f t="shared" si="80"/>
        <v>0</v>
      </c>
      <c r="V219" s="387" t="str">
        <f t="shared" si="81"/>
        <v/>
      </c>
      <c r="W219" s="387">
        <f t="shared" si="82"/>
        <v>0</v>
      </c>
    </row>
    <row r="220" spans="2:23" hidden="1" outlineLevel="1" x14ac:dyDescent="0.35">
      <c r="B220" s="27"/>
      <c r="C220" s="55"/>
      <c r="D220" s="338" t="s">
        <v>147</v>
      </c>
      <c r="F220" s="57">
        <f>HaiDuong!F87</f>
        <v>-33.10712431000001</v>
      </c>
      <c r="G220" s="57">
        <f>HaiDuong!G87</f>
        <v>15.377275576000011</v>
      </c>
      <c r="H220" s="57">
        <f>HaiDuong!H87</f>
        <v>24.331747335999975</v>
      </c>
      <c r="I220" s="57">
        <f>HaiDuong!I87</f>
        <v>37.737521432000023</v>
      </c>
      <c r="J220" s="57">
        <f>HaiDuong!J87</f>
        <v>22.342813480000004</v>
      </c>
      <c r="K220" s="57">
        <f>HaiDuong!K87</f>
        <v>14.552480904000001</v>
      </c>
      <c r="L220" s="57">
        <f>HaiDuong!L87</f>
        <v>26.377687336000019</v>
      </c>
      <c r="M220" s="57">
        <f>HaiDuong!M87</f>
        <v>11.136545991999999</v>
      </c>
      <c r="N220" s="57">
        <f>HaiDuong!N87</f>
        <v>6.1318956399999776</v>
      </c>
      <c r="O220" s="57">
        <f>HaiDuong!O87</f>
        <v>3.9186615519999912</v>
      </c>
      <c r="P220" s="57">
        <f>HaiDuong!P87</f>
        <v>0.11064539199999511</v>
      </c>
      <c r="Q220" s="57">
        <f>HaiDuong!Q87</f>
        <v>6.2471833839999773</v>
      </c>
      <c r="R220" s="85">
        <f t="shared" si="84"/>
        <v>135.157333714</v>
      </c>
      <c r="S220" s="85">
        <f t="shared" si="85"/>
        <v>0</v>
      </c>
      <c r="T220" s="85">
        <f t="shared" ref="T220:T225" si="88">SUM(R220:S220)</f>
        <v>135.157333714</v>
      </c>
      <c r="U220" s="385">
        <f t="shared" si="80"/>
        <v>2.9750275979424281E-3</v>
      </c>
      <c r="V220" s="387" t="str">
        <f t="shared" si="81"/>
        <v/>
      </c>
      <c r="W220" s="387">
        <f t="shared" si="82"/>
        <v>2.9750275979424281E-3</v>
      </c>
    </row>
    <row r="221" spans="2:23" hidden="1" outlineLevel="1" x14ac:dyDescent="0.35">
      <c r="B221" s="27"/>
      <c r="C221" s="55"/>
      <c r="D221" s="338" t="s">
        <v>150</v>
      </c>
      <c r="F221" s="85">
        <f>CaMau!F57</f>
        <v>0</v>
      </c>
      <c r="G221" s="85">
        <f>CaMau!G57</f>
        <v>0</v>
      </c>
      <c r="H221" s="85">
        <f>CaMau!H57</f>
        <v>0</v>
      </c>
      <c r="I221" s="85">
        <f>CaMau!I57</f>
        <v>0</v>
      </c>
      <c r="J221" s="85">
        <f>CaMau!J57</f>
        <v>0</v>
      </c>
      <c r="K221" s="85">
        <f>CaMau!K57</f>
        <v>0</v>
      </c>
      <c r="L221" s="85">
        <f>CaMau!L57</f>
        <v>0</v>
      </c>
      <c r="M221" s="85">
        <f>CaMau!M57</f>
        <v>0</v>
      </c>
      <c r="N221" s="85">
        <f>CaMau!N57</f>
        <v>0</v>
      </c>
      <c r="O221" s="85">
        <f>CaMau!O57</f>
        <v>0</v>
      </c>
      <c r="P221" s="85">
        <f>CaMau!P57</f>
        <v>0</v>
      </c>
      <c r="Q221" s="85">
        <f>CaMau!Q57</f>
        <v>0</v>
      </c>
      <c r="R221" s="85">
        <f t="shared" si="84"/>
        <v>0</v>
      </c>
      <c r="S221" s="85">
        <f t="shared" si="85"/>
        <v>0</v>
      </c>
      <c r="T221" s="85">
        <f t="shared" si="88"/>
        <v>0</v>
      </c>
      <c r="U221" s="385">
        <f t="shared" si="80"/>
        <v>0</v>
      </c>
      <c r="V221" s="387" t="str">
        <f t="shared" si="81"/>
        <v/>
      </c>
      <c r="W221" s="387">
        <f t="shared" si="82"/>
        <v>0</v>
      </c>
    </row>
    <row r="222" spans="2:23" hidden="1" outlineLevel="1" x14ac:dyDescent="0.35">
      <c r="B222" s="27"/>
      <c r="C222" s="55"/>
      <c r="D222" s="338" t="s">
        <v>146</v>
      </c>
      <c r="F222" s="85">
        <f>ThanhHoa!F56</f>
        <v>-134.32749250000001</v>
      </c>
      <c r="G222" s="85">
        <f>ThanhHoa!G56</f>
        <v>33.051721396000005</v>
      </c>
      <c r="H222" s="85">
        <f>ThanhHoa!H56</f>
        <v>72.121046564000011</v>
      </c>
      <c r="I222" s="85">
        <f>ThanhHoa!I56</f>
        <v>73.388140755999999</v>
      </c>
      <c r="J222" s="85">
        <f>ThanhHoa!J56</f>
        <v>211.98924104400001</v>
      </c>
      <c r="K222" s="85">
        <f>ThanhHoa!K56</f>
        <v>170.809112852</v>
      </c>
      <c r="L222" s="85">
        <f>ThanhHoa!L56</f>
        <v>92.363503988000005</v>
      </c>
      <c r="M222" s="85">
        <f>ThanhHoa!M56</f>
        <v>4.6197744750000007</v>
      </c>
      <c r="N222" s="85">
        <f>ThanhHoa!N56</f>
        <v>112.64607141899999</v>
      </c>
      <c r="O222" s="85">
        <f>ThanhHoa!O56</f>
        <v>-78.579685275000003</v>
      </c>
      <c r="P222" s="85">
        <f>ThanhHoa!P56</f>
        <v>-78.51321187500001</v>
      </c>
      <c r="Q222" s="85">
        <f>ThanhHoa!Q56</f>
        <v>-88.263245775000001</v>
      </c>
      <c r="R222" s="85">
        <f t="shared" si="84"/>
        <v>391.30497706900007</v>
      </c>
      <c r="S222" s="85">
        <f t="shared" si="85"/>
        <v>0</v>
      </c>
      <c r="T222" s="85">
        <f t="shared" si="88"/>
        <v>391.30497706900007</v>
      </c>
      <c r="U222" s="385">
        <f t="shared" si="80"/>
        <v>8.6132440911855512E-3</v>
      </c>
      <c r="V222" s="387" t="str">
        <f t="shared" si="81"/>
        <v/>
      </c>
      <c r="W222" s="387">
        <f t="shared" si="82"/>
        <v>8.6132440911855512E-3</v>
      </c>
    </row>
    <row r="223" spans="2:23" hidden="1" outlineLevel="1" x14ac:dyDescent="0.35">
      <c r="B223" s="27"/>
      <c r="C223" s="55"/>
      <c r="D223" s="338" t="s">
        <v>148</v>
      </c>
      <c r="F223" s="85">
        <f>ThaiNguyen!F56</f>
        <v>0</v>
      </c>
      <c r="G223" s="85">
        <f>ThaiNguyen!G56</f>
        <v>0</v>
      </c>
      <c r="H223" s="85">
        <f>ThaiNguyen!H56</f>
        <v>0</v>
      </c>
      <c r="I223" s="85">
        <f>ThaiNguyen!I56</f>
        <v>0</v>
      </c>
      <c r="J223" s="85">
        <f>ThaiNguyen!J56</f>
        <v>0</v>
      </c>
      <c r="K223" s="85">
        <f>ThaiNguyen!K56</f>
        <v>0</v>
      </c>
      <c r="L223" s="85">
        <f>ThaiNguyen!L56</f>
        <v>0</v>
      </c>
      <c r="M223" s="85">
        <f>ThaiNguyen!M56</f>
        <v>0</v>
      </c>
      <c r="N223" s="85">
        <f>ThaiNguyen!N56</f>
        <v>0</v>
      </c>
      <c r="O223" s="85">
        <f>ThaiNguyen!O56</f>
        <v>0</v>
      </c>
      <c r="P223" s="85">
        <f>ThaiNguyen!P56</f>
        <v>0</v>
      </c>
      <c r="Q223" s="85">
        <f>ThaiNguyen!Q56</f>
        <v>0</v>
      </c>
      <c r="R223" s="85">
        <f t="shared" si="84"/>
        <v>0</v>
      </c>
      <c r="S223" s="85">
        <f t="shared" si="85"/>
        <v>0</v>
      </c>
      <c r="T223" s="85">
        <f t="shared" si="88"/>
        <v>0</v>
      </c>
      <c r="U223" s="385">
        <f t="shared" si="80"/>
        <v>0</v>
      </c>
      <c r="V223" s="387" t="str">
        <f t="shared" si="81"/>
        <v/>
      </c>
      <c r="W223" s="387">
        <f t="shared" si="82"/>
        <v>0</v>
      </c>
    </row>
    <row r="224" spans="2:23" ht="13.15" hidden="1" outlineLevel="1" thickBot="1" x14ac:dyDescent="0.4">
      <c r="D224" s="338" t="s">
        <v>327</v>
      </c>
      <c r="F224" s="59">
        <f>ThaiBinh!F45</f>
        <v>0</v>
      </c>
      <c r="G224" s="59">
        <f>ThaiBinh!G45</f>
        <v>0</v>
      </c>
      <c r="H224" s="59">
        <f>ThaiBinh!H45</f>
        <v>0</v>
      </c>
      <c r="I224" s="59">
        <f>ThaiBinh!I45</f>
        <v>0</v>
      </c>
      <c r="J224" s="59">
        <f>ThaiBinh!J45</f>
        <v>0</v>
      </c>
      <c r="K224" s="59">
        <f>ThaiBinh!K45</f>
        <v>0</v>
      </c>
      <c r="L224" s="59">
        <f>ThaiBinh!L45</f>
        <v>0</v>
      </c>
      <c r="M224" s="59">
        <f>ThaiBinh!M45</f>
        <v>0</v>
      </c>
      <c r="N224" s="59">
        <f>ThaiBinh!N45</f>
        <v>0</v>
      </c>
      <c r="O224" s="59">
        <f>ThaiBinh!O45</f>
        <v>0</v>
      </c>
      <c r="P224" s="59">
        <f>ThaiBinh!P45</f>
        <v>0</v>
      </c>
      <c r="Q224" s="59">
        <f>ThaiBinh!Q45</f>
        <v>0</v>
      </c>
      <c r="R224" s="59">
        <f t="shared" si="84"/>
        <v>0</v>
      </c>
      <c r="S224" s="59">
        <f t="shared" si="85"/>
        <v>0</v>
      </c>
      <c r="T224" s="59">
        <f t="shared" si="88"/>
        <v>0</v>
      </c>
      <c r="U224" s="385">
        <f t="shared" si="80"/>
        <v>0</v>
      </c>
      <c r="V224" s="387" t="str">
        <f t="shared" si="81"/>
        <v/>
      </c>
      <c r="W224" s="387">
        <f t="shared" si="82"/>
        <v>0</v>
      </c>
    </row>
    <row r="225" spans="2:23" collapsed="1" x14ac:dyDescent="0.35">
      <c r="B225" s="90" t="s">
        <v>205</v>
      </c>
      <c r="C225" s="90"/>
      <c r="D225" s="91"/>
      <c r="E225" s="92"/>
      <c r="F225" s="92" t="e">
        <f>F218-F220</f>
        <v>#REF!</v>
      </c>
      <c r="G225" s="92">
        <f t="shared" ref="G225:Q225" si="89">G218-G220</f>
        <v>-1693.3387989503078</v>
      </c>
      <c r="H225" s="92">
        <f t="shared" si="89"/>
        <v>-817.31127068797582</v>
      </c>
      <c r="I225" s="92">
        <f t="shared" si="89"/>
        <v>-808.16234553545746</v>
      </c>
      <c r="J225" s="92">
        <f t="shared" si="89"/>
        <v>-432.20806329780783</v>
      </c>
      <c r="K225" s="92">
        <f t="shared" si="89"/>
        <v>-421.15493735980812</v>
      </c>
      <c r="L225" s="92">
        <f t="shared" si="89"/>
        <v>-677.62565479933357</v>
      </c>
      <c r="M225" s="92">
        <f t="shared" si="89"/>
        <v>-1274.2739361741753</v>
      </c>
      <c r="N225" s="92">
        <f t="shared" si="89"/>
        <v>-701.73828240726368</v>
      </c>
      <c r="O225" s="92">
        <f t="shared" si="89"/>
        <v>-1368.456888124352</v>
      </c>
      <c r="P225" s="92">
        <f t="shared" si="89"/>
        <v>-1647.4493922759398</v>
      </c>
      <c r="Q225" s="92">
        <f t="shared" si="89"/>
        <v>-1625.2410272813327</v>
      </c>
      <c r="R225" s="92" t="e">
        <f t="shared" si="84"/>
        <v>#REF!</v>
      </c>
      <c r="S225" s="92">
        <f t="shared" si="85"/>
        <v>0</v>
      </c>
      <c r="T225" s="92" t="e">
        <f t="shared" si="88"/>
        <v>#REF!</v>
      </c>
      <c r="U225" s="390" t="str">
        <f t="shared" si="80"/>
        <v/>
      </c>
      <c r="V225" s="387" t="str">
        <f t="shared" si="81"/>
        <v/>
      </c>
      <c r="W225" s="387" t="str">
        <f t="shared" si="82"/>
        <v/>
      </c>
    </row>
    <row r="226" spans="2:23" ht="3" customHeight="1" x14ac:dyDescent="0.35">
      <c r="U226" s="387"/>
      <c r="V226" s="387" t="str">
        <f t="shared" si="81"/>
        <v/>
      </c>
      <c r="W226" s="387">
        <f t="shared" si="82"/>
        <v>0</v>
      </c>
    </row>
    <row r="227" spans="2:23" x14ac:dyDescent="0.35">
      <c r="B227" s="6" t="s">
        <v>479</v>
      </c>
      <c r="F227" s="218">
        <f>SUBTOTAL(9,F228:F232)</f>
        <v>138.3324475</v>
      </c>
      <c r="G227" s="218">
        <f t="shared" ref="G227:Q227" si="90">SUBTOTAL(9,G228:G232)</f>
        <v>139.3324475</v>
      </c>
      <c r="H227" s="218">
        <f t="shared" si="90"/>
        <v>140.3324475</v>
      </c>
      <c r="I227" s="218">
        <f t="shared" si="90"/>
        <v>141.3324475</v>
      </c>
      <c r="J227" s="218">
        <f t="shared" si="90"/>
        <v>142.3324475</v>
      </c>
      <c r="K227" s="218">
        <f t="shared" si="90"/>
        <v>193.25744750000001</v>
      </c>
      <c r="L227" s="218">
        <f t="shared" si="90"/>
        <v>194.25744750000001</v>
      </c>
      <c r="M227" s="218">
        <f t="shared" si="90"/>
        <v>195.25744750000001</v>
      </c>
      <c r="N227" s="218">
        <f t="shared" si="90"/>
        <v>196.25744750000001</v>
      </c>
      <c r="O227" s="218">
        <f t="shared" si="90"/>
        <v>197.25744750000001</v>
      </c>
      <c r="P227" s="218">
        <f t="shared" si="90"/>
        <v>198.25744750000001</v>
      </c>
      <c r="Q227" s="218">
        <f t="shared" si="90"/>
        <v>199.25744750000001</v>
      </c>
      <c r="T227" s="337">
        <f>SUM(F227:Q227)</f>
        <v>2075.4643700000006</v>
      </c>
      <c r="U227" s="420">
        <f t="shared" si="80"/>
        <v>0</v>
      </c>
      <c r="V227" s="387" t="str">
        <f t="shared" si="81"/>
        <v/>
      </c>
      <c r="W227" s="387">
        <f t="shared" si="82"/>
        <v>4.5684267435771531E-2</v>
      </c>
    </row>
    <row r="228" spans="2:23" hidden="1" outlineLevel="1" x14ac:dyDescent="0.35">
      <c r="B228" s="6"/>
      <c r="D228" s="341" t="s">
        <v>147</v>
      </c>
      <c r="E228" s="367"/>
      <c r="F228" s="342">
        <f>HaiDuong!F91</f>
        <v>43.333333333333336</v>
      </c>
      <c r="G228" s="342">
        <f>HaiDuong!G91</f>
        <v>43.333333333333336</v>
      </c>
      <c r="H228" s="342">
        <f>HaiDuong!H91</f>
        <v>43.333333333333336</v>
      </c>
      <c r="I228" s="342">
        <f>HaiDuong!I91</f>
        <v>43.333333333333336</v>
      </c>
      <c r="J228" s="342">
        <f>HaiDuong!J91</f>
        <v>43.333333333333336</v>
      </c>
      <c r="K228" s="342">
        <f>HaiDuong!K91</f>
        <v>43.333333333333336</v>
      </c>
      <c r="L228" s="342">
        <f>HaiDuong!L91</f>
        <v>43.333333333333336</v>
      </c>
      <c r="M228" s="342">
        <f>HaiDuong!M91</f>
        <v>43.333333333333336</v>
      </c>
      <c r="N228" s="342">
        <f>HaiDuong!N91</f>
        <v>43.333333333333336</v>
      </c>
      <c r="O228" s="342">
        <f>HaiDuong!O91</f>
        <v>43.333333333333336</v>
      </c>
      <c r="P228" s="342">
        <f>HaiDuong!P91</f>
        <v>43.333333333333336</v>
      </c>
      <c r="Q228" s="342">
        <f>HaiDuong!Q91</f>
        <v>43.333333333333336</v>
      </c>
      <c r="R228" s="364"/>
      <c r="U228" s="389">
        <f t="shared" si="80"/>
        <v>0</v>
      </c>
      <c r="V228" s="387" t="str">
        <f t="shared" si="81"/>
        <v/>
      </c>
      <c r="W228" s="387">
        <f t="shared" si="82"/>
        <v>0</v>
      </c>
    </row>
    <row r="229" spans="2:23" hidden="1" outlineLevel="1" x14ac:dyDescent="0.35">
      <c r="B229" s="6"/>
      <c r="D229" s="345" t="s">
        <v>150</v>
      </c>
      <c r="F229" s="351">
        <v>0</v>
      </c>
      <c r="G229" s="351">
        <v>1</v>
      </c>
      <c r="H229" s="351">
        <v>2</v>
      </c>
      <c r="I229" s="351">
        <v>3</v>
      </c>
      <c r="J229" s="351">
        <v>4</v>
      </c>
      <c r="K229" s="351">
        <v>5</v>
      </c>
      <c r="L229" s="351">
        <v>6</v>
      </c>
      <c r="M229" s="351">
        <v>7</v>
      </c>
      <c r="N229" s="351">
        <v>8</v>
      </c>
      <c r="O229" s="351">
        <v>9</v>
      </c>
      <c r="P229" s="351">
        <v>10</v>
      </c>
      <c r="Q229" s="351">
        <v>11</v>
      </c>
      <c r="R229" s="364"/>
      <c r="U229" s="389">
        <f t="shared" si="80"/>
        <v>0</v>
      </c>
      <c r="V229" s="387" t="str">
        <f t="shared" si="81"/>
        <v/>
      </c>
      <c r="W229" s="387">
        <f t="shared" si="82"/>
        <v>0</v>
      </c>
    </row>
    <row r="230" spans="2:23" hidden="1" outlineLevel="1" x14ac:dyDescent="0.35">
      <c r="B230" s="6"/>
      <c r="D230" s="345" t="s">
        <v>146</v>
      </c>
      <c r="F230" s="351">
        <f>ThanhHoa!F90</f>
        <v>86.666666666666671</v>
      </c>
      <c r="G230" s="351">
        <f>ThanhHoa!G90</f>
        <v>86.666666666666671</v>
      </c>
      <c r="H230" s="351">
        <f>ThanhHoa!H90</f>
        <v>86.666666666666671</v>
      </c>
      <c r="I230" s="351">
        <f>ThanhHoa!I90</f>
        <v>86.666666666666671</v>
      </c>
      <c r="J230" s="351">
        <f>ThanhHoa!J90</f>
        <v>86.666666666666671</v>
      </c>
      <c r="K230" s="351">
        <f>ThanhHoa!K90</f>
        <v>86.666666666666671</v>
      </c>
      <c r="L230" s="351">
        <f>ThanhHoa!L90</f>
        <v>86.666666666666671</v>
      </c>
      <c r="M230" s="351">
        <f>ThanhHoa!M90</f>
        <v>86.666666666666671</v>
      </c>
      <c r="N230" s="351">
        <f>ThanhHoa!N90</f>
        <v>86.666666666666671</v>
      </c>
      <c r="O230" s="351">
        <f>ThanhHoa!O90</f>
        <v>86.666666666666671</v>
      </c>
      <c r="P230" s="351">
        <f>ThanhHoa!P90</f>
        <v>86.666666666666671</v>
      </c>
      <c r="Q230" s="351">
        <f>ThanhHoa!Q90</f>
        <v>86.666666666666671</v>
      </c>
      <c r="R230" s="364"/>
      <c r="U230" s="389">
        <f t="shared" si="80"/>
        <v>0</v>
      </c>
      <c r="V230" s="387" t="str">
        <f t="shared" si="81"/>
        <v/>
      </c>
      <c r="W230" s="387">
        <f t="shared" si="82"/>
        <v>0</v>
      </c>
    </row>
    <row r="231" spans="2:23" hidden="1" outlineLevel="1" x14ac:dyDescent="0.35">
      <c r="B231" s="6"/>
      <c r="D231" s="345" t="s">
        <v>148</v>
      </c>
      <c r="F231" s="351">
        <f>ThaiNguyen!F60</f>
        <v>8.3324474999999936</v>
      </c>
      <c r="G231" s="351">
        <f>ThaiNguyen!G60</f>
        <v>8.3324474999999936</v>
      </c>
      <c r="H231" s="351">
        <f>ThaiNguyen!H60</f>
        <v>8.3324474999999936</v>
      </c>
      <c r="I231" s="351">
        <f>ThaiNguyen!I60</f>
        <v>8.3324474999999936</v>
      </c>
      <c r="J231" s="351">
        <f>ThaiNguyen!J60</f>
        <v>8.3324474999999936</v>
      </c>
      <c r="K231" s="351">
        <f>ThaiNguyen!K60</f>
        <v>8.3324474999999936</v>
      </c>
      <c r="L231" s="351">
        <f>ThaiNguyen!L60</f>
        <v>8.3324474999999936</v>
      </c>
      <c r="M231" s="351">
        <f>ThaiNguyen!M60</f>
        <v>8.3324474999999936</v>
      </c>
      <c r="N231" s="351">
        <f>ThaiNguyen!N60</f>
        <v>8.3324474999999936</v>
      </c>
      <c r="O231" s="351">
        <f>ThaiNguyen!O60</f>
        <v>8.3324474999999936</v>
      </c>
      <c r="P231" s="351">
        <f>ThaiNguyen!P60</f>
        <v>8.3324474999999936</v>
      </c>
      <c r="Q231" s="351">
        <f>ThaiNguyen!Q60</f>
        <v>8.3324474999999936</v>
      </c>
      <c r="R231" s="364"/>
      <c r="U231" s="389">
        <f t="shared" si="80"/>
        <v>0</v>
      </c>
      <c r="V231" s="387" t="str">
        <f t="shared" si="81"/>
        <v/>
      </c>
      <c r="W231" s="387">
        <f t="shared" si="82"/>
        <v>0</v>
      </c>
    </row>
    <row r="232" spans="2:23" hidden="1" outlineLevel="1" x14ac:dyDescent="0.35">
      <c r="D232" s="347" t="s">
        <v>327</v>
      </c>
      <c r="E232" s="368"/>
      <c r="F232" s="352">
        <f>ThaiBinh!F46</f>
        <v>0</v>
      </c>
      <c r="G232" s="352">
        <f>ThaiBinh!G46</f>
        <v>0</v>
      </c>
      <c r="H232" s="352">
        <f>ThaiBinh!H46</f>
        <v>0</v>
      </c>
      <c r="I232" s="352">
        <f>ThaiBinh!I46</f>
        <v>0</v>
      </c>
      <c r="J232" s="352">
        <f>ThaiBinh!J46</f>
        <v>0</v>
      </c>
      <c r="K232" s="352">
        <f>ThaiBinh!K46</f>
        <v>49.925000000000004</v>
      </c>
      <c r="L232" s="352">
        <f>ThaiBinh!L46</f>
        <v>49.925000000000004</v>
      </c>
      <c r="M232" s="352">
        <f>ThaiBinh!M46</f>
        <v>49.925000000000004</v>
      </c>
      <c r="N232" s="352">
        <f>ThaiBinh!N46</f>
        <v>49.925000000000004</v>
      </c>
      <c r="O232" s="352">
        <f>ThaiBinh!O46</f>
        <v>49.925000000000004</v>
      </c>
      <c r="P232" s="352">
        <f>ThaiBinh!P46</f>
        <v>49.925000000000004</v>
      </c>
      <c r="Q232" s="352">
        <f>ThaiBinh!Q46</f>
        <v>49.925000000000004</v>
      </c>
      <c r="R232" s="364"/>
      <c r="U232" s="387">
        <f t="shared" si="80"/>
        <v>0</v>
      </c>
      <c r="V232" s="387" t="str">
        <f t="shared" si="81"/>
        <v/>
      </c>
      <c r="W232" s="387">
        <f t="shared" si="82"/>
        <v>0</v>
      </c>
    </row>
    <row r="233" spans="2:23" collapsed="1" x14ac:dyDescent="0.35">
      <c r="D233" s="338"/>
    </row>
    <row r="234" spans="2:23" x14ac:dyDescent="0.35">
      <c r="B234" s="28" t="s">
        <v>99</v>
      </c>
    </row>
    <row r="235" spans="2:23" x14ac:dyDescent="0.35">
      <c r="C235" s="6" t="s">
        <v>137</v>
      </c>
    </row>
    <row r="236" spans="2:23" x14ac:dyDescent="0.35">
      <c r="E236" s="2" t="s">
        <v>6</v>
      </c>
      <c r="F236" s="57">
        <f>SUM(HaiDuong!F95,CaMau!F94,ThanhHoa!F94,ThaiNguyen!F62,ThaiBinh!F50,YetKieu!F57,NhaTrang!F52,'SocSon-1'!F14)</f>
        <v>651</v>
      </c>
      <c r="G236" s="57">
        <f>SUM(HaiDuong!G95,CaMau!G94,ThanhHoa!G94,ThaiNguyen!G62,ThaiBinh!G50,YetKieu!G57,NhaTrang!G52,'SocSon-1'!G14)</f>
        <v>1106</v>
      </c>
      <c r="H236" s="57">
        <f>SUM(HaiDuong!H95,CaMau!H94,ThanhHoa!H94,ThaiNguyen!H62,ThaiBinh!H50,YetKieu!H57,NhaTrang!H52,'SocSon-1'!H14)</f>
        <v>1336</v>
      </c>
      <c r="I236" s="57">
        <f>SUM(HaiDuong!I95,CaMau!I94,ThanhHoa!I94,ThaiNguyen!I62,ThaiBinh!I50,YetKieu!I57,NhaTrang!I52,'SocSon-1'!I14)</f>
        <v>1451</v>
      </c>
      <c r="J236" s="57">
        <f>SUM(HaiDuong!J95,CaMau!J94,ThanhHoa!J94,ThaiNguyen!J62,ThaiBinh!J50,YetKieu!J57,NhaTrang!J52,'SocSon-1'!J14)</f>
        <v>1518</v>
      </c>
      <c r="K236" s="57">
        <f>SUM(HaiDuong!K95,CaMau!K94,ThanhHoa!K94,ThaiNguyen!K62,ThaiBinh!K50,YetKieu!K57,NhaTrang!K52,'SocSon-1'!K14)</f>
        <v>1627</v>
      </c>
      <c r="L236" s="57">
        <f>SUM(HaiDuong!L95,CaMau!L94,ThanhHoa!L94,ThaiNguyen!L62,ThaiBinh!L50,YetKieu!L57,NhaTrang!L52,'SocSon-1'!L14)</f>
        <v>1881</v>
      </c>
      <c r="M236" s="57">
        <f>SUM(HaiDuong!M95,CaMau!M94,ThanhHoa!M94,ThaiNguyen!M62,ThaiBinh!M50,YetKieu!M57,NhaTrang!M52,'SocSon-1'!M14)</f>
        <v>2097</v>
      </c>
      <c r="N236" s="57">
        <f>SUM(HaiDuong!N95,CaMau!N94,ThanhHoa!N94,ThaiNguyen!N62,ThaiBinh!N50,YetKieu!N57,NhaTrang!N52,'SocSon-1'!N14)</f>
        <v>1666</v>
      </c>
      <c r="O236" s="57">
        <f>SUM(HaiDuong!O95,CaMau!O94,ThanhHoa!O94,ThaiNguyen!O62,ThaiBinh!O50,YetKieu!O57,NhaTrang!O52,'SocSon-1'!O14)</f>
        <v>1737</v>
      </c>
      <c r="P236" s="57">
        <f>SUM(HaiDuong!P95,CaMau!P94,ThanhHoa!P94,ThaiNguyen!P62,ThaiBinh!P50,YetKieu!P57,NhaTrang!P52,'SocSon-1'!P14)</f>
        <v>1572</v>
      </c>
      <c r="Q236" s="57">
        <f>SUM(HaiDuong!Q95,CaMau!Q94,ThanhHoa!Q94,ThaiNguyen!Q62,ThaiBinh!Q50,YetKieu!Q57,NhaTrang!Q52,'SocSon-1'!Q14)</f>
        <v>1742</v>
      </c>
      <c r="R236" s="57">
        <f>SUMIFS($F236:$Q236,$F$7:$Q$7,"A")</f>
        <v>18384</v>
      </c>
      <c r="S236" s="85">
        <f>SUMIFS($F236:$Q236,$F$7:$Q$7,"B")</f>
        <v>0</v>
      </c>
      <c r="T236" s="57">
        <f>SUM(R236:S236)</f>
        <v>18384</v>
      </c>
    </row>
    <row r="237" spans="2:23" x14ac:dyDescent="0.35">
      <c r="E237" s="2" t="s">
        <v>8</v>
      </c>
      <c r="F237" s="57">
        <f>SUM(HaiDuong!F97,ThanhHoa!F96,ThaiNguyen!F63,YetKieu!F59,NhaTrang!F53,ThachThat!F37)</f>
        <v>178</v>
      </c>
      <c r="G237" s="57">
        <f>SUM(HaiDuong!G97,ThanhHoa!G96,ThaiNguyen!G63,YetKieu!G59,NhaTrang!G53,ThachThat!G37)</f>
        <v>682</v>
      </c>
      <c r="H237" s="57">
        <f>SUM(HaiDuong!H97,ThanhHoa!H96,ThaiNguyen!H63,YetKieu!H59,NhaTrang!H53,ThachThat!H37)</f>
        <v>976</v>
      </c>
      <c r="I237" s="57">
        <f>SUM(HaiDuong!I97,ThanhHoa!I96,ThaiNguyen!I63,YetKieu!I59,NhaTrang!I53,ThachThat!I37)</f>
        <v>939</v>
      </c>
      <c r="J237" s="57">
        <f>SUM(HaiDuong!J97,ThanhHoa!J96,ThaiNguyen!J63,YetKieu!J59,NhaTrang!J53,ThachThat!J37)</f>
        <v>1913</v>
      </c>
      <c r="K237" s="57">
        <f>SUM(HaiDuong!K97,ThanhHoa!K96,ThaiNguyen!K63,YetKieu!K59,NhaTrang!K53,ThachThat!K37)</f>
        <v>1965</v>
      </c>
      <c r="L237" s="57">
        <f>SUM(HaiDuong!L97,ThanhHoa!L96,ThaiNguyen!L63,YetKieu!L59,NhaTrang!L53,ThachThat!L37)</f>
        <v>1360</v>
      </c>
      <c r="M237" s="57">
        <f>SUM(HaiDuong!M97,ThanhHoa!M96,ThaiNguyen!M63,YetKieu!M59,NhaTrang!M53,ThachThat!M37)</f>
        <v>412</v>
      </c>
      <c r="N237" s="57">
        <f>SUM(HaiDuong!N97,ThanhHoa!N96,ThaiNguyen!N63,YetKieu!N59,NhaTrang!N53,ThachThat!N37)</f>
        <v>2218</v>
      </c>
      <c r="O237" s="57">
        <f>SUM(HaiDuong!O97,ThanhHoa!O96,ThaiNguyen!O63,YetKieu!O59,NhaTrang!O53,ThachThat!O37)</f>
        <v>459</v>
      </c>
      <c r="P237" s="57">
        <f>SUM(HaiDuong!P97,ThanhHoa!P96,ThaiNguyen!P63,YetKieu!P59,NhaTrang!P53,ThachThat!P37)</f>
        <v>496</v>
      </c>
      <c r="Q237" s="57">
        <f>SUM(HaiDuong!Q97,ThanhHoa!Q96,ThaiNguyen!Q63,YetKieu!Q59,NhaTrang!Q53,ThachThat!Q37)</f>
        <v>352</v>
      </c>
      <c r="R237" s="57">
        <f>SUMIFS($F237:$Q237,$F$7:$Q$7,"A")</f>
        <v>11950</v>
      </c>
      <c r="S237" s="85">
        <f>SUMIFS($F237:$Q237,$F$7:$Q$7,"B")</f>
        <v>0</v>
      </c>
      <c r="T237" s="57">
        <f>SUM(R237:S237)</f>
        <v>11950</v>
      </c>
    </row>
    <row r="238" spans="2:23" x14ac:dyDescent="0.35">
      <c r="E238" s="2" t="s">
        <v>7</v>
      </c>
      <c r="F238" s="57">
        <f>SUM(HaiDuong!F96,CaMau!F95,ThanhHoa!F95,YetKieu!F58,NhaTrang!F54)</f>
        <v>30</v>
      </c>
      <c r="G238" s="57">
        <f>SUM(HaiDuong!G96,CaMau!G95,ThanhHoa!G95,YetKieu!G58,NhaTrang!G54)</f>
        <v>39</v>
      </c>
      <c r="H238" s="57">
        <f>SUM(HaiDuong!H96,CaMau!H95,ThanhHoa!H95,YetKieu!H58,NhaTrang!H54)</f>
        <v>84</v>
      </c>
      <c r="I238" s="57">
        <f>SUM(HaiDuong!I96,CaMau!I95,ThanhHoa!I95,YetKieu!I58,NhaTrang!I54)</f>
        <v>76</v>
      </c>
      <c r="J238" s="57">
        <f>SUM(HaiDuong!J96,CaMau!J95,ThanhHoa!J95,YetKieu!J58,NhaTrang!J54)</f>
        <v>151</v>
      </c>
      <c r="K238" s="57">
        <f>SUM(HaiDuong!K96,CaMau!K95,ThanhHoa!K95,YetKieu!K58,NhaTrang!K54)</f>
        <v>122</v>
      </c>
      <c r="L238" s="57">
        <f>SUM(HaiDuong!L96,CaMau!L95,ThanhHoa!L95,YetKieu!L58,NhaTrang!L54)</f>
        <v>92</v>
      </c>
      <c r="M238" s="57">
        <f>SUM(HaiDuong!M96,CaMau!M95,ThanhHoa!M95,YetKieu!M58,NhaTrang!M54)</f>
        <v>88</v>
      </c>
      <c r="N238" s="57">
        <f>SUM(HaiDuong!N96,CaMau!N95,ThanhHoa!N95,YetKieu!N58,NhaTrang!N54)</f>
        <v>135</v>
      </c>
      <c r="O238" s="57">
        <f>SUM(HaiDuong!O96,CaMau!O95,ThanhHoa!O95,YetKieu!O58,NhaTrang!O54)</f>
        <v>88</v>
      </c>
      <c r="P238" s="57">
        <f>SUM(HaiDuong!P96,CaMau!P95,ThanhHoa!P95,YetKieu!P58,NhaTrang!P54)</f>
        <v>130</v>
      </c>
      <c r="Q238" s="57">
        <f>SUM(HaiDuong!Q96,CaMau!Q95,ThanhHoa!Q95,YetKieu!Q58,NhaTrang!Q54)</f>
        <v>55</v>
      </c>
      <c r="R238" s="57">
        <f>SUMIFS($F238:$Q238,$F$7:$Q$7,"A")</f>
        <v>1090</v>
      </c>
      <c r="S238" s="85">
        <f>SUMIFS($F238:$Q238,$F$7:$Q$7,"B")</f>
        <v>0</v>
      </c>
      <c r="T238" s="57">
        <f>SUM(R238:S238)</f>
        <v>1090</v>
      </c>
    </row>
    <row r="239" spans="2:23" x14ac:dyDescent="0.35">
      <c r="E239" s="2" t="s">
        <v>9</v>
      </c>
      <c r="F239" s="57">
        <f>SUM(HaiDuong!F98,ThanhHoa!F97,ThaiNguyen!F64,ThaiBinh!F51,YetKieu!F60)</f>
        <v>71</v>
      </c>
      <c r="G239" s="57">
        <f>SUM(HaiDuong!G98,ThanhHoa!G97,ThaiNguyen!G64,ThaiBinh!G51,YetKieu!G60)</f>
        <v>109</v>
      </c>
      <c r="H239" s="57">
        <f>SUM(HaiDuong!H98,ThanhHoa!H97,ThaiNguyen!H64,ThaiBinh!H51,YetKieu!H60)</f>
        <v>183</v>
      </c>
      <c r="I239" s="57">
        <f>SUM(HaiDuong!I98,ThanhHoa!I97,ThaiNguyen!I64,ThaiBinh!I51,YetKieu!I60)</f>
        <v>262</v>
      </c>
      <c r="J239" s="57">
        <f>SUM(HaiDuong!J98,ThanhHoa!J97,ThaiNguyen!J64,ThaiBinh!J51,YetKieu!J60)</f>
        <v>208</v>
      </c>
      <c r="K239" s="57">
        <f>SUM(HaiDuong!K98,ThanhHoa!K97,ThaiNguyen!K64,ThaiBinh!K51,YetKieu!K60)</f>
        <v>244</v>
      </c>
      <c r="L239" s="57">
        <f>SUM(HaiDuong!L98,ThanhHoa!L97,ThaiNguyen!L64,ThaiBinh!L51,YetKieu!L60)</f>
        <v>250</v>
      </c>
      <c r="M239" s="57">
        <f>SUM(HaiDuong!M98,ThanhHoa!M97,ThaiNguyen!M64,ThaiBinh!M51,YetKieu!M60)</f>
        <v>188</v>
      </c>
      <c r="N239" s="57">
        <f>SUM(HaiDuong!N98,ThanhHoa!N97,ThaiNguyen!N64,ThaiBinh!N51,YetKieu!N60)</f>
        <v>211</v>
      </c>
      <c r="O239" s="57">
        <f>SUM(HaiDuong!O98,ThanhHoa!O97,ThaiNguyen!O64,ThaiBinh!O51,YetKieu!O60)</f>
        <v>236</v>
      </c>
      <c r="P239" s="57">
        <f>SUM(HaiDuong!P98,ThanhHoa!P97,ThaiNguyen!P64,ThaiBinh!P51,YetKieu!P60)</f>
        <v>238</v>
      </c>
      <c r="Q239" s="57">
        <f>SUM(HaiDuong!Q98,ThanhHoa!Q97,ThaiNguyen!Q64,ThaiBinh!Q51,YetKieu!Q60)</f>
        <v>192</v>
      </c>
      <c r="R239" s="57">
        <f>SUMIFS($F239:$Q239,$F$7:$Q$7,"A")</f>
        <v>2392</v>
      </c>
      <c r="S239" s="85">
        <f>SUMIFS($F239:$Q239,$F$7:$Q$7,"B")</f>
        <v>0</v>
      </c>
      <c r="T239" s="57">
        <f>SUM(R239:S239)</f>
        <v>2392</v>
      </c>
    </row>
    <row r="240" spans="2:23" x14ac:dyDescent="0.35">
      <c r="E240" s="2" t="s">
        <v>10</v>
      </c>
      <c r="F240" s="57">
        <f>SUM(HaiDuong!F99,YetKieu!F61)</f>
        <v>39</v>
      </c>
      <c r="G240" s="57">
        <f>SUM(HaiDuong!G99,YetKieu!G61)</f>
        <v>72</v>
      </c>
      <c r="H240" s="57">
        <f>SUM(HaiDuong!H99,YetKieu!H61)</f>
        <v>70</v>
      </c>
      <c r="I240" s="57">
        <f>SUM(HaiDuong!I99,YetKieu!I61)</f>
        <v>58</v>
      </c>
      <c r="J240" s="57">
        <f>SUM(HaiDuong!J99,YetKieu!J61)</f>
        <v>44</v>
      </c>
      <c r="K240" s="57">
        <f>SUM(HaiDuong!K99,YetKieu!K61)</f>
        <v>39</v>
      </c>
      <c r="L240" s="57">
        <f>SUM(HaiDuong!L99,YetKieu!L61)</f>
        <v>88</v>
      </c>
      <c r="M240" s="57">
        <f>SUM(HaiDuong!M99,YetKieu!M61)</f>
        <v>46</v>
      </c>
      <c r="N240" s="57">
        <f>SUM(HaiDuong!N99,YetKieu!N61)</f>
        <v>82</v>
      </c>
      <c r="O240" s="57">
        <f>SUM(HaiDuong!O99,YetKieu!O61)</f>
        <v>102</v>
      </c>
      <c r="P240" s="57">
        <f>SUM(HaiDuong!P99,YetKieu!P61)</f>
        <v>77</v>
      </c>
      <c r="Q240" s="57">
        <f>SUM(HaiDuong!Q99,YetKieu!Q61)</f>
        <v>88</v>
      </c>
      <c r="R240" s="57">
        <f>SUMIFS($F240:$Q240,$F$7:$Q$7,"A")</f>
        <v>805</v>
      </c>
      <c r="S240" s="85">
        <f>SUMIFS($F240:$Q240,$F$7:$Q$7,"B")</f>
        <v>0</v>
      </c>
      <c r="T240" s="57">
        <f>SUM(R240:S240)</f>
        <v>805</v>
      </c>
    </row>
    <row r="241" spans="3:21" x14ac:dyDescent="0.35">
      <c r="D241" s="55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</row>
    <row r="242" spans="3:21" x14ac:dyDescent="0.35">
      <c r="C242" s="6" t="s">
        <v>503</v>
      </c>
      <c r="D242" s="55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</row>
    <row r="243" spans="3:21" x14ac:dyDescent="0.35">
      <c r="C243" s="6"/>
      <c r="D243" s="55"/>
      <c r="E243" s="2" t="s">
        <v>6</v>
      </c>
      <c r="F243" s="57">
        <f>6</f>
        <v>6</v>
      </c>
      <c r="G243" s="57">
        <f>6</f>
        <v>6</v>
      </c>
      <c r="H243" s="57">
        <f>6</f>
        <v>6</v>
      </c>
      <c r="I243" s="57">
        <f>6</f>
        <v>6</v>
      </c>
      <c r="J243" s="57">
        <f>6</f>
        <v>6</v>
      </c>
      <c r="K243" s="356">
        <v>7</v>
      </c>
      <c r="L243" s="356">
        <v>7</v>
      </c>
      <c r="M243" s="356">
        <v>7</v>
      </c>
      <c r="N243" s="356">
        <v>7</v>
      </c>
      <c r="O243" s="356">
        <v>8</v>
      </c>
      <c r="P243" s="356">
        <v>8</v>
      </c>
      <c r="Q243" s="356">
        <v>8</v>
      </c>
      <c r="R243" s="57"/>
      <c r="S243" s="85"/>
      <c r="T243" s="57"/>
    </row>
    <row r="244" spans="3:21" x14ac:dyDescent="0.35">
      <c r="C244" s="6"/>
      <c r="D244" s="55"/>
      <c r="E244" s="2" t="s">
        <v>8</v>
      </c>
      <c r="F244" s="57">
        <f>4</f>
        <v>4</v>
      </c>
      <c r="G244" s="57">
        <f>4</f>
        <v>4</v>
      </c>
      <c r="H244" s="57">
        <f>4</f>
        <v>4</v>
      </c>
      <c r="I244" s="57">
        <f>4</f>
        <v>4</v>
      </c>
      <c r="J244" s="57">
        <f>4</f>
        <v>4</v>
      </c>
      <c r="K244" s="57">
        <f>4</f>
        <v>4</v>
      </c>
      <c r="L244" s="57">
        <f>4</f>
        <v>4</v>
      </c>
      <c r="M244" s="356">
        <v>5</v>
      </c>
      <c r="N244" s="356">
        <v>6</v>
      </c>
      <c r="O244" s="356">
        <v>6</v>
      </c>
      <c r="P244" s="356">
        <v>6</v>
      </c>
      <c r="Q244" s="356">
        <v>6</v>
      </c>
      <c r="R244" s="57"/>
      <c r="S244" s="85"/>
      <c r="T244" s="57"/>
    </row>
    <row r="245" spans="3:21" x14ac:dyDescent="0.35">
      <c r="C245" s="6"/>
      <c r="D245" s="55"/>
      <c r="E245" s="2" t="s">
        <v>7</v>
      </c>
      <c r="F245" s="57">
        <v>4</v>
      </c>
      <c r="G245" s="57">
        <v>4</v>
      </c>
      <c r="H245" s="57">
        <v>4</v>
      </c>
      <c r="I245" s="57">
        <v>4</v>
      </c>
      <c r="J245" s="57">
        <v>4</v>
      </c>
      <c r="K245" s="57">
        <v>4</v>
      </c>
      <c r="L245" s="57">
        <v>4</v>
      </c>
      <c r="M245" s="57">
        <v>4</v>
      </c>
      <c r="N245" s="57">
        <v>4</v>
      </c>
      <c r="O245" s="57">
        <v>4</v>
      </c>
      <c r="P245" s="57">
        <v>4</v>
      </c>
      <c r="Q245" s="57">
        <v>4</v>
      </c>
      <c r="R245" s="57"/>
      <c r="S245" s="85"/>
      <c r="T245" s="57"/>
    </row>
    <row r="246" spans="3:21" x14ac:dyDescent="0.35">
      <c r="C246" s="6"/>
      <c r="D246" s="55"/>
      <c r="E246" s="2" t="s">
        <v>9</v>
      </c>
      <c r="F246" s="57">
        <v>2</v>
      </c>
      <c r="G246" s="57">
        <v>2</v>
      </c>
      <c r="H246" s="57">
        <v>2</v>
      </c>
      <c r="I246" s="57">
        <v>2</v>
      </c>
      <c r="J246" s="57">
        <v>2</v>
      </c>
      <c r="K246" s="57">
        <v>2</v>
      </c>
      <c r="L246" s="57">
        <v>2</v>
      </c>
      <c r="M246" s="57">
        <v>2</v>
      </c>
      <c r="N246" s="57">
        <v>4</v>
      </c>
      <c r="O246" s="57">
        <v>4</v>
      </c>
      <c r="P246" s="57">
        <v>4</v>
      </c>
      <c r="Q246" s="57">
        <v>4</v>
      </c>
      <c r="R246" s="57"/>
      <c r="S246" s="85"/>
      <c r="T246" s="57"/>
    </row>
    <row r="247" spans="3:21" x14ac:dyDescent="0.35">
      <c r="D247" s="55"/>
      <c r="E247" s="2" t="s">
        <v>10</v>
      </c>
      <c r="F247" s="57">
        <v>2</v>
      </c>
      <c r="G247" s="57">
        <v>2</v>
      </c>
      <c r="H247" s="57">
        <v>2</v>
      </c>
      <c r="I247" s="57">
        <v>2</v>
      </c>
      <c r="J247" s="57">
        <v>2</v>
      </c>
      <c r="K247" s="57">
        <v>2</v>
      </c>
      <c r="L247" s="57">
        <v>2</v>
      </c>
      <c r="M247" s="57">
        <v>2</v>
      </c>
      <c r="N247" s="57">
        <v>2</v>
      </c>
      <c r="O247" s="57">
        <v>2</v>
      </c>
      <c r="P247" s="57">
        <v>2</v>
      </c>
      <c r="Q247" s="57">
        <v>2</v>
      </c>
      <c r="R247" s="57"/>
      <c r="S247" s="85"/>
      <c r="T247" s="57"/>
    </row>
    <row r="248" spans="3:21" x14ac:dyDescent="0.35">
      <c r="C248" s="6" t="s">
        <v>447</v>
      </c>
      <c r="D248" s="55"/>
    </row>
    <row r="249" spans="3:21" x14ac:dyDescent="0.35">
      <c r="D249" s="55"/>
      <c r="E249" s="2" t="s">
        <v>6</v>
      </c>
      <c r="F249" s="57">
        <f>(30*9*60/20)*F243</f>
        <v>4860</v>
      </c>
      <c r="G249" s="57">
        <f t="shared" ref="G249:Q249" si="91">(30*9*60/20)*G243</f>
        <v>4860</v>
      </c>
      <c r="H249" s="57">
        <f t="shared" si="91"/>
        <v>4860</v>
      </c>
      <c r="I249" s="57">
        <f t="shared" si="91"/>
        <v>4860</v>
      </c>
      <c r="J249" s="57">
        <f t="shared" si="91"/>
        <v>4860</v>
      </c>
      <c r="K249" s="57">
        <f t="shared" si="91"/>
        <v>5670</v>
      </c>
      <c r="L249" s="57">
        <f t="shared" si="91"/>
        <v>5670</v>
      </c>
      <c r="M249" s="57">
        <f t="shared" si="91"/>
        <v>5670</v>
      </c>
      <c r="N249" s="57">
        <f t="shared" si="91"/>
        <v>5670</v>
      </c>
      <c r="O249" s="57">
        <f t="shared" si="91"/>
        <v>6480</v>
      </c>
      <c r="P249" s="57">
        <f t="shared" si="91"/>
        <v>6480</v>
      </c>
      <c r="Q249" s="57">
        <f t="shared" si="91"/>
        <v>6480</v>
      </c>
    </row>
    <row r="250" spans="3:21" x14ac:dyDescent="0.35">
      <c r="D250" s="55"/>
      <c r="E250" s="2" t="s">
        <v>8</v>
      </c>
      <c r="F250" s="57">
        <f>(30*9*60/10)*F244</f>
        <v>6480</v>
      </c>
      <c r="G250" s="57">
        <f t="shared" ref="G250:Q250" si="92">(30*9*60/10)*G244</f>
        <v>6480</v>
      </c>
      <c r="H250" s="57">
        <f t="shared" si="92"/>
        <v>6480</v>
      </c>
      <c r="I250" s="57">
        <f t="shared" si="92"/>
        <v>6480</v>
      </c>
      <c r="J250" s="57">
        <f t="shared" si="92"/>
        <v>6480</v>
      </c>
      <c r="K250" s="57">
        <f t="shared" si="92"/>
        <v>6480</v>
      </c>
      <c r="L250" s="57">
        <f t="shared" si="92"/>
        <v>6480</v>
      </c>
      <c r="M250" s="57">
        <f t="shared" si="92"/>
        <v>8100</v>
      </c>
      <c r="N250" s="57">
        <f t="shared" si="92"/>
        <v>9720</v>
      </c>
      <c r="O250" s="57">
        <f t="shared" si="92"/>
        <v>9720</v>
      </c>
      <c r="P250" s="57">
        <f t="shared" si="92"/>
        <v>9720</v>
      </c>
      <c r="Q250" s="57">
        <f t="shared" si="92"/>
        <v>9720</v>
      </c>
    </row>
    <row r="251" spans="3:21" x14ac:dyDescent="0.35">
      <c r="D251" s="55"/>
      <c r="E251" s="2" t="s">
        <v>7</v>
      </c>
      <c r="F251" s="57">
        <f>(30*9*60/15)*F245</f>
        <v>4320</v>
      </c>
      <c r="G251" s="57">
        <f t="shared" ref="G251:Q251" si="93">(30*9*60/15)*G245</f>
        <v>4320</v>
      </c>
      <c r="H251" s="57">
        <f t="shared" si="93"/>
        <v>4320</v>
      </c>
      <c r="I251" s="57">
        <f t="shared" si="93"/>
        <v>4320</v>
      </c>
      <c r="J251" s="57">
        <f t="shared" si="93"/>
        <v>4320</v>
      </c>
      <c r="K251" s="57">
        <f t="shared" si="93"/>
        <v>4320</v>
      </c>
      <c r="L251" s="57">
        <f t="shared" si="93"/>
        <v>4320</v>
      </c>
      <c r="M251" s="57">
        <f t="shared" si="93"/>
        <v>4320</v>
      </c>
      <c r="N251" s="57">
        <f t="shared" si="93"/>
        <v>4320</v>
      </c>
      <c r="O251" s="57">
        <f t="shared" si="93"/>
        <v>4320</v>
      </c>
      <c r="P251" s="57">
        <f t="shared" si="93"/>
        <v>4320</v>
      </c>
      <c r="Q251" s="57">
        <f t="shared" si="93"/>
        <v>4320</v>
      </c>
    </row>
    <row r="252" spans="3:21" x14ac:dyDescent="0.35">
      <c r="D252" s="55"/>
      <c r="E252" s="2" t="s">
        <v>9</v>
      </c>
      <c r="F252" s="57">
        <f>(30*9*60/8)*F246</f>
        <v>4050</v>
      </c>
      <c r="G252" s="57">
        <f t="shared" ref="G252:Q252" si="94">(30*9*60/8)*G246</f>
        <v>4050</v>
      </c>
      <c r="H252" s="57">
        <f t="shared" si="94"/>
        <v>4050</v>
      </c>
      <c r="I252" s="57">
        <f t="shared" si="94"/>
        <v>4050</v>
      </c>
      <c r="J252" s="57">
        <f t="shared" si="94"/>
        <v>4050</v>
      </c>
      <c r="K252" s="57">
        <f t="shared" si="94"/>
        <v>4050</v>
      </c>
      <c r="L252" s="57">
        <f t="shared" si="94"/>
        <v>4050</v>
      </c>
      <c r="M252" s="57">
        <f t="shared" si="94"/>
        <v>4050</v>
      </c>
      <c r="N252" s="57">
        <f t="shared" si="94"/>
        <v>8100</v>
      </c>
      <c r="O252" s="57">
        <f t="shared" si="94"/>
        <v>8100</v>
      </c>
      <c r="P252" s="57">
        <f t="shared" si="94"/>
        <v>8100</v>
      </c>
      <c r="Q252" s="57">
        <f t="shared" si="94"/>
        <v>8100</v>
      </c>
    </row>
    <row r="253" spans="3:21" x14ac:dyDescent="0.35">
      <c r="D253" s="55"/>
      <c r="E253" s="2" t="s">
        <v>10</v>
      </c>
      <c r="F253" s="57">
        <f>(30*9*60/10)*F247</f>
        <v>3240</v>
      </c>
      <c r="G253" s="57">
        <f t="shared" ref="G253:Q253" si="95">(30*9*60/10)*G247</f>
        <v>3240</v>
      </c>
      <c r="H253" s="57">
        <f t="shared" si="95"/>
        <v>3240</v>
      </c>
      <c r="I253" s="57">
        <f t="shared" si="95"/>
        <v>3240</v>
      </c>
      <c r="J253" s="57">
        <f t="shared" si="95"/>
        <v>3240</v>
      </c>
      <c r="K253" s="57">
        <f t="shared" si="95"/>
        <v>3240</v>
      </c>
      <c r="L253" s="57">
        <f t="shared" si="95"/>
        <v>3240</v>
      </c>
      <c r="M253" s="57">
        <f t="shared" si="95"/>
        <v>3240</v>
      </c>
      <c r="N253" s="57">
        <f t="shared" si="95"/>
        <v>3240</v>
      </c>
      <c r="O253" s="57">
        <f t="shared" si="95"/>
        <v>3240</v>
      </c>
      <c r="P253" s="57">
        <f t="shared" si="95"/>
        <v>3240</v>
      </c>
      <c r="Q253" s="57">
        <f t="shared" si="95"/>
        <v>3240</v>
      </c>
    </row>
    <row r="254" spans="3:21" x14ac:dyDescent="0.35">
      <c r="C254" s="6" t="s">
        <v>139</v>
      </c>
    </row>
    <row r="255" spans="3:21" x14ac:dyDescent="0.35">
      <c r="E255" s="2" t="s">
        <v>6</v>
      </c>
      <c r="F255" s="201">
        <f t="shared" ref="F255:Q255" si="96">F236/F249</f>
        <v>0.13395061728395061</v>
      </c>
      <c r="G255" s="201">
        <f t="shared" si="96"/>
        <v>0.22757201646090536</v>
      </c>
      <c r="H255" s="201">
        <f t="shared" si="96"/>
        <v>0.2748971193415638</v>
      </c>
      <c r="I255" s="201">
        <f t="shared" si="96"/>
        <v>0.29855967078189299</v>
      </c>
      <c r="J255" s="201">
        <f t="shared" si="96"/>
        <v>0.31234567901234567</v>
      </c>
      <c r="K255" s="201">
        <f t="shared" si="96"/>
        <v>0.28694885361552031</v>
      </c>
      <c r="L255" s="201">
        <f t="shared" si="96"/>
        <v>0.33174603174603173</v>
      </c>
      <c r="M255" s="201">
        <f t="shared" si="96"/>
        <v>0.36984126984126986</v>
      </c>
      <c r="N255" s="201">
        <f t="shared" si="96"/>
        <v>0.29382716049382718</v>
      </c>
      <c r="O255" s="201">
        <f t="shared" si="96"/>
        <v>0.26805555555555555</v>
      </c>
      <c r="P255" s="201">
        <f t="shared" si="96"/>
        <v>0.24259259259259258</v>
      </c>
      <c r="Q255" s="201">
        <f t="shared" si="96"/>
        <v>0.26882716049382716</v>
      </c>
      <c r="T255" s="201"/>
      <c r="U255" s="97"/>
    </row>
    <row r="256" spans="3:21" x14ac:dyDescent="0.35">
      <c r="E256" s="2" t="s">
        <v>8</v>
      </c>
      <c r="F256" s="201">
        <f t="shared" ref="F256:Q256" si="97">F237/F251</f>
        <v>4.1203703703703701E-2</v>
      </c>
      <c r="G256" s="201">
        <f t="shared" si="97"/>
        <v>0.15787037037037038</v>
      </c>
      <c r="H256" s="201">
        <f t="shared" si="97"/>
        <v>0.22592592592592592</v>
      </c>
      <c r="I256" s="201">
        <f t="shared" si="97"/>
        <v>0.21736111111111112</v>
      </c>
      <c r="J256" s="201">
        <f t="shared" si="97"/>
        <v>0.44282407407407409</v>
      </c>
      <c r="K256" s="201">
        <f t="shared" si="97"/>
        <v>0.4548611111111111</v>
      </c>
      <c r="L256" s="201">
        <f t="shared" si="97"/>
        <v>0.31481481481481483</v>
      </c>
      <c r="M256" s="201">
        <f t="shared" si="97"/>
        <v>9.5370370370370369E-2</v>
      </c>
      <c r="N256" s="201">
        <f t="shared" si="97"/>
        <v>0.51342592592592595</v>
      </c>
      <c r="O256" s="201">
        <f t="shared" si="97"/>
        <v>0.10625</v>
      </c>
      <c r="P256" s="201">
        <f t="shared" si="97"/>
        <v>0.11481481481481481</v>
      </c>
      <c r="Q256" s="201">
        <f t="shared" si="97"/>
        <v>8.1481481481481488E-2</v>
      </c>
      <c r="T256" s="201"/>
      <c r="U256" s="97"/>
    </row>
    <row r="257" spans="3:21" x14ac:dyDescent="0.35">
      <c r="E257" s="2" t="s">
        <v>7</v>
      </c>
      <c r="F257" s="201">
        <f t="shared" ref="F257:Q257" si="98">F238/F250</f>
        <v>4.6296296296296294E-3</v>
      </c>
      <c r="G257" s="201">
        <f t="shared" si="98"/>
        <v>6.0185185185185185E-3</v>
      </c>
      <c r="H257" s="201">
        <f t="shared" si="98"/>
        <v>1.2962962962962963E-2</v>
      </c>
      <c r="I257" s="201">
        <f t="shared" si="98"/>
        <v>1.1728395061728396E-2</v>
      </c>
      <c r="J257" s="201">
        <f t="shared" si="98"/>
        <v>2.3302469135802469E-2</v>
      </c>
      <c r="K257" s="201">
        <f t="shared" si="98"/>
        <v>1.8827160493827162E-2</v>
      </c>
      <c r="L257" s="201">
        <f t="shared" si="98"/>
        <v>1.4197530864197531E-2</v>
      </c>
      <c r="M257" s="201">
        <f t="shared" si="98"/>
        <v>1.0864197530864197E-2</v>
      </c>
      <c r="N257" s="201">
        <f t="shared" si="98"/>
        <v>1.3888888888888888E-2</v>
      </c>
      <c r="O257" s="201">
        <f t="shared" si="98"/>
        <v>9.0534979423868307E-3</v>
      </c>
      <c r="P257" s="201">
        <f t="shared" si="98"/>
        <v>1.3374485596707819E-2</v>
      </c>
      <c r="Q257" s="201">
        <f t="shared" si="98"/>
        <v>5.6584362139917698E-3</v>
      </c>
      <c r="T257" s="201"/>
      <c r="U257" s="97"/>
    </row>
    <row r="258" spans="3:21" x14ac:dyDescent="0.35">
      <c r="E258" s="2" t="s">
        <v>9</v>
      </c>
      <c r="F258" s="201">
        <f t="shared" ref="F258:Q258" si="99">F239/F252</f>
        <v>1.7530864197530863E-2</v>
      </c>
      <c r="G258" s="201">
        <f t="shared" si="99"/>
        <v>2.6913580246913579E-2</v>
      </c>
      <c r="H258" s="201">
        <f t="shared" si="99"/>
        <v>4.5185185185185182E-2</v>
      </c>
      <c r="I258" s="201">
        <f t="shared" si="99"/>
        <v>6.4691358024691364E-2</v>
      </c>
      <c r="J258" s="201">
        <f t="shared" si="99"/>
        <v>5.1358024691358022E-2</v>
      </c>
      <c r="K258" s="201">
        <f t="shared" si="99"/>
        <v>6.0246913580246912E-2</v>
      </c>
      <c r="L258" s="201">
        <f t="shared" si="99"/>
        <v>6.1728395061728392E-2</v>
      </c>
      <c r="M258" s="201">
        <f t="shared" si="99"/>
        <v>4.6419753086419754E-2</v>
      </c>
      <c r="N258" s="201">
        <f t="shared" si="99"/>
        <v>2.6049382716049382E-2</v>
      </c>
      <c r="O258" s="201">
        <f t="shared" si="99"/>
        <v>2.9135802469135802E-2</v>
      </c>
      <c r="P258" s="201">
        <f t="shared" si="99"/>
        <v>2.9382716049382716E-2</v>
      </c>
      <c r="Q258" s="201">
        <f t="shared" si="99"/>
        <v>2.3703703703703703E-2</v>
      </c>
      <c r="T258" s="201"/>
      <c r="U258" s="97"/>
    </row>
    <row r="259" spans="3:21" x14ac:dyDescent="0.35">
      <c r="E259" s="2" t="s">
        <v>10</v>
      </c>
      <c r="F259" s="201">
        <f t="shared" ref="F259:Q259" si="100">F240/F253</f>
        <v>1.2037037037037037E-2</v>
      </c>
      <c r="G259" s="201">
        <f t="shared" si="100"/>
        <v>2.2222222222222223E-2</v>
      </c>
      <c r="H259" s="201">
        <f t="shared" si="100"/>
        <v>2.1604938271604937E-2</v>
      </c>
      <c r="I259" s="201">
        <f t="shared" si="100"/>
        <v>1.7901234567901235E-2</v>
      </c>
      <c r="J259" s="201">
        <f t="shared" si="100"/>
        <v>1.3580246913580247E-2</v>
      </c>
      <c r="K259" s="201">
        <f t="shared" si="100"/>
        <v>1.2037037037037037E-2</v>
      </c>
      <c r="L259" s="201">
        <f t="shared" si="100"/>
        <v>2.7160493827160494E-2</v>
      </c>
      <c r="M259" s="201">
        <f t="shared" si="100"/>
        <v>1.4197530864197531E-2</v>
      </c>
      <c r="N259" s="201">
        <f t="shared" si="100"/>
        <v>2.5308641975308643E-2</v>
      </c>
      <c r="O259" s="201">
        <f t="shared" si="100"/>
        <v>3.1481481481481478E-2</v>
      </c>
      <c r="P259" s="201">
        <f t="shared" si="100"/>
        <v>2.3765432098765433E-2</v>
      </c>
      <c r="Q259" s="201">
        <f t="shared" si="100"/>
        <v>2.7160493827160494E-2</v>
      </c>
      <c r="T259" s="201"/>
      <c r="U259" s="97"/>
    </row>
    <row r="260" spans="3:21" x14ac:dyDescent="0.35">
      <c r="C260" s="6" t="s">
        <v>444</v>
      </c>
    </row>
    <row r="261" spans="3:21" x14ac:dyDescent="0.35">
      <c r="E261" s="2" t="s">
        <v>6</v>
      </c>
      <c r="F261" s="62">
        <f>F13*10^6/F236</f>
        <v>1923763.4408602151</v>
      </c>
      <c r="G261" s="62">
        <f t="shared" ref="G261:Q261" si="101">G13*10^6/G236</f>
        <v>1925750.452079566</v>
      </c>
      <c r="H261" s="62">
        <f t="shared" si="101"/>
        <v>1887479.0419161676</v>
      </c>
      <c r="I261" s="62">
        <f t="shared" si="101"/>
        <v>1915411.1647139904</v>
      </c>
      <c r="J261" s="62">
        <f t="shared" si="101"/>
        <v>1944716.7984189724</v>
      </c>
      <c r="K261" s="62">
        <f t="shared" si="101"/>
        <v>1860649.5390288876</v>
      </c>
      <c r="L261" s="62">
        <f t="shared" si="101"/>
        <v>1763875.5980861241</v>
      </c>
      <c r="M261" s="62">
        <f t="shared" si="101"/>
        <v>1645422.0314735337</v>
      </c>
      <c r="N261" s="62">
        <f t="shared" si="101"/>
        <v>1873844.1176470588</v>
      </c>
      <c r="O261" s="62">
        <f t="shared" si="101"/>
        <v>1883702.3603914795</v>
      </c>
      <c r="P261" s="62">
        <f t="shared" si="101"/>
        <v>1890549.6183206106</v>
      </c>
      <c r="Q261" s="62">
        <f t="shared" si="101"/>
        <v>1821857.6349024107</v>
      </c>
    </row>
    <row r="262" spans="3:21" x14ac:dyDescent="0.35">
      <c r="E262" s="2" t="s">
        <v>8</v>
      </c>
      <c r="F262" s="62">
        <f>F23*10^6/F237</f>
        <v>1116011.2359550563</v>
      </c>
      <c r="G262" s="62">
        <f t="shared" ref="G262:Q262" si="102">G23*10^6/G237</f>
        <v>1308482.4046920822</v>
      </c>
      <c r="H262" s="62">
        <f t="shared" si="102"/>
        <v>1324375</v>
      </c>
      <c r="I262" s="62">
        <f t="shared" si="102"/>
        <v>1164386.3684771035</v>
      </c>
      <c r="J262" s="62">
        <f t="shared" si="102"/>
        <v>626896.81129116577</v>
      </c>
      <c r="K262" s="62">
        <f t="shared" si="102"/>
        <v>723776.59033078898</v>
      </c>
      <c r="L262" s="62">
        <f t="shared" si="102"/>
        <v>733085.29411764711</v>
      </c>
      <c r="M262" s="62">
        <f t="shared" si="102"/>
        <v>1142332.5242718444</v>
      </c>
      <c r="N262" s="62">
        <f t="shared" si="102"/>
        <v>714109.69341749337</v>
      </c>
      <c r="O262" s="62">
        <f t="shared" si="102"/>
        <v>949847.49455337692</v>
      </c>
      <c r="P262" s="62">
        <f t="shared" si="102"/>
        <v>933298.3870967743</v>
      </c>
      <c r="Q262" s="62">
        <f t="shared" si="102"/>
        <v>1023437.5</v>
      </c>
    </row>
    <row r="263" spans="3:21" x14ac:dyDescent="0.35">
      <c r="E263" s="2" t="s">
        <v>7</v>
      </c>
      <c r="F263" s="62">
        <f>F30*10^6/F238</f>
        <v>488000</v>
      </c>
      <c r="G263" s="62">
        <f t="shared" ref="G263:Q263" si="103">G30*10^6/G238</f>
        <v>526282.05128205137</v>
      </c>
      <c r="H263" s="62">
        <f t="shared" si="103"/>
        <v>476785.71428571426</v>
      </c>
      <c r="I263" s="62">
        <f t="shared" si="103"/>
        <v>517105.26315789472</v>
      </c>
      <c r="J263" s="62">
        <f t="shared" si="103"/>
        <v>478907.28476821195</v>
      </c>
      <c r="K263" s="62">
        <f t="shared" si="103"/>
        <v>471434.42622950813</v>
      </c>
      <c r="L263" s="62">
        <f t="shared" si="103"/>
        <v>468478.26086956525</v>
      </c>
      <c r="M263" s="62">
        <f t="shared" si="103"/>
        <v>480681.81818181818</v>
      </c>
      <c r="N263" s="62">
        <f t="shared" si="103"/>
        <v>356041.48148148146</v>
      </c>
      <c r="O263" s="62">
        <f t="shared" si="103"/>
        <v>391079.54545454547</v>
      </c>
      <c r="P263" s="62">
        <f t="shared" si="103"/>
        <v>431807.69230769237</v>
      </c>
      <c r="Q263" s="62">
        <f t="shared" si="103"/>
        <v>495000</v>
      </c>
    </row>
    <row r="264" spans="3:21" x14ac:dyDescent="0.35">
      <c r="E264" s="2" t="s">
        <v>9</v>
      </c>
      <c r="F264" s="62">
        <f>F30*10^6/F239</f>
        <v>206197.18309859154</v>
      </c>
      <c r="G264" s="62">
        <f t="shared" ref="G264:Q264" si="104">G30*10^6/G239</f>
        <v>188302.75229357803</v>
      </c>
      <c r="H264" s="62">
        <f t="shared" si="104"/>
        <v>218852.45901639343</v>
      </c>
      <c r="I264" s="62">
        <f t="shared" si="104"/>
        <v>150000</v>
      </c>
      <c r="J264" s="62">
        <f t="shared" si="104"/>
        <v>347668.26923076925</v>
      </c>
      <c r="K264" s="62">
        <f t="shared" si="104"/>
        <v>235717.21311475406</v>
      </c>
      <c r="L264" s="62">
        <f t="shared" si="104"/>
        <v>172400</v>
      </c>
      <c r="M264" s="62">
        <f t="shared" si="104"/>
        <v>225000</v>
      </c>
      <c r="N264" s="62">
        <f t="shared" si="104"/>
        <v>227799.05213270141</v>
      </c>
      <c r="O264" s="62">
        <f t="shared" si="104"/>
        <v>145826.27118644069</v>
      </c>
      <c r="P264" s="62">
        <f t="shared" si="104"/>
        <v>235861.34453781517</v>
      </c>
      <c r="Q264" s="62">
        <f t="shared" si="104"/>
        <v>141796.875</v>
      </c>
    </row>
    <row r="265" spans="3:21" x14ac:dyDescent="0.35">
      <c r="E265" s="2" t="s">
        <v>10</v>
      </c>
      <c r="F265" s="62">
        <f>F40*10^6/F240</f>
        <v>146153.84615384616</v>
      </c>
      <c r="G265" s="62">
        <f t="shared" ref="G265:Q265" si="105">G40*10^6/G240</f>
        <v>154166.66666666666</v>
      </c>
      <c r="H265" s="62">
        <f t="shared" si="105"/>
        <v>161428.57142857139</v>
      </c>
      <c r="I265" s="62">
        <f t="shared" si="105"/>
        <v>160344.8275862069</v>
      </c>
      <c r="J265" s="62">
        <f t="shared" si="105"/>
        <v>164772.72727272726</v>
      </c>
      <c r="K265" s="62">
        <f t="shared" si="105"/>
        <v>167948.71794871794</v>
      </c>
      <c r="L265" s="62">
        <f t="shared" si="105"/>
        <v>157954.54545454544</v>
      </c>
      <c r="M265" s="62">
        <f t="shared" si="105"/>
        <v>161956.52173913043</v>
      </c>
      <c r="N265" s="62">
        <f t="shared" si="105"/>
        <v>150000</v>
      </c>
      <c r="O265" s="62">
        <f t="shared" si="105"/>
        <v>179411.76470588235</v>
      </c>
      <c r="P265" s="62">
        <f t="shared" si="105"/>
        <v>161558.44155844158</v>
      </c>
      <c r="Q265" s="62">
        <f t="shared" si="105"/>
        <v>181250.00000000003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AF321-DC1D-4F7E-A6C7-646C5A379448}">
  <dimension ref="B5:P43"/>
  <sheetViews>
    <sheetView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D29" sqref="D29"/>
    </sheetView>
  </sheetViews>
  <sheetFormatPr defaultColWidth="9.1328125" defaultRowHeight="12.75" x14ac:dyDescent="0.35"/>
  <cols>
    <col min="1" max="1" width="4" style="2" customWidth="1"/>
    <col min="2" max="3" width="5" style="2" customWidth="1"/>
    <col min="4" max="4" width="26.265625" style="2" customWidth="1"/>
    <col min="5" max="16384" width="9.1328125" style="2"/>
  </cols>
  <sheetData>
    <row r="5" spans="2:16" x14ac:dyDescent="0.35">
      <c r="B5" s="27" t="s">
        <v>610</v>
      </c>
    </row>
    <row r="6" spans="2:16" x14ac:dyDescent="0.35">
      <c r="B6" s="32" t="s">
        <v>102</v>
      </c>
      <c r="C6" s="32" t="s">
        <v>624</v>
      </c>
      <c r="D6" s="32"/>
    </row>
    <row r="8" spans="2:16" ht="14.25" x14ac:dyDescent="0.45">
      <c r="B8" s="1"/>
      <c r="C8" s="1"/>
      <c r="D8" s="19"/>
      <c r="E8" s="32" t="s">
        <v>105</v>
      </c>
    </row>
    <row r="9" spans="2:16" ht="14.25" x14ac:dyDescent="0.45">
      <c r="B9" s="45" t="s">
        <v>101</v>
      </c>
      <c r="C9" s="1"/>
      <c r="D9" s="1"/>
      <c r="E9" s="26">
        <v>1</v>
      </c>
      <c r="F9" s="26">
        <v>2</v>
      </c>
      <c r="G9" s="26">
        <v>3</v>
      </c>
      <c r="H9" s="26">
        <v>4</v>
      </c>
      <c r="I9" s="26">
        <v>5</v>
      </c>
      <c r="J9" s="26">
        <v>6</v>
      </c>
      <c r="K9" s="26">
        <v>7</v>
      </c>
      <c r="L9" s="26">
        <v>8</v>
      </c>
      <c r="M9" s="26">
        <v>9</v>
      </c>
      <c r="N9" s="26">
        <v>10</v>
      </c>
      <c r="O9" s="26">
        <v>11</v>
      </c>
      <c r="P9" s="26">
        <v>12</v>
      </c>
    </row>
    <row r="10" spans="2:16" x14ac:dyDescent="0.35">
      <c r="C10" s="47" t="s">
        <v>112</v>
      </c>
      <c r="D10" s="8"/>
      <c r="E10" s="8"/>
    </row>
    <row r="11" spans="2:16" x14ac:dyDescent="0.35">
      <c r="D11" s="2" t="s">
        <v>106</v>
      </c>
      <c r="E11" s="8"/>
    </row>
    <row r="12" spans="2:16" x14ac:dyDescent="0.35">
      <c r="D12" s="2" t="s">
        <v>107</v>
      </c>
      <c r="E12" s="62">
        <f>SUBTOTAL(9,E13:E14)</f>
        <v>0</v>
      </c>
      <c r="F12" s="62">
        <f t="shared" ref="F12:P12" si="0">SUBTOTAL(9,F13:F14)</f>
        <v>0</v>
      </c>
      <c r="G12" s="62">
        <f t="shared" si="0"/>
        <v>0</v>
      </c>
      <c r="H12" s="62">
        <f t="shared" si="0"/>
        <v>0</v>
      </c>
      <c r="I12" s="62">
        <f t="shared" si="0"/>
        <v>0</v>
      </c>
      <c r="J12" s="62">
        <f t="shared" si="0"/>
        <v>0</v>
      </c>
      <c r="K12" s="62">
        <f t="shared" si="0"/>
        <v>0</v>
      </c>
      <c r="L12" s="62">
        <f t="shared" si="0"/>
        <v>0</v>
      </c>
      <c r="M12" s="62">
        <f t="shared" si="0"/>
        <v>0</v>
      </c>
      <c r="N12" s="62">
        <f t="shared" si="0"/>
        <v>0</v>
      </c>
      <c r="O12" s="62">
        <f t="shared" si="0"/>
        <v>0</v>
      </c>
      <c r="P12" s="62">
        <f t="shared" si="0"/>
        <v>0</v>
      </c>
    </row>
    <row r="13" spans="2:16" x14ac:dyDescent="0.35">
      <c r="D13" s="443" t="s">
        <v>626</v>
      </c>
      <c r="E13" s="444"/>
      <c r="F13" s="445"/>
      <c r="G13" s="445"/>
      <c r="H13" s="445"/>
      <c r="I13" s="445"/>
      <c r="J13" s="445"/>
      <c r="K13" s="445"/>
      <c r="L13" s="445"/>
      <c r="M13" s="445"/>
      <c r="N13" s="445"/>
      <c r="O13" s="445"/>
      <c r="P13" s="446"/>
    </row>
    <row r="14" spans="2:16" x14ac:dyDescent="0.35">
      <c r="D14" s="447" t="s">
        <v>627</v>
      </c>
      <c r="E14" s="448"/>
      <c r="F14" s="449"/>
      <c r="G14" s="449"/>
      <c r="H14" s="449"/>
      <c r="I14" s="449"/>
      <c r="J14" s="449"/>
      <c r="K14" s="449"/>
      <c r="L14" s="449"/>
      <c r="M14" s="449"/>
      <c r="N14" s="449"/>
      <c r="O14" s="449"/>
      <c r="P14" s="450"/>
    </row>
    <row r="15" spans="2:16" x14ac:dyDescent="0.35">
      <c r="D15" s="2" t="s">
        <v>108</v>
      </c>
      <c r="E15" s="8"/>
    </row>
    <row r="16" spans="2:16" x14ac:dyDescent="0.35">
      <c r="D16" s="2" t="s">
        <v>629</v>
      </c>
      <c r="E16" s="9"/>
    </row>
    <row r="17" spans="2:16" x14ac:dyDescent="0.35">
      <c r="D17" s="2" t="s">
        <v>109</v>
      </c>
      <c r="E17" s="8"/>
    </row>
    <row r="18" spans="2:16" x14ac:dyDescent="0.35">
      <c r="C18" s="451" t="s">
        <v>113</v>
      </c>
      <c r="D18" s="452"/>
      <c r="E18" s="454">
        <f>SUBTOTAL(9,E11:E17)</f>
        <v>0</v>
      </c>
      <c r="F18" s="454">
        <f t="shared" ref="F18:P18" si="1">SUBTOTAL(9,F11:F17)</f>
        <v>0</v>
      </c>
      <c r="G18" s="454">
        <f t="shared" si="1"/>
        <v>0</v>
      </c>
      <c r="H18" s="454">
        <f t="shared" si="1"/>
        <v>0</v>
      </c>
      <c r="I18" s="454">
        <f t="shared" si="1"/>
        <v>0</v>
      </c>
      <c r="J18" s="454">
        <f t="shared" si="1"/>
        <v>0</v>
      </c>
      <c r="K18" s="454">
        <f t="shared" si="1"/>
        <v>0</v>
      </c>
      <c r="L18" s="454">
        <f t="shared" si="1"/>
        <v>0</v>
      </c>
      <c r="M18" s="454">
        <f t="shared" si="1"/>
        <v>0</v>
      </c>
      <c r="N18" s="454">
        <f t="shared" si="1"/>
        <v>0</v>
      </c>
      <c r="O18" s="454">
        <f t="shared" si="1"/>
        <v>0</v>
      </c>
      <c r="P18" s="454">
        <f t="shared" si="1"/>
        <v>0</v>
      </c>
    </row>
    <row r="19" spans="2:16" x14ac:dyDescent="0.35">
      <c r="C19" s="47" t="s">
        <v>123</v>
      </c>
      <c r="E19" s="8"/>
    </row>
    <row r="20" spans="2:16" x14ac:dyDescent="0.35">
      <c r="C20" s="47"/>
      <c r="D20" s="2" t="s">
        <v>110</v>
      </c>
      <c r="E20" s="8"/>
    </row>
    <row r="21" spans="2:16" x14ac:dyDescent="0.35">
      <c r="C21" s="47"/>
      <c r="D21" s="2" t="s">
        <v>629</v>
      </c>
      <c r="E21" s="8"/>
    </row>
    <row r="22" spans="2:16" ht="13.15" thickBot="1" x14ac:dyDescent="0.4">
      <c r="C22" s="455" t="s">
        <v>630</v>
      </c>
      <c r="D22" s="456"/>
      <c r="E22" s="454">
        <f>SUBTOTAL(9,E20:E21)</f>
        <v>0</v>
      </c>
      <c r="F22" s="454">
        <f t="shared" ref="F22:P22" si="2">SUBTOTAL(9,F20:F21)</f>
        <v>0</v>
      </c>
      <c r="G22" s="454">
        <f t="shared" si="2"/>
        <v>0</v>
      </c>
      <c r="H22" s="454">
        <f t="shared" si="2"/>
        <v>0</v>
      </c>
      <c r="I22" s="454">
        <f t="shared" si="2"/>
        <v>0</v>
      </c>
      <c r="J22" s="454">
        <f t="shared" si="2"/>
        <v>0</v>
      </c>
      <c r="K22" s="454">
        <f t="shared" si="2"/>
        <v>0</v>
      </c>
      <c r="L22" s="454">
        <f t="shared" si="2"/>
        <v>0</v>
      </c>
      <c r="M22" s="454">
        <f t="shared" si="2"/>
        <v>0</v>
      </c>
      <c r="N22" s="454">
        <f t="shared" si="2"/>
        <v>0</v>
      </c>
      <c r="O22" s="454">
        <f t="shared" si="2"/>
        <v>0</v>
      </c>
      <c r="P22" s="454">
        <f t="shared" si="2"/>
        <v>0</v>
      </c>
    </row>
    <row r="23" spans="2:16" x14ac:dyDescent="0.35">
      <c r="B23" s="50" t="s">
        <v>114</v>
      </c>
      <c r="C23" s="51"/>
      <c r="D23" s="52"/>
      <c r="E23" s="453">
        <f>SUBTOTAL(9,E11:E22)</f>
        <v>0</v>
      </c>
      <c r="F23" s="453">
        <f t="shared" ref="F23:P23" si="3">SUBTOTAL(9,F11:F22)</f>
        <v>0</v>
      </c>
      <c r="G23" s="453">
        <f t="shared" si="3"/>
        <v>0</v>
      </c>
      <c r="H23" s="453">
        <f t="shared" si="3"/>
        <v>0</v>
      </c>
      <c r="I23" s="453">
        <f t="shared" si="3"/>
        <v>0</v>
      </c>
      <c r="J23" s="453">
        <f t="shared" si="3"/>
        <v>0</v>
      </c>
      <c r="K23" s="453">
        <f t="shared" si="3"/>
        <v>0</v>
      </c>
      <c r="L23" s="453">
        <f t="shared" si="3"/>
        <v>0</v>
      </c>
      <c r="M23" s="453">
        <f t="shared" si="3"/>
        <v>0</v>
      </c>
      <c r="N23" s="453">
        <f t="shared" si="3"/>
        <v>0</v>
      </c>
      <c r="O23" s="453">
        <f t="shared" si="3"/>
        <v>0</v>
      </c>
      <c r="P23" s="453">
        <f t="shared" si="3"/>
        <v>0</v>
      </c>
    </row>
    <row r="24" spans="2:16" x14ac:dyDescent="0.35">
      <c r="B24" s="48"/>
      <c r="C24" s="9" t="s">
        <v>115</v>
      </c>
      <c r="E24" s="9"/>
    </row>
    <row r="25" spans="2:16" x14ac:dyDescent="0.35">
      <c r="C25" s="7"/>
      <c r="D25" s="2" t="s">
        <v>116</v>
      </c>
      <c r="E25" s="62">
        <f>SUBTOTAL(9,E26:E27)</f>
        <v>0</v>
      </c>
      <c r="F25" s="62">
        <f t="shared" ref="F25" si="4">SUBTOTAL(9,F26:F27)</f>
        <v>0</v>
      </c>
      <c r="G25" s="62">
        <f t="shared" ref="G25" si="5">SUBTOTAL(9,G26:G27)</f>
        <v>0</v>
      </c>
      <c r="H25" s="62">
        <f t="shared" ref="H25" si="6">SUBTOTAL(9,H26:H27)</f>
        <v>0</v>
      </c>
      <c r="I25" s="62">
        <f t="shared" ref="I25" si="7">SUBTOTAL(9,I26:I27)</f>
        <v>0</v>
      </c>
      <c r="J25" s="62">
        <f t="shared" ref="J25" si="8">SUBTOTAL(9,J26:J27)</f>
        <v>0</v>
      </c>
      <c r="K25" s="62">
        <f t="shared" ref="K25" si="9">SUBTOTAL(9,K26:K27)</f>
        <v>0</v>
      </c>
      <c r="L25" s="62">
        <f t="shared" ref="L25" si="10">SUBTOTAL(9,L26:L27)</f>
        <v>0</v>
      </c>
      <c r="M25" s="62">
        <f t="shared" ref="M25" si="11">SUBTOTAL(9,M26:M27)</f>
        <v>0</v>
      </c>
      <c r="N25" s="62">
        <f t="shared" ref="N25" si="12">SUBTOTAL(9,N26:N27)</f>
        <v>0</v>
      </c>
      <c r="O25" s="62">
        <f t="shared" ref="O25" si="13">SUBTOTAL(9,O26:O27)</f>
        <v>0</v>
      </c>
      <c r="P25" s="62">
        <f t="shared" ref="P25" si="14">SUBTOTAL(9,P26:P27)</f>
        <v>0</v>
      </c>
    </row>
    <row r="26" spans="2:16" x14ac:dyDescent="0.35">
      <c r="C26" s="7"/>
      <c r="D26" s="443" t="s">
        <v>626</v>
      </c>
      <c r="E26" s="444"/>
      <c r="F26" s="445"/>
      <c r="G26" s="445"/>
      <c r="H26" s="445"/>
      <c r="I26" s="445"/>
      <c r="J26" s="445"/>
      <c r="K26" s="445"/>
      <c r="L26" s="445"/>
      <c r="M26" s="445"/>
      <c r="N26" s="445"/>
      <c r="O26" s="445"/>
      <c r="P26" s="446"/>
    </row>
    <row r="27" spans="2:16" x14ac:dyDescent="0.35">
      <c r="C27" s="7"/>
      <c r="D27" s="447" t="s">
        <v>627</v>
      </c>
      <c r="E27" s="448"/>
      <c r="F27" s="449"/>
      <c r="G27" s="449"/>
      <c r="H27" s="449"/>
      <c r="I27" s="449"/>
      <c r="J27" s="449"/>
      <c r="K27" s="449"/>
      <c r="L27" s="449"/>
      <c r="M27" s="449"/>
      <c r="N27" s="449"/>
      <c r="O27" s="449"/>
      <c r="P27" s="450"/>
    </row>
    <row r="28" spans="2:16" x14ac:dyDescent="0.35">
      <c r="C28" s="7"/>
      <c r="D28" s="2" t="s">
        <v>117</v>
      </c>
      <c r="E28" s="8"/>
    </row>
    <row r="29" spans="2:16" x14ac:dyDescent="0.35">
      <c r="C29" s="7"/>
      <c r="D29" s="2" t="s">
        <v>118</v>
      </c>
      <c r="E29" s="8"/>
    </row>
    <row r="30" spans="2:16" x14ac:dyDescent="0.35">
      <c r="C30" s="7"/>
      <c r="D30" s="2" t="s">
        <v>119</v>
      </c>
      <c r="E30" s="8"/>
    </row>
    <row r="31" spans="2:16" x14ac:dyDescent="0.35">
      <c r="C31" s="451" t="s">
        <v>122</v>
      </c>
      <c r="D31" s="452"/>
      <c r="E31" s="454">
        <f>SUBTOTAL(9,E25:E30)</f>
        <v>0</v>
      </c>
      <c r="F31" s="454">
        <f t="shared" ref="F31:P31" si="15">SUBTOTAL(9,F25:F30)</f>
        <v>0</v>
      </c>
      <c r="G31" s="454">
        <f t="shared" si="15"/>
        <v>0</v>
      </c>
      <c r="H31" s="454">
        <f t="shared" si="15"/>
        <v>0</v>
      </c>
      <c r="I31" s="454">
        <f t="shared" si="15"/>
        <v>0</v>
      </c>
      <c r="J31" s="454">
        <f t="shared" si="15"/>
        <v>0</v>
      </c>
      <c r="K31" s="454">
        <f t="shared" si="15"/>
        <v>0</v>
      </c>
      <c r="L31" s="454">
        <f t="shared" si="15"/>
        <v>0</v>
      </c>
      <c r="M31" s="454">
        <f t="shared" si="15"/>
        <v>0</v>
      </c>
      <c r="N31" s="454">
        <f t="shared" si="15"/>
        <v>0</v>
      </c>
      <c r="O31" s="454">
        <f t="shared" si="15"/>
        <v>0</v>
      </c>
      <c r="P31" s="454">
        <f t="shared" si="15"/>
        <v>0</v>
      </c>
    </row>
    <row r="32" spans="2:16" x14ac:dyDescent="0.35">
      <c r="C32" s="9" t="s">
        <v>628</v>
      </c>
      <c r="D32" s="8"/>
      <c r="E32" s="8"/>
    </row>
    <row r="33" spans="2:16" x14ac:dyDescent="0.35">
      <c r="C33" s="9"/>
      <c r="D33" s="2" t="s">
        <v>121</v>
      </c>
      <c r="E33" s="8"/>
    </row>
    <row r="34" spans="2:16" ht="13.15" thickBot="1" x14ac:dyDescent="0.4">
      <c r="C34" s="455" t="s">
        <v>124</v>
      </c>
      <c r="D34" s="457"/>
      <c r="E34" s="458">
        <f>SUBTOTAL(9,E33)</f>
        <v>0</v>
      </c>
      <c r="F34" s="458">
        <f t="shared" ref="F34:P34" si="16">SUBTOTAL(9,F33)</f>
        <v>0</v>
      </c>
      <c r="G34" s="458">
        <f t="shared" si="16"/>
        <v>0</v>
      </c>
      <c r="H34" s="458">
        <f t="shared" si="16"/>
        <v>0</v>
      </c>
      <c r="I34" s="458">
        <f t="shared" si="16"/>
        <v>0</v>
      </c>
      <c r="J34" s="458">
        <f t="shared" si="16"/>
        <v>0</v>
      </c>
      <c r="K34" s="458">
        <f t="shared" si="16"/>
        <v>0</v>
      </c>
      <c r="L34" s="458">
        <f t="shared" si="16"/>
        <v>0</v>
      </c>
      <c r="M34" s="458">
        <f t="shared" si="16"/>
        <v>0</v>
      </c>
      <c r="N34" s="458">
        <f t="shared" si="16"/>
        <v>0</v>
      </c>
      <c r="O34" s="458">
        <f t="shared" si="16"/>
        <v>0</v>
      </c>
      <c r="P34" s="458">
        <f t="shared" si="16"/>
        <v>0</v>
      </c>
    </row>
    <row r="35" spans="2:16" x14ac:dyDescent="0.35">
      <c r="B35" s="50" t="s">
        <v>125</v>
      </c>
      <c r="C35" s="51"/>
      <c r="D35" s="52"/>
      <c r="E35" s="453">
        <f>SUBTOTAL(9,E25:E34)</f>
        <v>0</v>
      </c>
      <c r="F35" s="453">
        <f t="shared" ref="F35:P35" si="17">SUBTOTAL(9,F25:F34)</f>
        <v>0</v>
      </c>
      <c r="G35" s="453">
        <f t="shared" si="17"/>
        <v>0</v>
      </c>
      <c r="H35" s="453">
        <f t="shared" si="17"/>
        <v>0</v>
      </c>
      <c r="I35" s="453">
        <f t="shared" si="17"/>
        <v>0</v>
      </c>
      <c r="J35" s="453">
        <f t="shared" si="17"/>
        <v>0</v>
      </c>
      <c r="K35" s="453">
        <f t="shared" si="17"/>
        <v>0</v>
      </c>
      <c r="L35" s="453">
        <f t="shared" si="17"/>
        <v>0</v>
      </c>
      <c r="M35" s="453">
        <f t="shared" si="17"/>
        <v>0</v>
      </c>
      <c r="N35" s="453">
        <f t="shared" si="17"/>
        <v>0</v>
      </c>
      <c r="O35" s="453">
        <f t="shared" si="17"/>
        <v>0</v>
      </c>
      <c r="P35" s="453">
        <f t="shared" si="17"/>
        <v>0</v>
      </c>
    </row>
    <row r="36" spans="2:16" x14ac:dyDescent="0.35">
      <c r="C36" s="2" t="s">
        <v>126</v>
      </c>
      <c r="D36" s="8"/>
      <c r="E36" s="8"/>
    </row>
    <row r="37" spans="2:16" x14ac:dyDescent="0.35">
      <c r="C37" s="2" t="s">
        <v>127</v>
      </c>
      <c r="D37" s="8"/>
      <c r="E37" s="8"/>
    </row>
    <row r="38" spans="2:16" x14ac:dyDescent="0.35">
      <c r="C38" s="2" t="s">
        <v>128</v>
      </c>
      <c r="D38" s="8"/>
      <c r="E38" s="103">
        <f>SUBTOTAL(9,E39:E40)</f>
        <v>0</v>
      </c>
      <c r="F38" s="103">
        <f t="shared" ref="F38:P38" si="18">SUBTOTAL(9,F39:F40)</f>
        <v>0</v>
      </c>
      <c r="G38" s="103">
        <f t="shared" si="18"/>
        <v>0</v>
      </c>
      <c r="H38" s="103">
        <f t="shared" si="18"/>
        <v>0</v>
      </c>
      <c r="I38" s="103">
        <f t="shared" si="18"/>
        <v>0</v>
      </c>
      <c r="J38" s="103">
        <f t="shared" si="18"/>
        <v>0</v>
      </c>
      <c r="K38" s="103">
        <f t="shared" si="18"/>
        <v>0</v>
      </c>
      <c r="L38" s="103">
        <f t="shared" si="18"/>
        <v>0</v>
      </c>
      <c r="M38" s="103">
        <f t="shared" si="18"/>
        <v>0</v>
      </c>
      <c r="N38" s="103">
        <f t="shared" si="18"/>
        <v>0</v>
      </c>
      <c r="O38" s="103">
        <f t="shared" si="18"/>
        <v>0</v>
      </c>
      <c r="P38" s="103">
        <f t="shared" si="18"/>
        <v>0</v>
      </c>
    </row>
    <row r="39" spans="2:16" x14ac:dyDescent="0.35">
      <c r="D39" s="462" t="s">
        <v>129</v>
      </c>
      <c r="E39" s="459"/>
      <c r="F39" s="460"/>
      <c r="G39" s="460"/>
      <c r="H39" s="460"/>
      <c r="I39" s="460"/>
      <c r="J39" s="460"/>
      <c r="K39" s="460"/>
      <c r="L39" s="460"/>
      <c r="M39" s="460"/>
      <c r="N39" s="460"/>
      <c r="O39" s="460"/>
      <c r="P39" s="461"/>
    </row>
    <row r="40" spans="2:16" ht="13.15" thickBot="1" x14ac:dyDescent="0.4">
      <c r="C40" s="9"/>
      <c r="D40" s="463" t="s">
        <v>130</v>
      </c>
      <c r="E40" s="464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465"/>
    </row>
    <row r="41" spans="2:16" x14ac:dyDescent="0.35">
      <c r="B41" s="50" t="s">
        <v>131</v>
      </c>
      <c r="C41" s="51"/>
      <c r="D41" s="52"/>
      <c r="E41" s="466">
        <f>SUBTOTAL(9,E36:E40)</f>
        <v>0</v>
      </c>
      <c r="F41" s="466">
        <f t="shared" ref="F41:P41" si="19">SUBTOTAL(9,F36:F40)</f>
        <v>0</v>
      </c>
      <c r="G41" s="466">
        <f t="shared" si="19"/>
        <v>0</v>
      </c>
      <c r="H41" s="466">
        <f t="shared" si="19"/>
        <v>0</v>
      </c>
      <c r="I41" s="466">
        <f t="shared" si="19"/>
        <v>0</v>
      </c>
      <c r="J41" s="466">
        <f t="shared" si="19"/>
        <v>0</v>
      </c>
      <c r="K41" s="466">
        <f t="shared" si="19"/>
        <v>0</v>
      </c>
      <c r="L41" s="466">
        <f t="shared" si="19"/>
        <v>0</v>
      </c>
      <c r="M41" s="466">
        <f t="shared" si="19"/>
        <v>0</v>
      </c>
      <c r="N41" s="466">
        <f t="shared" si="19"/>
        <v>0</v>
      </c>
      <c r="O41" s="466">
        <f t="shared" si="19"/>
        <v>0</v>
      </c>
      <c r="P41" s="466">
        <f t="shared" si="19"/>
        <v>0</v>
      </c>
    </row>
    <row r="42" spans="2:16" ht="13.15" thickBot="1" x14ac:dyDescent="0.4">
      <c r="B42" s="53" t="s">
        <v>132</v>
      </c>
      <c r="C42" s="54"/>
      <c r="D42" s="54"/>
      <c r="E42" s="467">
        <f>E41+E35</f>
        <v>0</v>
      </c>
      <c r="F42" s="467">
        <f t="shared" ref="F42:P42" si="20">F41+F35</f>
        <v>0</v>
      </c>
      <c r="G42" s="467">
        <f t="shared" si="20"/>
        <v>0</v>
      </c>
      <c r="H42" s="467">
        <f t="shared" si="20"/>
        <v>0</v>
      </c>
      <c r="I42" s="467">
        <f t="shared" si="20"/>
        <v>0</v>
      </c>
      <c r="J42" s="467">
        <f t="shared" si="20"/>
        <v>0</v>
      </c>
      <c r="K42" s="467">
        <f t="shared" si="20"/>
        <v>0</v>
      </c>
      <c r="L42" s="467">
        <f t="shared" si="20"/>
        <v>0</v>
      </c>
      <c r="M42" s="467">
        <f t="shared" si="20"/>
        <v>0</v>
      </c>
      <c r="N42" s="467">
        <f t="shared" si="20"/>
        <v>0</v>
      </c>
      <c r="O42" s="467">
        <f t="shared" si="20"/>
        <v>0</v>
      </c>
      <c r="P42" s="467">
        <f t="shared" si="20"/>
        <v>0</v>
      </c>
    </row>
    <row r="43" spans="2:16" x14ac:dyDescent="0.35">
      <c r="E43" s="57">
        <f>E23-E42</f>
        <v>0</v>
      </c>
      <c r="F43" s="57">
        <f t="shared" ref="F43:P43" si="21">F23-F42</f>
        <v>0</v>
      </c>
      <c r="G43" s="57">
        <f t="shared" si="21"/>
        <v>0</v>
      </c>
      <c r="H43" s="57">
        <f t="shared" si="21"/>
        <v>0</v>
      </c>
      <c r="I43" s="57">
        <f t="shared" si="21"/>
        <v>0</v>
      </c>
      <c r="J43" s="57">
        <f t="shared" si="21"/>
        <v>0</v>
      </c>
      <c r="K43" s="57">
        <f t="shared" si="21"/>
        <v>0</v>
      </c>
      <c r="L43" s="57">
        <f t="shared" si="21"/>
        <v>0</v>
      </c>
      <c r="M43" s="57">
        <f t="shared" si="21"/>
        <v>0</v>
      </c>
      <c r="N43" s="57">
        <f t="shared" si="21"/>
        <v>0</v>
      </c>
      <c r="O43" s="57">
        <f t="shared" si="21"/>
        <v>0</v>
      </c>
      <c r="P43" s="57">
        <f t="shared" si="21"/>
        <v>0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F6B1-049F-48CE-BC2D-94289DD8A895}">
  <dimension ref="B3:AB113"/>
  <sheetViews>
    <sheetView zoomScaleNormal="100" workbookViewId="0">
      <pane xSplit="5" ySplit="9" topLeftCell="F10" activePane="bottomRight" state="frozen"/>
      <selection pane="topRight" activeCell="E1" sqref="E1"/>
      <selection pane="bottomLeft" activeCell="A4" sqref="A4"/>
      <selection pane="bottomRight" activeCell="AB109" sqref="AB109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23.265625" style="2" customWidth="1"/>
    <col min="6" max="7" width="6.1328125" style="2" customWidth="1" outlineLevel="1"/>
    <col min="8" max="10" width="7.265625" style="2" customWidth="1" outlineLevel="1"/>
    <col min="11" max="16" width="6.1328125" style="2" customWidth="1" outlineLevel="1"/>
    <col min="17" max="17" width="6.1328125" style="2" customWidth="1"/>
    <col min="18" max="18" width="11" style="2" customWidth="1" outlineLevel="1"/>
    <col min="19" max="19" width="10.59765625" style="2" customWidth="1" outlineLevel="1"/>
    <col min="20" max="20" width="8.1328125" style="2" customWidth="1"/>
    <col min="21" max="21" width="6.73046875" style="2" customWidth="1"/>
    <col min="22" max="22" width="7" style="2" customWidth="1"/>
    <col min="23" max="23" width="6.1328125" style="2" customWidth="1"/>
    <col min="24" max="24" width="10.73046875" style="2" customWidth="1"/>
    <col min="25" max="25" width="8.86328125" style="2" customWidth="1"/>
    <col min="26" max="26" width="10.73046875" style="2" customWidth="1"/>
    <col min="27" max="27" width="12.3984375" style="2" customWidth="1"/>
    <col min="28" max="28" width="7.86328125" style="2" customWidth="1"/>
    <col min="29" max="16384" width="9.1328125" style="2"/>
  </cols>
  <sheetData>
    <row r="3" spans="2:28" x14ac:dyDescent="0.35">
      <c r="H3" s="60"/>
    </row>
    <row r="4" spans="2:28" x14ac:dyDescent="0.35">
      <c r="B4" s="2" t="s">
        <v>25</v>
      </c>
    </row>
    <row r="6" spans="2:28" x14ac:dyDescent="0.35">
      <c r="B6" s="27" t="s">
        <v>135</v>
      </c>
    </row>
    <row r="7" spans="2:28" s="6" customFormat="1" x14ac:dyDescent="0.35">
      <c r="B7" s="6" t="s">
        <v>136</v>
      </c>
      <c r="F7" s="74" t="s">
        <v>141</v>
      </c>
      <c r="G7" s="74" t="s">
        <v>141</v>
      </c>
      <c r="H7" s="74" t="s">
        <v>141</v>
      </c>
      <c r="I7" s="74" t="s">
        <v>141</v>
      </c>
      <c r="J7" s="74" t="s">
        <v>141</v>
      </c>
      <c r="K7" s="74" t="s">
        <v>141</v>
      </c>
      <c r="L7" s="74" t="s">
        <v>141</v>
      </c>
      <c r="M7" s="74" t="s">
        <v>141</v>
      </c>
      <c r="N7" s="74" t="s">
        <v>141</v>
      </c>
      <c r="O7" s="74" t="s">
        <v>141</v>
      </c>
      <c r="P7" s="74" t="s">
        <v>141</v>
      </c>
      <c r="Q7" s="73" t="s">
        <v>141</v>
      </c>
    </row>
    <row r="8" spans="2:28" x14ac:dyDescent="0.35">
      <c r="B8" s="32" t="s">
        <v>55</v>
      </c>
      <c r="F8" s="32" t="s">
        <v>52</v>
      </c>
      <c r="R8" s="381" t="s">
        <v>622</v>
      </c>
      <c r="S8" s="380"/>
      <c r="T8" s="380"/>
      <c r="U8" s="381" t="s">
        <v>487</v>
      </c>
      <c r="V8" s="380"/>
      <c r="W8" s="380"/>
      <c r="X8" s="381" t="s">
        <v>505</v>
      </c>
      <c r="Y8" s="380"/>
      <c r="Z8" s="381" t="s">
        <v>506</v>
      </c>
      <c r="AA8" s="380"/>
      <c r="AB8" s="380"/>
    </row>
    <row r="9" spans="2:28" ht="13.5" x14ac:dyDescent="0.35">
      <c r="B9" s="45" t="s">
        <v>101</v>
      </c>
      <c r="F9" s="61">
        <v>1</v>
      </c>
      <c r="G9" s="61">
        <v>2</v>
      </c>
      <c r="H9" s="61">
        <v>3</v>
      </c>
      <c r="I9" s="61">
        <v>4</v>
      </c>
      <c r="J9" s="61">
        <v>5</v>
      </c>
      <c r="K9" s="61">
        <v>6</v>
      </c>
      <c r="L9" s="61">
        <v>7</v>
      </c>
      <c r="M9" s="61">
        <v>8</v>
      </c>
      <c r="N9" s="61">
        <v>9</v>
      </c>
      <c r="O9" s="61">
        <v>10</v>
      </c>
      <c r="P9" s="61">
        <v>11</v>
      </c>
      <c r="Q9" s="61">
        <v>12</v>
      </c>
      <c r="R9" s="32" t="s">
        <v>4</v>
      </c>
      <c r="S9" s="32" t="s">
        <v>5</v>
      </c>
      <c r="T9" s="32" t="s">
        <v>3</v>
      </c>
      <c r="U9" s="114" t="s">
        <v>484</v>
      </c>
      <c r="V9" s="113" t="s">
        <v>485</v>
      </c>
      <c r="W9" s="113" t="s">
        <v>486</v>
      </c>
      <c r="X9" s="113" t="s">
        <v>498</v>
      </c>
      <c r="Y9" s="113" t="s">
        <v>499</v>
      </c>
      <c r="Z9" s="32" t="s">
        <v>196</v>
      </c>
      <c r="AA9" s="421" t="s">
        <v>197</v>
      </c>
      <c r="AB9" s="113" t="s">
        <v>198</v>
      </c>
    </row>
    <row r="10" spans="2:28" ht="13.5" x14ac:dyDescent="0.35">
      <c r="B10" s="45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31"/>
      <c r="R10" s="32"/>
      <c r="S10" s="32"/>
      <c r="T10" s="32"/>
      <c r="U10" s="32"/>
      <c r="V10" s="32"/>
      <c r="W10" s="32"/>
      <c r="X10" s="32"/>
      <c r="Y10" s="32"/>
      <c r="Z10" s="32"/>
      <c r="AA10" s="6"/>
      <c r="AB10" s="73"/>
    </row>
    <row r="11" spans="2:28" hidden="1" x14ac:dyDescent="0.35">
      <c r="B11" s="27" t="s">
        <v>357</v>
      </c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31"/>
      <c r="R11" s="32"/>
      <c r="S11" s="32"/>
      <c r="T11" s="32"/>
      <c r="U11" s="32"/>
      <c r="V11" s="32"/>
      <c r="W11" s="32"/>
      <c r="X11" s="32"/>
      <c r="Y11" s="32"/>
      <c r="Z11" s="32"/>
      <c r="AA11" s="6"/>
      <c r="AB11" s="73"/>
    </row>
    <row r="12" spans="2:28" hidden="1" x14ac:dyDescent="0.35">
      <c r="B12" s="27"/>
      <c r="E12" s="2" t="s">
        <v>6</v>
      </c>
      <c r="F12" s="276">
        <f t="shared" ref="F12:P12" si="0">F42*10^6/F18</f>
        <v>1869260.7003891051</v>
      </c>
      <c r="G12" s="276">
        <f t="shared" si="0"/>
        <v>1906965.1741293531</v>
      </c>
      <c r="H12" s="276">
        <f t="shared" si="0"/>
        <v>1878260.8695652173</v>
      </c>
      <c r="I12" s="276">
        <f t="shared" si="0"/>
        <v>1863197.0260223048</v>
      </c>
      <c r="J12" s="276">
        <f t="shared" si="0"/>
        <v>1858315.334773218</v>
      </c>
      <c r="K12" s="276">
        <f t="shared" si="0"/>
        <v>1834324.9427917621</v>
      </c>
      <c r="L12" s="276">
        <f t="shared" si="0"/>
        <v>1882405.3452115813</v>
      </c>
      <c r="M12" s="276">
        <f t="shared" si="0"/>
        <v>1889385.4748603352</v>
      </c>
      <c r="N12" s="276">
        <f t="shared" si="0"/>
        <v>1896246.6487935656</v>
      </c>
      <c r="O12" s="276">
        <f t="shared" si="0"/>
        <v>1869121.8130311614</v>
      </c>
      <c r="P12" s="276">
        <f t="shared" si="0"/>
        <v>1913761.4678899082</v>
      </c>
      <c r="Q12" s="57">
        <v>1827593.5828877005</v>
      </c>
      <c r="R12" s="32"/>
      <c r="S12" s="32"/>
      <c r="T12" s="103">
        <f>T42*10^6/T18</f>
        <v>1876497.5996660404</v>
      </c>
      <c r="U12" s="32"/>
      <c r="V12" s="32"/>
      <c r="W12" s="32"/>
      <c r="X12" s="32"/>
      <c r="Y12" s="32"/>
      <c r="Z12" s="32"/>
      <c r="AA12" s="6"/>
      <c r="AB12" s="57">
        <f>T12</f>
        <v>1876497.5996660404</v>
      </c>
    </row>
    <row r="13" spans="2:28" hidden="1" x14ac:dyDescent="0.35">
      <c r="B13" s="27"/>
      <c r="E13" s="2" t="s">
        <v>7</v>
      </c>
      <c r="F13" s="276">
        <f t="shared" ref="F13:P13" si="1">F43*10^6/F19</f>
        <v>571428.57142857148</v>
      </c>
      <c r="G13" s="276">
        <f t="shared" si="1"/>
        <v>593750</v>
      </c>
      <c r="H13" s="276">
        <f t="shared" si="1"/>
        <v>500000</v>
      </c>
      <c r="I13" s="276">
        <f t="shared" si="1"/>
        <v>554054.05405405408</v>
      </c>
      <c r="J13" s="276">
        <f t="shared" si="1"/>
        <v>500000</v>
      </c>
      <c r="K13" s="276">
        <f t="shared" si="1"/>
        <v>600000</v>
      </c>
      <c r="L13" s="276">
        <f t="shared" si="1"/>
        <v>500000</v>
      </c>
      <c r="M13" s="276">
        <f t="shared" si="1"/>
        <v>500000</v>
      </c>
      <c r="N13" s="276">
        <f t="shared" si="1"/>
        <v>500000</v>
      </c>
      <c r="O13" s="276">
        <f t="shared" si="1"/>
        <v>500000</v>
      </c>
      <c r="P13" s="276">
        <f t="shared" si="1"/>
        <v>500000</v>
      </c>
      <c r="Q13" s="57">
        <v>500000</v>
      </c>
      <c r="R13" s="32"/>
      <c r="S13" s="32"/>
      <c r="T13" s="103">
        <f>T43*10^6/T19</f>
        <v>524472.57383966248</v>
      </c>
      <c r="U13" s="32"/>
      <c r="V13" s="32"/>
      <c r="W13" s="32"/>
      <c r="X13" s="32"/>
      <c r="Y13" s="32"/>
      <c r="Z13" s="32"/>
      <c r="AA13" s="6"/>
      <c r="AB13" s="57">
        <f>T13</f>
        <v>524472.57383966248</v>
      </c>
    </row>
    <row r="14" spans="2:28" hidden="1" x14ac:dyDescent="0.35">
      <c r="B14" s="27"/>
      <c r="E14" s="2" t="s">
        <v>8</v>
      </c>
      <c r="F14" s="276">
        <f t="shared" ref="F14:P14" si="2">F44*10^6/F20</f>
        <v>1164814.8148148148</v>
      </c>
      <c r="G14" s="276">
        <f t="shared" si="2"/>
        <v>1195804.1958041957</v>
      </c>
      <c r="H14" s="276">
        <f t="shared" si="2"/>
        <v>1201807.2289156627</v>
      </c>
      <c r="I14" s="276">
        <f t="shared" si="2"/>
        <v>1191542.288557214</v>
      </c>
      <c r="J14" s="276">
        <f t="shared" si="2"/>
        <v>1160447.7611940298</v>
      </c>
      <c r="K14" s="276">
        <f t="shared" si="2"/>
        <v>1117924.5283018867</v>
      </c>
      <c r="L14" s="276">
        <f t="shared" si="2"/>
        <v>1166666.6666666667</v>
      </c>
      <c r="M14" s="276">
        <f t="shared" si="2"/>
        <v>1223684.2105263157</v>
      </c>
      <c r="N14" s="276">
        <f t="shared" si="2"/>
        <v>1109756.0975609757</v>
      </c>
      <c r="O14" s="276">
        <f t="shared" si="2"/>
        <v>1231521.7391304348</v>
      </c>
      <c r="P14" s="276">
        <f t="shared" si="2"/>
        <v>1286746.9879518072</v>
      </c>
      <c r="Q14" s="57">
        <v>1224770.6422018348</v>
      </c>
      <c r="R14" s="32"/>
      <c r="S14" s="32"/>
      <c r="T14" s="103">
        <f>T44*10^6/T20</f>
        <v>1189934.829833454</v>
      </c>
      <c r="U14" s="32"/>
      <c r="V14" s="32"/>
      <c r="W14" s="32"/>
      <c r="X14" s="32"/>
      <c r="Y14" s="32"/>
      <c r="Z14" s="32"/>
      <c r="AA14" s="6"/>
      <c r="AB14" s="57">
        <f>T14</f>
        <v>1189934.829833454</v>
      </c>
    </row>
    <row r="15" spans="2:28" hidden="1" x14ac:dyDescent="0.35">
      <c r="B15" s="27"/>
      <c r="E15" s="2" t="s">
        <v>9</v>
      </c>
      <c r="F15" s="276">
        <f t="shared" ref="F15:P15" si="3">F45*10^6/F21</f>
        <v>143965.5172413793</v>
      </c>
      <c r="G15" s="276">
        <f t="shared" si="3"/>
        <v>132530.1204819277</v>
      </c>
      <c r="H15" s="276">
        <f t="shared" si="3"/>
        <v>160544.21768707482</v>
      </c>
      <c r="I15" s="276">
        <f t="shared" si="3"/>
        <v>134868.42105263157</v>
      </c>
      <c r="J15" s="276">
        <f t="shared" si="3"/>
        <v>137500</v>
      </c>
      <c r="K15" s="276">
        <f t="shared" si="3"/>
        <v>133776.59574468085</v>
      </c>
      <c r="L15" s="276">
        <f t="shared" si="3"/>
        <v>154433.49753694583</v>
      </c>
      <c r="M15" s="276">
        <f t="shared" si="3"/>
        <v>153225.80645161291</v>
      </c>
      <c r="N15" s="276">
        <f t="shared" si="3"/>
        <v>170658.68263473053</v>
      </c>
      <c r="O15" s="276">
        <f t="shared" si="3"/>
        <v>157638.88888888888</v>
      </c>
      <c r="P15" s="276">
        <f t="shared" si="3"/>
        <v>148395.72192513369</v>
      </c>
      <c r="Q15" s="57">
        <v>150000</v>
      </c>
      <c r="R15" s="32"/>
      <c r="S15" s="32"/>
      <c r="T15" s="103">
        <f>T45*10^6/T21</f>
        <v>148296.05963791267</v>
      </c>
      <c r="U15" s="32"/>
      <c r="V15" s="32"/>
      <c r="W15" s="32"/>
      <c r="X15" s="32"/>
      <c r="Y15" s="32"/>
      <c r="Z15" s="32"/>
      <c r="AA15" s="6"/>
      <c r="AB15" s="57">
        <f>T15</f>
        <v>148296.05963791267</v>
      </c>
    </row>
    <row r="16" spans="2:28" ht="13.5" hidden="1" x14ac:dyDescent="0.35">
      <c r="B16" s="45"/>
      <c r="E16" s="2" t="s">
        <v>10</v>
      </c>
      <c r="F16" s="276">
        <f t="shared" ref="F16:P16" si="4">F46*10^6/F22</f>
        <v>138888.88888888888</v>
      </c>
      <c r="G16" s="276">
        <f t="shared" si="4"/>
        <v>154166.66666666666</v>
      </c>
      <c r="H16" s="276">
        <f t="shared" si="4"/>
        <v>158208.95522388059</v>
      </c>
      <c r="I16" s="276">
        <f t="shared" si="4"/>
        <v>158771.9298245614</v>
      </c>
      <c r="J16" s="276">
        <f t="shared" si="4"/>
        <v>170238.09523809524</v>
      </c>
      <c r="K16" s="276">
        <f t="shared" si="4"/>
        <v>172368.42105263157</v>
      </c>
      <c r="L16" s="276">
        <f t="shared" si="4"/>
        <v>163529.41176470587</v>
      </c>
      <c r="M16" s="276">
        <f t="shared" si="4"/>
        <v>161956.52173913043</v>
      </c>
      <c r="N16" s="276">
        <f t="shared" si="4"/>
        <v>155696.20253164557</v>
      </c>
      <c r="O16" s="276">
        <f t="shared" si="4"/>
        <v>164634.14634146341</v>
      </c>
      <c r="P16" s="276">
        <f t="shared" si="4"/>
        <v>159090.90909090909</v>
      </c>
      <c r="Q16" s="57">
        <v>161428.57142857142</v>
      </c>
      <c r="R16" s="32"/>
      <c r="S16" s="32"/>
      <c r="T16" s="103">
        <f>T46*10^6/T22</f>
        <v>160027.85515320333</v>
      </c>
      <c r="U16" s="32"/>
      <c r="V16" s="32"/>
      <c r="W16" s="32"/>
      <c r="X16" s="32"/>
      <c r="Y16" s="32"/>
      <c r="Z16" s="32"/>
      <c r="AA16" s="6"/>
      <c r="AB16" s="57">
        <f>T16</f>
        <v>160027.85515320333</v>
      </c>
    </row>
    <row r="17" spans="2:28" hidden="1" x14ac:dyDescent="0.35">
      <c r="B17" s="27" t="s">
        <v>301</v>
      </c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31"/>
      <c r="R17" s="32"/>
      <c r="S17" s="32"/>
      <c r="T17" s="103"/>
      <c r="U17" s="32"/>
      <c r="V17" s="32"/>
      <c r="W17" s="32"/>
      <c r="X17" s="32"/>
      <c r="Y17" s="32"/>
      <c r="Z17" s="32"/>
      <c r="AA17" s="6"/>
      <c r="AB17" s="73"/>
    </row>
    <row r="18" spans="2:28" ht="13.5" hidden="1" x14ac:dyDescent="0.35">
      <c r="B18" s="45"/>
      <c r="E18" s="2" t="s">
        <v>6</v>
      </c>
      <c r="F18" s="57">
        <v>257</v>
      </c>
      <c r="G18" s="57">
        <v>402</v>
      </c>
      <c r="H18" s="57">
        <v>460</v>
      </c>
      <c r="I18" s="57">
        <v>538</v>
      </c>
      <c r="J18" s="57">
        <v>463</v>
      </c>
      <c r="K18" s="57">
        <v>437</v>
      </c>
      <c r="L18" s="57">
        <v>449</v>
      </c>
      <c r="M18" s="57">
        <v>358</v>
      </c>
      <c r="N18" s="57">
        <v>373</v>
      </c>
      <c r="O18" s="57">
        <v>353</v>
      </c>
      <c r="P18" s="57">
        <v>327</v>
      </c>
      <c r="Q18" s="57">
        <v>374</v>
      </c>
      <c r="R18" s="32"/>
      <c r="S18" s="32"/>
      <c r="T18" s="103">
        <f>SUM(F18:Q18)</f>
        <v>4791</v>
      </c>
      <c r="U18" s="32"/>
      <c r="V18" s="32"/>
      <c r="W18" s="32"/>
      <c r="X18" s="32"/>
      <c r="Y18" s="32"/>
      <c r="Z18" s="32"/>
      <c r="AA18" s="6"/>
      <c r="AB18" s="62">
        <f>AB95</f>
        <v>5440</v>
      </c>
    </row>
    <row r="19" spans="2:28" ht="13.5" hidden="1" x14ac:dyDescent="0.35">
      <c r="B19" s="45"/>
      <c r="E19" s="2" t="s">
        <v>7</v>
      </c>
      <c r="F19" s="57">
        <v>7</v>
      </c>
      <c r="G19" s="57">
        <v>16</v>
      </c>
      <c r="H19" s="57">
        <v>17</v>
      </c>
      <c r="I19" s="57">
        <v>37</v>
      </c>
      <c r="J19" s="57">
        <v>22</v>
      </c>
      <c r="K19" s="57">
        <v>18</v>
      </c>
      <c r="L19" s="57">
        <v>21</v>
      </c>
      <c r="M19" s="57">
        <v>28</v>
      </c>
      <c r="N19" s="57">
        <v>20</v>
      </c>
      <c r="O19" s="57">
        <v>18</v>
      </c>
      <c r="P19" s="57">
        <v>17</v>
      </c>
      <c r="Q19" s="57">
        <v>16</v>
      </c>
      <c r="R19" s="32"/>
      <c r="S19" s="32"/>
      <c r="T19" s="103">
        <f>SUM(F19:Q19)</f>
        <v>237</v>
      </c>
      <c r="U19" s="32"/>
      <c r="V19" s="32"/>
      <c r="W19" s="32"/>
      <c r="X19" s="32"/>
      <c r="Y19" s="32"/>
      <c r="Z19" s="32"/>
      <c r="AA19" s="6"/>
      <c r="AB19" s="62">
        <f>AB96</f>
        <v>444</v>
      </c>
    </row>
    <row r="20" spans="2:28" ht="13.5" hidden="1" x14ac:dyDescent="0.35">
      <c r="B20" s="45"/>
      <c r="E20" s="2" t="s">
        <v>8</v>
      </c>
      <c r="F20" s="57">
        <v>108</v>
      </c>
      <c r="G20" s="57">
        <v>143</v>
      </c>
      <c r="H20" s="57">
        <v>166</v>
      </c>
      <c r="I20" s="57">
        <v>201</v>
      </c>
      <c r="J20" s="57">
        <v>134</v>
      </c>
      <c r="K20" s="57">
        <v>106</v>
      </c>
      <c r="L20" s="57">
        <v>81</v>
      </c>
      <c r="M20" s="57">
        <v>76</v>
      </c>
      <c r="N20" s="57">
        <v>82</v>
      </c>
      <c r="O20" s="57">
        <v>92</v>
      </c>
      <c r="P20" s="58">
        <v>83</v>
      </c>
      <c r="Q20" s="58">
        <v>109</v>
      </c>
      <c r="R20" s="32"/>
      <c r="S20" s="32"/>
      <c r="T20" s="103">
        <f>SUM(F20:Q20)</f>
        <v>1381</v>
      </c>
      <c r="U20" s="32"/>
      <c r="V20" s="32"/>
      <c r="W20" s="32"/>
      <c r="X20" s="32"/>
      <c r="Y20" s="32"/>
      <c r="Z20" s="32"/>
      <c r="AA20" s="6"/>
      <c r="AB20" s="62">
        <f>AB97</f>
        <v>2332.7999999999997</v>
      </c>
    </row>
    <row r="21" spans="2:28" ht="13.5" hidden="1" x14ac:dyDescent="0.35">
      <c r="B21" s="45"/>
      <c r="E21" s="2" t="s">
        <v>9</v>
      </c>
      <c r="F21" s="57">
        <v>58</v>
      </c>
      <c r="G21" s="57">
        <v>83</v>
      </c>
      <c r="H21" s="57">
        <v>147</v>
      </c>
      <c r="I21" s="57">
        <v>228</v>
      </c>
      <c r="J21" s="57">
        <v>168</v>
      </c>
      <c r="K21" s="57">
        <v>188</v>
      </c>
      <c r="L21" s="57">
        <v>203</v>
      </c>
      <c r="M21" s="57">
        <v>155</v>
      </c>
      <c r="N21" s="57">
        <v>167</v>
      </c>
      <c r="O21" s="57">
        <v>144</v>
      </c>
      <c r="P21" s="57">
        <v>187</v>
      </c>
      <c r="Q21" s="57">
        <v>150</v>
      </c>
      <c r="R21" s="32"/>
      <c r="S21" s="32"/>
      <c r="T21" s="103">
        <f>SUM(F21:Q21)</f>
        <v>1878</v>
      </c>
      <c r="U21" s="32"/>
      <c r="V21" s="32"/>
      <c r="W21" s="32"/>
      <c r="X21" s="32"/>
      <c r="Y21" s="32"/>
      <c r="Z21" s="32"/>
      <c r="AA21" s="6"/>
      <c r="AB21" s="62">
        <f>AB98</f>
        <v>2736</v>
      </c>
    </row>
    <row r="22" spans="2:28" ht="13.5" hidden="1" x14ac:dyDescent="0.35">
      <c r="B22" s="45"/>
      <c r="E22" s="2" t="s">
        <v>10</v>
      </c>
      <c r="F22" s="57">
        <v>36</v>
      </c>
      <c r="G22" s="57">
        <v>72</v>
      </c>
      <c r="H22" s="57">
        <v>67</v>
      </c>
      <c r="I22" s="57">
        <v>57</v>
      </c>
      <c r="J22" s="57">
        <v>42</v>
      </c>
      <c r="K22" s="57">
        <v>38</v>
      </c>
      <c r="L22" s="58">
        <v>85</v>
      </c>
      <c r="M22" s="57">
        <v>46</v>
      </c>
      <c r="N22" s="57">
        <v>79</v>
      </c>
      <c r="O22" s="57">
        <v>82</v>
      </c>
      <c r="P22" s="57">
        <v>44</v>
      </c>
      <c r="Q22" s="57">
        <v>70</v>
      </c>
      <c r="R22" s="32"/>
      <c r="S22" s="32"/>
      <c r="T22" s="103">
        <f>SUM(F22:Q22)</f>
        <v>718</v>
      </c>
      <c r="U22" s="32"/>
      <c r="V22" s="32"/>
      <c r="W22" s="32"/>
      <c r="X22" s="32"/>
      <c r="Y22" s="32"/>
      <c r="Z22" s="32"/>
      <c r="AA22" s="6"/>
      <c r="AB22" s="62">
        <f>AB99</f>
        <v>1020</v>
      </c>
    </row>
    <row r="23" spans="2:28" hidden="1" x14ac:dyDescent="0.35">
      <c r="B23" s="27" t="s">
        <v>416</v>
      </c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31"/>
      <c r="R23" s="32"/>
      <c r="S23" s="32"/>
      <c r="T23" s="103"/>
      <c r="U23" s="32"/>
      <c r="V23" s="32"/>
      <c r="W23" s="32"/>
      <c r="X23" s="32"/>
      <c r="Y23" s="32"/>
      <c r="Z23" s="32"/>
      <c r="AA23" s="6"/>
      <c r="AB23" s="73"/>
    </row>
    <row r="24" spans="2:28" ht="13.5" hidden="1" x14ac:dyDescent="0.35">
      <c r="B24" s="45"/>
      <c r="D24" s="2" t="s">
        <v>23</v>
      </c>
      <c r="F24" s="278"/>
      <c r="G24" s="277"/>
      <c r="H24" s="277"/>
      <c r="I24" s="277"/>
      <c r="J24" s="277"/>
      <c r="K24" s="277"/>
      <c r="L24" s="277"/>
      <c r="M24" s="277"/>
      <c r="N24" s="277"/>
      <c r="O24" s="277"/>
      <c r="P24" s="277"/>
      <c r="Q24" s="31"/>
      <c r="R24" s="32"/>
      <c r="S24" s="32"/>
      <c r="T24" s="32"/>
      <c r="U24" s="32"/>
      <c r="V24" s="32"/>
      <c r="W24" s="32"/>
      <c r="X24" s="32"/>
      <c r="Y24" s="32"/>
      <c r="Z24" s="32"/>
      <c r="AA24" s="6"/>
      <c r="AB24" s="73"/>
    </row>
    <row r="25" spans="2:28" ht="13.5" hidden="1" x14ac:dyDescent="0.35">
      <c r="B25" s="45"/>
      <c r="E25" s="2" t="s">
        <v>6</v>
      </c>
      <c r="F25" s="300"/>
      <c r="G25" s="277"/>
      <c r="H25" s="277"/>
      <c r="I25" s="277"/>
      <c r="J25" s="277"/>
      <c r="K25" s="277"/>
      <c r="L25" s="277"/>
      <c r="M25" s="277"/>
      <c r="N25" s="277"/>
      <c r="O25" s="277"/>
      <c r="P25" s="277"/>
      <c r="Q25" s="31"/>
      <c r="R25" s="301">
        <v>66943.206007241359</v>
      </c>
      <c r="S25" s="32"/>
      <c r="U25" s="32"/>
      <c r="V25" s="32"/>
      <c r="W25" s="32"/>
      <c r="X25" s="32"/>
      <c r="Y25" s="32"/>
      <c r="Z25" s="32"/>
      <c r="AA25" s="6"/>
      <c r="AB25" s="73"/>
    </row>
    <row r="26" spans="2:28" ht="13.5" hidden="1" x14ac:dyDescent="0.35">
      <c r="B26" s="45"/>
      <c r="E26" s="2" t="s">
        <v>7</v>
      </c>
      <c r="F26" s="300"/>
      <c r="G26" s="277"/>
      <c r="H26" s="277"/>
      <c r="I26" s="277"/>
      <c r="J26" s="277"/>
      <c r="K26" s="277"/>
      <c r="L26" s="277"/>
      <c r="M26" s="277"/>
      <c r="N26" s="277"/>
      <c r="O26" s="277"/>
      <c r="P26" s="277"/>
      <c r="Q26" s="31"/>
      <c r="R26" s="301">
        <v>32967.486060552445</v>
      </c>
      <c r="S26" s="32"/>
      <c r="U26" s="32"/>
      <c r="V26" s="32"/>
      <c r="W26" s="32"/>
      <c r="X26" s="32"/>
      <c r="Y26" s="32"/>
      <c r="Z26" s="32"/>
      <c r="AA26" s="6"/>
      <c r="AB26" s="73"/>
    </row>
    <row r="27" spans="2:28" ht="13.5" hidden="1" x14ac:dyDescent="0.35">
      <c r="B27" s="45"/>
      <c r="E27" s="2" t="s">
        <v>8</v>
      </c>
      <c r="F27" s="300"/>
      <c r="G27" s="277"/>
      <c r="H27" s="277"/>
      <c r="I27" s="277"/>
      <c r="J27" s="277"/>
      <c r="K27" s="277"/>
      <c r="L27" s="277"/>
      <c r="M27" s="277"/>
      <c r="N27" s="277"/>
      <c r="O27" s="277"/>
      <c r="P27" s="277"/>
      <c r="Q27" s="31"/>
      <c r="R27" s="301">
        <v>73748.968042822846</v>
      </c>
      <c r="S27" s="32"/>
      <c r="U27" s="32"/>
      <c r="V27" s="32"/>
      <c r="W27" s="32"/>
      <c r="X27" s="32"/>
      <c r="Y27" s="32"/>
      <c r="Z27" s="32"/>
      <c r="AA27" s="6"/>
      <c r="AB27" s="73"/>
    </row>
    <row r="28" spans="2:28" ht="13.5" hidden="1" x14ac:dyDescent="0.35">
      <c r="B28" s="45"/>
      <c r="E28" s="2" t="s">
        <v>9</v>
      </c>
      <c r="F28" s="300"/>
      <c r="G28" s="277"/>
      <c r="H28" s="277"/>
      <c r="I28" s="277"/>
      <c r="J28" s="277"/>
      <c r="K28" s="277"/>
      <c r="L28" s="277"/>
      <c r="M28" s="277"/>
      <c r="N28" s="277"/>
      <c r="O28" s="277"/>
      <c r="P28" s="277"/>
      <c r="Q28" s="31"/>
      <c r="R28" s="301">
        <v>22816.038371701263</v>
      </c>
      <c r="S28" s="32"/>
      <c r="U28" s="32"/>
      <c r="V28" s="32"/>
      <c r="W28" s="32"/>
      <c r="X28" s="32"/>
      <c r="Y28" s="32"/>
      <c r="Z28" s="32"/>
      <c r="AA28" s="6"/>
      <c r="AB28" s="73"/>
    </row>
    <row r="29" spans="2:28" ht="13.5" hidden="1" x14ac:dyDescent="0.35">
      <c r="B29" s="45"/>
      <c r="E29" s="2" t="s">
        <v>10</v>
      </c>
      <c r="F29" s="300"/>
      <c r="G29" s="277"/>
      <c r="H29" s="277"/>
      <c r="I29" s="277"/>
      <c r="J29" s="277"/>
      <c r="K29" s="277"/>
      <c r="L29" s="277"/>
      <c r="M29" s="277"/>
      <c r="N29" s="277"/>
      <c r="O29" s="277"/>
      <c r="P29" s="277"/>
      <c r="Q29" s="31"/>
      <c r="R29" s="301">
        <v>7348.1512189234854</v>
      </c>
      <c r="S29" s="32"/>
      <c r="U29" s="32"/>
      <c r="V29" s="32"/>
      <c r="W29" s="32"/>
      <c r="X29" s="32"/>
      <c r="Y29" s="32"/>
      <c r="Z29" s="32"/>
      <c r="AA29" s="6"/>
      <c r="AB29" s="73"/>
    </row>
    <row r="30" spans="2:28" ht="13.5" hidden="1" x14ac:dyDescent="0.35">
      <c r="B30" s="45"/>
      <c r="D30" s="2" t="s">
        <v>143</v>
      </c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31"/>
      <c r="R30" s="32"/>
      <c r="S30" s="32"/>
      <c r="T30" s="32"/>
      <c r="U30" s="32"/>
      <c r="V30" s="32"/>
      <c r="W30" s="32"/>
      <c r="X30" s="32"/>
      <c r="Y30" s="32"/>
      <c r="Z30" s="32"/>
      <c r="AA30" s="6"/>
      <c r="AB30" s="73"/>
    </row>
    <row r="31" spans="2:28" ht="13.5" hidden="1" x14ac:dyDescent="0.35">
      <c r="B31" s="45"/>
      <c r="E31" s="2" t="s">
        <v>6</v>
      </c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31"/>
      <c r="R31" s="32"/>
      <c r="S31" s="32"/>
      <c r="T31" s="32"/>
      <c r="U31" s="32"/>
      <c r="V31" s="32"/>
      <c r="W31" s="32"/>
      <c r="X31" s="32"/>
      <c r="Y31" s="32"/>
      <c r="Z31" s="32"/>
      <c r="AA31" s="6"/>
      <c r="AB31" s="73"/>
    </row>
    <row r="32" spans="2:28" ht="13.5" hidden="1" x14ac:dyDescent="0.35">
      <c r="B32" s="45"/>
      <c r="E32" s="2" t="s">
        <v>7</v>
      </c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77"/>
      <c r="Q32" s="31"/>
      <c r="R32" s="32"/>
      <c r="S32" s="32"/>
      <c r="T32" s="32"/>
      <c r="U32" s="32"/>
      <c r="V32" s="32"/>
      <c r="W32" s="32"/>
      <c r="X32" s="32"/>
      <c r="Y32" s="32"/>
      <c r="Z32" s="32"/>
      <c r="AA32" s="6"/>
      <c r="AB32" s="73"/>
    </row>
    <row r="33" spans="2:28" ht="13.5" hidden="1" x14ac:dyDescent="0.35">
      <c r="B33" s="45"/>
      <c r="E33" s="2" t="s">
        <v>8</v>
      </c>
      <c r="F33" s="277"/>
      <c r="G33" s="277"/>
      <c r="H33" s="277"/>
      <c r="I33" s="277"/>
      <c r="J33" s="277"/>
      <c r="K33" s="277"/>
      <c r="L33" s="277"/>
      <c r="M33" s="277"/>
      <c r="N33" s="277"/>
      <c r="O33" s="277"/>
      <c r="P33" s="277"/>
      <c r="Q33" s="31"/>
      <c r="R33" s="32"/>
      <c r="S33" s="32"/>
      <c r="T33" s="32"/>
      <c r="U33" s="32"/>
      <c r="V33" s="32"/>
      <c r="W33" s="32"/>
      <c r="X33" s="32"/>
      <c r="Y33" s="32"/>
      <c r="Z33" s="32"/>
      <c r="AA33" s="6"/>
      <c r="AB33" s="73"/>
    </row>
    <row r="34" spans="2:28" ht="13.5" hidden="1" x14ac:dyDescent="0.35">
      <c r="B34" s="45"/>
      <c r="E34" s="2" t="s">
        <v>9</v>
      </c>
      <c r="F34" s="277"/>
      <c r="G34" s="277"/>
      <c r="H34" s="277"/>
      <c r="I34" s="277"/>
      <c r="J34" s="277"/>
      <c r="K34" s="277"/>
      <c r="L34" s="277"/>
      <c r="M34" s="277"/>
      <c r="N34" s="277"/>
      <c r="O34" s="277"/>
      <c r="P34" s="277"/>
      <c r="Q34" s="31"/>
      <c r="R34" s="32"/>
      <c r="S34" s="32"/>
      <c r="T34" s="32"/>
      <c r="U34" s="32"/>
      <c r="V34" s="32"/>
      <c r="W34" s="32"/>
      <c r="X34" s="32"/>
      <c r="Y34" s="32"/>
      <c r="Z34" s="32"/>
      <c r="AA34" s="6"/>
      <c r="AB34" s="73"/>
    </row>
    <row r="35" spans="2:28" ht="13.5" hidden="1" x14ac:dyDescent="0.35">
      <c r="B35" s="45"/>
      <c r="E35" s="2" t="s">
        <v>10</v>
      </c>
      <c r="F35" s="277"/>
      <c r="G35" s="277"/>
      <c r="H35" s="277"/>
      <c r="I35" s="277"/>
      <c r="J35" s="277"/>
      <c r="K35" s="277"/>
      <c r="L35" s="277"/>
      <c r="M35" s="277"/>
      <c r="N35" s="277"/>
      <c r="O35" s="277"/>
      <c r="P35" s="277"/>
      <c r="Q35" s="31"/>
      <c r="R35" s="32"/>
      <c r="S35" s="32"/>
      <c r="T35" s="32"/>
      <c r="U35" s="32"/>
      <c r="V35" s="32"/>
      <c r="W35" s="32"/>
      <c r="X35" s="32"/>
      <c r="Y35" s="32"/>
      <c r="Z35" s="32"/>
      <c r="AA35" s="6"/>
      <c r="AB35" s="73"/>
    </row>
    <row r="36" spans="2:28" ht="13.5" hidden="1" x14ac:dyDescent="0.35">
      <c r="B36" s="45"/>
      <c r="D36" s="2" t="s">
        <v>24</v>
      </c>
      <c r="F36" s="277"/>
      <c r="G36" s="277"/>
      <c r="H36" s="277"/>
      <c r="I36" s="277"/>
      <c r="J36" s="277"/>
      <c r="K36" s="277"/>
      <c r="L36" s="277"/>
      <c r="M36" s="277"/>
      <c r="N36" s="277"/>
      <c r="O36" s="277"/>
      <c r="P36" s="277"/>
      <c r="Q36" s="31"/>
      <c r="R36" s="32"/>
      <c r="S36" s="32"/>
      <c r="T36" s="32"/>
      <c r="U36" s="32"/>
      <c r="V36" s="32"/>
      <c r="W36" s="32"/>
      <c r="X36" s="32"/>
      <c r="Y36" s="32"/>
      <c r="Z36" s="32"/>
      <c r="AA36" s="6"/>
      <c r="AB36" s="73"/>
    </row>
    <row r="37" spans="2:28" ht="13.5" hidden="1" x14ac:dyDescent="0.35">
      <c r="B37" s="45"/>
      <c r="D37" s="2" t="s">
        <v>178</v>
      </c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31"/>
      <c r="R37" s="32"/>
      <c r="S37" s="32"/>
      <c r="T37" s="32"/>
      <c r="U37" s="32"/>
      <c r="V37" s="32"/>
      <c r="W37" s="32"/>
      <c r="X37" s="32"/>
      <c r="Y37" s="32"/>
      <c r="Z37" s="32"/>
      <c r="AA37" s="6"/>
      <c r="AB37" s="73"/>
    </row>
    <row r="38" spans="2:28" ht="13.5" hidden="1" x14ac:dyDescent="0.35">
      <c r="B38" s="45"/>
      <c r="D38" s="2" t="s">
        <v>179</v>
      </c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31"/>
      <c r="R38" s="32"/>
      <c r="S38" s="32"/>
      <c r="T38" s="32"/>
      <c r="U38" s="32"/>
      <c r="V38" s="32"/>
      <c r="W38" s="32"/>
      <c r="X38" s="32"/>
      <c r="Y38" s="32"/>
      <c r="Z38" s="32"/>
      <c r="AA38" s="6"/>
      <c r="AB38" s="73"/>
    </row>
    <row r="39" spans="2:28" ht="13.5" hidden="1" x14ac:dyDescent="0.35">
      <c r="B39" s="45"/>
      <c r="D39" s="2" t="s">
        <v>183</v>
      </c>
      <c r="F39" s="277"/>
      <c r="G39" s="277"/>
      <c r="H39" s="277"/>
      <c r="I39" s="277"/>
      <c r="J39" s="277"/>
      <c r="K39" s="277"/>
      <c r="L39" s="277"/>
      <c r="M39" s="277"/>
      <c r="N39" s="277"/>
      <c r="O39" s="277"/>
      <c r="P39" s="277"/>
      <c r="Q39" s="31"/>
      <c r="R39" s="32"/>
      <c r="S39" s="32"/>
      <c r="T39" s="32"/>
      <c r="U39" s="32"/>
      <c r="V39" s="32"/>
      <c r="W39" s="32"/>
      <c r="X39" s="32"/>
      <c r="Y39" s="32"/>
      <c r="Z39" s="32"/>
      <c r="AA39" s="6"/>
      <c r="AB39" s="73"/>
    </row>
    <row r="40" spans="2:28" x14ac:dyDescent="0.35">
      <c r="B40" s="27" t="s">
        <v>11</v>
      </c>
      <c r="D40" s="6"/>
    </row>
    <row r="41" spans="2:28" x14ac:dyDescent="0.35">
      <c r="D41" s="6" t="s">
        <v>12</v>
      </c>
    </row>
    <row r="42" spans="2:28" outlineLevel="1" x14ac:dyDescent="0.35">
      <c r="E42" s="2" t="s">
        <v>6</v>
      </c>
      <c r="F42" s="62">
        <f>480400000/(10^6)</f>
        <v>480.4</v>
      </c>
      <c r="G42" s="62">
        <f>766600000/(10^6)</f>
        <v>766.6</v>
      </c>
      <c r="H42" s="62">
        <f>864000000/(10^6)</f>
        <v>864</v>
      </c>
      <c r="I42" s="62">
        <f>1002400000/(10^6)</f>
        <v>1002.4</v>
      </c>
      <c r="J42" s="62">
        <f>860400000/(10^6)</f>
        <v>860.4</v>
      </c>
      <c r="K42" s="62">
        <f>801600000/(10^6)</f>
        <v>801.6</v>
      </c>
      <c r="L42" s="62">
        <f>845200000/(10^6)</f>
        <v>845.2</v>
      </c>
      <c r="M42" s="62">
        <f>676400000/(10^6)</f>
        <v>676.4</v>
      </c>
      <c r="N42" s="62">
        <f>707300000/(10^6)</f>
        <v>707.3</v>
      </c>
      <c r="O42" s="62">
        <f>659800000/(10^6)</f>
        <v>659.8</v>
      </c>
      <c r="P42" s="62">
        <f>625800000/(10^6)</f>
        <v>625.79999999999995</v>
      </c>
      <c r="Q42" s="238">
        <v>700.4</v>
      </c>
      <c r="R42" s="62">
        <f t="shared" ref="R42:R47" si="5">SUMIFS($F42:$Q42,$F$7:$Q$7,"A")</f>
        <v>8990.2999999999993</v>
      </c>
      <c r="S42" s="62">
        <f t="shared" ref="S42:S47" si="6">SUMIFS($F42:$Q42,$F$7:$Q$7,"B")</f>
        <v>0</v>
      </c>
      <c r="T42" s="57">
        <f t="shared" ref="T42:T47" si="7">SUM(R42:S42)</f>
        <v>8990.2999999999993</v>
      </c>
      <c r="U42" s="96">
        <f>IFERROR(R42/R$47,"")</f>
        <v>0.80621093504793162</v>
      </c>
      <c r="V42" s="96" t="str">
        <f t="shared" ref="V42:W57" si="8">IFERROR(S42/S$47,"")</f>
        <v/>
      </c>
      <c r="W42" s="96">
        <f t="shared" si="8"/>
        <v>0.80621093504793162</v>
      </c>
      <c r="X42" s="96"/>
      <c r="Y42" s="96"/>
      <c r="Z42" s="97">
        <v>0.05</v>
      </c>
      <c r="AA42" s="2" t="s">
        <v>200</v>
      </c>
      <c r="AB42" s="57">
        <f>AB12*AB18/10^6</f>
        <v>10208.146942183261</v>
      </c>
    </row>
    <row r="43" spans="2:28" ht="14.25" outlineLevel="1" x14ac:dyDescent="0.45">
      <c r="E43" s="2" t="s">
        <v>7</v>
      </c>
      <c r="F43" s="57">
        <v>4</v>
      </c>
      <c r="G43" s="57">
        <v>9.5</v>
      </c>
      <c r="H43" s="63">
        <v>8.5</v>
      </c>
      <c r="I43" s="57">
        <v>20.5</v>
      </c>
      <c r="J43" s="57">
        <v>11</v>
      </c>
      <c r="K43" s="57">
        <v>10.8</v>
      </c>
      <c r="L43" s="57">
        <v>10.5</v>
      </c>
      <c r="M43" s="57">
        <v>14</v>
      </c>
      <c r="N43" s="57">
        <v>10</v>
      </c>
      <c r="O43" s="57">
        <v>9</v>
      </c>
      <c r="P43" s="57">
        <v>8.5</v>
      </c>
      <c r="Q43" s="238">
        <v>8</v>
      </c>
      <c r="R43" s="62">
        <f t="shared" si="5"/>
        <v>124.3</v>
      </c>
      <c r="S43" s="62">
        <f t="shared" si="6"/>
        <v>0</v>
      </c>
      <c r="T43" s="57">
        <f t="shared" si="7"/>
        <v>124.3</v>
      </c>
      <c r="U43" s="96">
        <f t="shared" ref="U43:U88" si="9">IFERROR(R43/R$47,"")</f>
        <v>1.114668244957987E-2</v>
      </c>
      <c r="V43" s="96" t="str">
        <f t="shared" si="8"/>
        <v/>
      </c>
      <c r="W43" s="96">
        <f t="shared" si="8"/>
        <v>1.114668244957987E-2</v>
      </c>
      <c r="X43" s="96"/>
      <c r="Y43" s="96"/>
      <c r="Z43" s="97">
        <v>0.05</v>
      </c>
      <c r="AA43" s="2" t="s">
        <v>200</v>
      </c>
      <c r="AB43" s="57">
        <f>AB13*AB19/10^6</f>
        <v>232.86582278481015</v>
      </c>
    </row>
    <row r="44" spans="2:28" outlineLevel="1" x14ac:dyDescent="0.35">
      <c r="E44" s="2" t="s">
        <v>8</v>
      </c>
      <c r="F44" s="62">
        <f>125800000/(10^6)</f>
        <v>125.8</v>
      </c>
      <c r="G44" s="62">
        <f>171000000/(10^6)</f>
        <v>171</v>
      </c>
      <c r="H44" s="62">
        <f>199500000/(10^6)</f>
        <v>199.5</v>
      </c>
      <c r="I44" s="62">
        <f>239500000/(10^6)</f>
        <v>239.5</v>
      </c>
      <c r="J44" s="62">
        <f>155500000/(10^6)</f>
        <v>155.5</v>
      </c>
      <c r="K44" s="62">
        <f>118500000/(10^6)</f>
        <v>118.5</v>
      </c>
      <c r="L44" s="62">
        <f>94500000/(10^6)</f>
        <v>94.5</v>
      </c>
      <c r="M44" s="62">
        <f>93000000/(10^6)</f>
        <v>93</v>
      </c>
      <c r="N44" s="62">
        <f>91000000/(10^6)</f>
        <v>91</v>
      </c>
      <c r="O44" s="62">
        <f>113300000/(10^6)</f>
        <v>113.3</v>
      </c>
      <c r="P44" s="62">
        <f>106800000/(10^6)</f>
        <v>106.8</v>
      </c>
      <c r="Q44" s="238">
        <v>134.9</v>
      </c>
      <c r="R44" s="62">
        <f t="shared" si="5"/>
        <v>1643.3</v>
      </c>
      <c r="S44" s="62">
        <f t="shared" si="6"/>
        <v>0</v>
      </c>
      <c r="T44" s="57">
        <f t="shared" si="7"/>
        <v>1643.3</v>
      </c>
      <c r="U44" s="96">
        <f t="shared" si="9"/>
        <v>0.14736398446817861</v>
      </c>
      <c r="V44" s="96" t="str">
        <f t="shared" si="8"/>
        <v/>
      </c>
      <c r="W44" s="96">
        <f t="shared" si="8"/>
        <v>0.14736398446817861</v>
      </c>
      <c r="X44" s="96"/>
      <c r="Y44" s="96"/>
      <c r="Z44" s="97">
        <v>0.05</v>
      </c>
      <c r="AA44" s="2" t="s">
        <v>200</v>
      </c>
      <c r="AB44" s="57">
        <f>AB14*AB20/10^6</f>
        <v>2775.879971035481</v>
      </c>
    </row>
    <row r="45" spans="2:28" outlineLevel="1" x14ac:dyDescent="0.35">
      <c r="E45" s="2" t="s">
        <v>9</v>
      </c>
      <c r="F45" s="62">
        <f>8350000/(10^6)</f>
        <v>8.35</v>
      </c>
      <c r="G45" s="62">
        <f>11000000/(10^6)</f>
        <v>11</v>
      </c>
      <c r="H45" s="62">
        <f>23600000/(10^6)</f>
        <v>23.6</v>
      </c>
      <c r="I45" s="62">
        <f>30750000/(10^6)</f>
        <v>30.75</v>
      </c>
      <c r="J45" s="62">
        <f>23100000/(10^6)</f>
        <v>23.1</v>
      </c>
      <c r="K45" s="62">
        <f>25150000/(10^6)</f>
        <v>25.15</v>
      </c>
      <c r="L45" s="62">
        <f>31350000/(10^6)</f>
        <v>31.35</v>
      </c>
      <c r="M45" s="62">
        <f>23750000/(10^6)</f>
        <v>23.75</v>
      </c>
      <c r="N45" s="62">
        <f>28500000/(10^6)</f>
        <v>28.5</v>
      </c>
      <c r="O45" s="62">
        <f>22700000/(10^6)</f>
        <v>22.7</v>
      </c>
      <c r="P45" s="62">
        <f>27750000/(10^6)</f>
        <v>27.75</v>
      </c>
      <c r="Q45" s="238">
        <v>22.5</v>
      </c>
      <c r="R45" s="62">
        <f t="shared" si="5"/>
        <v>278.5</v>
      </c>
      <c r="S45" s="62">
        <f t="shared" si="6"/>
        <v>0</v>
      </c>
      <c r="T45" s="57">
        <f t="shared" si="7"/>
        <v>278.5</v>
      </c>
      <c r="U45" s="96">
        <f t="shared" si="9"/>
        <v>2.4974666630796411E-2</v>
      </c>
      <c r="V45" s="96" t="str">
        <f t="shared" si="8"/>
        <v/>
      </c>
      <c r="W45" s="96">
        <f t="shared" si="8"/>
        <v>2.4974666630796411E-2</v>
      </c>
      <c r="X45" s="96"/>
      <c r="Y45" s="96"/>
      <c r="Z45" s="97">
        <v>0.05</v>
      </c>
      <c r="AA45" s="2" t="s">
        <v>200</v>
      </c>
      <c r="AB45" s="57">
        <f>AB15*AB21/10^6</f>
        <v>405.73801916932905</v>
      </c>
    </row>
    <row r="46" spans="2:28" outlineLevel="1" x14ac:dyDescent="0.35">
      <c r="E46" s="2" t="s">
        <v>10</v>
      </c>
      <c r="F46" s="62">
        <f>5000000/(10^6)</f>
        <v>5</v>
      </c>
      <c r="G46" s="62">
        <f>11100000/(10^6)</f>
        <v>11.1</v>
      </c>
      <c r="H46" s="62">
        <f>10600000/(10^6)</f>
        <v>10.6</v>
      </c>
      <c r="I46" s="62">
        <f>9050000/(10^6)</f>
        <v>9.0500000000000007</v>
      </c>
      <c r="J46" s="62">
        <f>7150000/(10^6)</f>
        <v>7.15</v>
      </c>
      <c r="K46" s="62">
        <f>6550000/(10^6)</f>
        <v>6.55</v>
      </c>
      <c r="L46" s="62">
        <f>13900000/(10^6)</f>
        <v>13.9</v>
      </c>
      <c r="M46" s="62">
        <f>7450000/(10^6)</f>
        <v>7.45</v>
      </c>
      <c r="N46" s="62">
        <f>12300000/(10^6)</f>
        <v>12.3</v>
      </c>
      <c r="O46" s="62">
        <f>13500000/(10^6)</f>
        <v>13.5</v>
      </c>
      <c r="P46" s="62">
        <f>7000000/(10^6)</f>
        <v>7</v>
      </c>
      <c r="Q46" s="238">
        <v>11.3</v>
      </c>
      <c r="R46" s="62">
        <f t="shared" si="5"/>
        <v>114.89999999999999</v>
      </c>
      <c r="S46" s="62">
        <f t="shared" si="6"/>
        <v>0</v>
      </c>
      <c r="T46" s="57">
        <f t="shared" si="7"/>
        <v>114.89999999999999</v>
      </c>
      <c r="U46" s="96">
        <f t="shared" si="9"/>
        <v>1.0303731403513492E-2</v>
      </c>
      <c r="V46" s="96" t="str">
        <f t="shared" si="8"/>
        <v/>
      </c>
      <c r="W46" s="96">
        <f t="shared" si="8"/>
        <v>1.0303731403513492E-2</v>
      </c>
      <c r="X46" s="96"/>
      <c r="Y46" s="96"/>
      <c r="Z46" s="97">
        <v>0.05</v>
      </c>
      <c r="AA46" s="2" t="s">
        <v>200</v>
      </c>
      <c r="AB46" s="57">
        <f>AB16*AB22/10^6</f>
        <v>163.2284122562674</v>
      </c>
    </row>
    <row r="47" spans="2:28" x14ac:dyDescent="0.35">
      <c r="D47" s="65" t="s">
        <v>13</v>
      </c>
      <c r="E47" s="66"/>
      <c r="F47" s="67">
        <f>SUM(F42:F46)</f>
        <v>623.54999999999995</v>
      </c>
      <c r="G47" s="67">
        <f t="shared" ref="G47:P47" si="10">SUM(G42:G46)</f>
        <v>969.2</v>
      </c>
      <c r="H47" s="67">
        <f t="shared" si="10"/>
        <v>1106.1999999999998</v>
      </c>
      <c r="I47" s="67">
        <f t="shared" si="10"/>
        <v>1302.2</v>
      </c>
      <c r="J47" s="67">
        <f t="shared" si="10"/>
        <v>1057.1500000000001</v>
      </c>
      <c r="K47" s="67">
        <f t="shared" si="10"/>
        <v>962.59999999999991</v>
      </c>
      <c r="L47" s="67">
        <f t="shared" si="10"/>
        <v>995.45</v>
      </c>
      <c r="M47" s="67">
        <f t="shared" si="10"/>
        <v>814.6</v>
      </c>
      <c r="N47" s="67">
        <f t="shared" si="10"/>
        <v>849.09999999999991</v>
      </c>
      <c r="O47" s="67">
        <f t="shared" si="10"/>
        <v>818.3</v>
      </c>
      <c r="P47" s="67">
        <f t="shared" si="10"/>
        <v>775.84999999999991</v>
      </c>
      <c r="Q47" s="67">
        <f>SUM(Q42:Q46)</f>
        <v>877.09999999999991</v>
      </c>
      <c r="R47" s="67">
        <f t="shared" si="5"/>
        <v>11151.3</v>
      </c>
      <c r="S47" s="67">
        <f t="shared" si="6"/>
        <v>0</v>
      </c>
      <c r="T47" s="72">
        <f t="shared" si="7"/>
        <v>11151.3</v>
      </c>
      <c r="U47" s="98">
        <f t="shared" si="9"/>
        <v>1</v>
      </c>
      <c r="V47" s="98" t="str">
        <f t="shared" si="8"/>
        <v/>
      </c>
      <c r="W47" s="98">
        <f t="shared" si="8"/>
        <v>1</v>
      </c>
      <c r="X47" s="98"/>
      <c r="Y47" s="98"/>
      <c r="Z47" s="70"/>
      <c r="AA47" s="70"/>
      <c r="AB47" s="72">
        <f>SUM(AB42:AB46)</f>
        <v>13785.859167429147</v>
      </c>
    </row>
    <row r="48" spans="2:28" ht="13.15" thickBot="1" x14ac:dyDescent="0.4">
      <c r="B48" s="29"/>
      <c r="C48" s="29"/>
      <c r="D48" s="68" t="s">
        <v>19</v>
      </c>
      <c r="E48" s="68"/>
      <c r="F48" s="69">
        <v>0</v>
      </c>
      <c r="G48" s="69">
        <v>0.5</v>
      </c>
      <c r="H48" s="69">
        <v>1.05</v>
      </c>
      <c r="I48" s="69">
        <v>1.6</v>
      </c>
      <c r="J48" s="69">
        <v>0.5</v>
      </c>
      <c r="K48" s="69">
        <v>0.5</v>
      </c>
      <c r="L48" s="69">
        <v>0.5</v>
      </c>
      <c r="M48" s="69">
        <v>2.15</v>
      </c>
      <c r="N48" s="69">
        <v>3.65</v>
      </c>
      <c r="O48" s="69">
        <v>7.92</v>
      </c>
      <c r="P48" s="69">
        <v>0</v>
      </c>
      <c r="Q48" s="69">
        <v>0.55000000000000004</v>
      </c>
      <c r="R48" s="425">
        <f t="shared" ref="R48:R72" si="11">SUMIFS($F48:$Q48,$F$7:$Q$7,"A")</f>
        <v>18.920000000000002</v>
      </c>
      <c r="S48" s="425">
        <f t="shared" ref="S48:S72" si="12">SUMIFS($F48:$Q48,$F$7:$Q$7,"B")</f>
        <v>0</v>
      </c>
      <c r="T48" s="425">
        <f t="shared" ref="T48:T72" si="13">SUM(R48:S48)</f>
        <v>18.920000000000002</v>
      </c>
      <c r="U48" s="422">
        <f t="shared" si="9"/>
        <v>1.6966631693165822E-3</v>
      </c>
      <c r="V48" s="99" t="str">
        <f t="shared" si="8"/>
        <v/>
      </c>
      <c r="W48" s="99">
        <f t="shared" si="8"/>
        <v>1.6966631693165822E-3</v>
      </c>
      <c r="X48" s="99"/>
      <c r="Y48" s="99"/>
      <c r="Z48" s="100"/>
      <c r="AA48" s="100"/>
      <c r="AB48" s="106">
        <v>0</v>
      </c>
    </row>
    <row r="49" spans="2:28" x14ac:dyDescent="0.35">
      <c r="B49" s="27" t="s">
        <v>20</v>
      </c>
      <c r="F49" s="71">
        <f t="shared" ref="F49:Q49" si="14">SUM(F47,F48)</f>
        <v>623.54999999999995</v>
      </c>
      <c r="G49" s="71">
        <f t="shared" si="14"/>
        <v>969.7</v>
      </c>
      <c r="H49" s="71">
        <f t="shared" si="14"/>
        <v>1107.2499999999998</v>
      </c>
      <c r="I49" s="71">
        <f t="shared" si="14"/>
        <v>1303.8</v>
      </c>
      <c r="J49" s="71">
        <f t="shared" si="14"/>
        <v>1057.6500000000001</v>
      </c>
      <c r="K49" s="71">
        <f t="shared" si="14"/>
        <v>963.09999999999991</v>
      </c>
      <c r="L49" s="71">
        <f t="shared" si="14"/>
        <v>995.95</v>
      </c>
      <c r="M49" s="71">
        <f t="shared" si="14"/>
        <v>816.75</v>
      </c>
      <c r="N49" s="71">
        <f t="shared" si="14"/>
        <v>852.74999999999989</v>
      </c>
      <c r="O49" s="71">
        <f t="shared" si="14"/>
        <v>826.21999999999991</v>
      </c>
      <c r="P49" s="71">
        <f t="shared" si="14"/>
        <v>775.84999999999991</v>
      </c>
      <c r="Q49" s="71">
        <f t="shared" si="14"/>
        <v>877.64999999999986</v>
      </c>
      <c r="R49" s="71">
        <f t="shared" si="11"/>
        <v>11170.22</v>
      </c>
      <c r="S49" s="71">
        <f t="shared" si="12"/>
        <v>0</v>
      </c>
      <c r="T49" s="71">
        <f t="shared" si="13"/>
        <v>11170.22</v>
      </c>
      <c r="U49" s="96">
        <f t="shared" si="9"/>
        <v>1.0016966631693165</v>
      </c>
      <c r="V49" s="96" t="str">
        <f t="shared" si="8"/>
        <v/>
      </c>
      <c r="W49" s="96">
        <f t="shared" si="8"/>
        <v>1.0016966631693165</v>
      </c>
      <c r="X49" s="96"/>
      <c r="Y49" s="96"/>
      <c r="AB49" s="71">
        <f>SUM(AB47,AB48)</f>
        <v>13785.859167429147</v>
      </c>
    </row>
    <row r="50" spans="2:28" x14ac:dyDescent="0.35">
      <c r="B50" s="472" t="s">
        <v>21</v>
      </c>
      <c r="C50" s="73"/>
      <c r="D50" s="73"/>
      <c r="E50" s="73"/>
      <c r="F50" s="468">
        <f>SUM(F51:F55)</f>
        <v>0</v>
      </c>
      <c r="G50" s="468">
        <f t="shared" ref="G50:Q50" si="15">SUM(G51:G55)</f>
        <v>0</v>
      </c>
      <c r="H50" s="468">
        <f t="shared" si="15"/>
        <v>4.25</v>
      </c>
      <c r="I50" s="468">
        <f t="shared" si="15"/>
        <v>7.59</v>
      </c>
      <c r="J50" s="468">
        <f t="shared" si="15"/>
        <v>8.27</v>
      </c>
      <c r="K50" s="468">
        <f t="shared" si="15"/>
        <v>6.72</v>
      </c>
      <c r="L50" s="468">
        <f t="shared" si="15"/>
        <v>0</v>
      </c>
      <c r="M50" s="468">
        <f t="shared" si="15"/>
        <v>6.96</v>
      </c>
      <c r="N50" s="468">
        <f t="shared" si="15"/>
        <v>4.8250000000000002</v>
      </c>
      <c r="O50" s="468">
        <f t="shared" si="15"/>
        <v>2.2999999999999998</v>
      </c>
      <c r="P50" s="468">
        <f t="shared" si="15"/>
        <v>13.24</v>
      </c>
      <c r="Q50" s="468">
        <f t="shared" si="15"/>
        <v>18.28</v>
      </c>
      <c r="R50" s="468">
        <f t="shared" si="11"/>
        <v>72.435000000000002</v>
      </c>
      <c r="S50" s="468">
        <f t="shared" si="12"/>
        <v>0</v>
      </c>
      <c r="T50" s="469">
        <f t="shared" si="13"/>
        <v>72.435000000000002</v>
      </c>
      <c r="U50" s="471">
        <f t="shared" si="9"/>
        <v>6.495655215087031E-3</v>
      </c>
      <c r="V50" s="470" t="str">
        <f t="shared" si="8"/>
        <v/>
      </c>
      <c r="W50" s="471">
        <f t="shared" si="8"/>
        <v>6.495655215087031E-3</v>
      </c>
      <c r="AB50" s="62">
        <v>0</v>
      </c>
    </row>
    <row r="51" spans="2:28" outlineLevel="1" x14ac:dyDescent="0.35">
      <c r="E51" s="442" t="s">
        <v>6</v>
      </c>
      <c r="F51" s="62">
        <f>0/(10^6)</f>
        <v>0</v>
      </c>
      <c r="G51" s="62">
        <f>0/(10^6)</f>
        <v>0</v>
      </c>
      <c r="H51" s="62">
        <f>4250000/(10^6)</f>
        <v>4.25</v>
      </c>
      <c r="I51" s="62">
        <f>7590000/(10^6)</f>
        <v>7.59</v>
      </c>
      <c r="J51" s="62">
        <f>8270000/(10^6)</f>
        <v>8.27</v>
      </c>
      <c r="K51" s="62">
        <f>6720000/(10^6)</f>
        <v>6.72</v>
      </c>
      <c r="L51" s="62">
        <f>0/(10^6)</f>
        <v>0</v>
      </c>
      <c r="M51" s="62">
        <f>6960000/(10^6)</f>
        <v>6.96</v>
      </c>
      <c r="N51" s="62">
        <f>4825000/(10^6)</f>
        <v>4.8250000000000002</v>
      </c>
      <c r="O51" s="62">
        <f>2300000/(10^6)</f>
        <v>2.2999999999999998</v>
      </c>
      <c r="P51" s="62">
        <f>13240000/(10^6)</f>
        <v>13.24</v>
      </c>
      <c r="Q51" s="62">
        <f>18280000/(10^6)</f>
        <v>18.28</v>
      </c>
      <c r="R51" s="62">
        <f t="shared" si="11"/>
        <v>72.435000000000002</v>
      </c>
      <c r="S51" s="62">
        <f t="shared" si="12"/>
        <v>0</v>
      </c>
      <c r="T51" s="57">
        <f t="shared" ref="T51:T55" si="16">SUM(R51:S51)</f>
        <v>72.435000000000002</v>
      </c>
      <c r="U51" s="201">
        <f>IFERROR(R51/R42,"")</f>
        <v>8.0570170072188918E-3</v>
      </c>
      <c r="V51" s="2" t="str">
        <f>IFERROR(S51/S42,"")</f>
        <v/>
      </c>
      <c r="W51" s="201">
        <f>IFERROR(T51/T42,"")</f>
        <v>8.0570170072188918E-3</v>
      </c>
      <c r="AB51" s="62"/>
    </row>
    <row r="52" spans="2:28" outlineLevel="1" x14ac:dyDescent="0.35">
      <c r="E52" s="442" t="s">
        <v>7</v>
      </c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R52" s="62">
        <f t="shared" si="11"/>
        <v>0</v>
      </c>
      <c r="S52" s="62">
        <f t="shared" si="12"/>
        <v>0</v>
      </c>
      <c r="T52" s="57">
        <f t="shared" si="16"/>
        <v>0</v>
      </c>
      <c r="U52" s="201">
        <f t="shared" ref="U52:W52" si="17">IFERROR(R52/R43,"")</f>
        <v>0</v>
      </c>
      <c r="V52" s="2" t="str">
        <f t="shared" si="17"/>
        <v/>
      </c>
      <c r="W52" s="201">
        <f t="shared" si="17"/>
        <v>0</v>
      </c>
      <c r="AB52" s="62"/>
    </row>
    <row r="53" spans="2:28" outlineLevel="1" x14ac:dyDescent="0.35">
      <c r="E53" s="442" t="s">
        <v>8</v>
      </c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R53" s="62">
        <f t="shared" si="11"/>
        <v>0</v>
      </c>
      <c r="S53" s="62">
        <f t="shared" si="12"/>
        <v>0</v>
      </c>
      <c r="T53" s="57">
        <f t="shared" si="16"/>
        <v>0</v>
      </c>
      <c r="U53" s="201">
        <f t="shared" ref="U53:W53" si="18">IFERROR(R53/R44,"")</f>
        <v>0</v>
      </c>
      <c r="V53" s="2" t="str">
        <f t="shared" si="18"/>
        <v/>
      </c>
      <c r="W53" s="201">
        <f t="shared" si="18"/>
        <v>0</v>
      </c>
      <c r="AB53" s="62"/>
    </row>
    <row r="54" spans="2:28" outlineLevel="1" x14ac:dyDescent="0.35">
      <c r="E54" s="442" t="s">
        <v>9</v>
      </c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R54" s="62">
        <f t="shared" si="11"/>
        <v>0</v>
      </c>
      <c r="S54" s="62">
        <f t="shared" si="12"/>
        <v>0</v>
      </c>
      <c r="T54" s="57">
        <f t="shared" si="16"/>
        <v>0</v>
      </c>
      <c r="U54" s="201">
        <f t="shared" ref="U54:W54" si="19">IFERROR(R54/R45,"")</f>
        <v>0</v>
      </c>
      <c r="V54" s="2" t="str">
        <f t="shared" si="19"/>
        <v/>
      </c>
      <c r="W54" s="201">
        <f t="shared" si="19"/>
        <v>0</v>
      </c>
      <c r="AB54" s="62"/>
    </row>
    <row r="55" spans="2:28" outlineLevel="1" x14ac:dyDescent="0.35">
      <c r="E55" s="442" t="s">
        <v>10</v>
      </c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R55" s="62">
        <f t="shared" si="11"/>
        <v>0</v>
      </c>
      <c r="S55" s="62">
        <f t="shared" si="12"/>
        <v>0</v>
      </c>
      <c r="T55" s="57">
        <f t="shared" si="16"/>
        <v>0</v>
      </c>
      <c r="U55" s="201">
        <f t="shared" ref="U55:W55" si="20">IFERROR(R55/R46,"")</f>
        <v>0</v>
      </c>
      <c r="V55" s="2" t="str">
        <f t="shared" si="20"/>
        <v/>
      </c>
      <c r="W55" s="201">
        <f t="shared" si="20"/>
        <v>0</v>
      </c>
      <c r="AB55" s="62"/>
    </row>
    <row r="56" spans="2:28" x14ac:dyDescent="0.35">
      <c r="B56" s="27" t="s">
        <v>177</v>
      </c>
      <c r="U56" s="201"/>
    </row>
    <row r="57" spans="2:28" x14ac:dyDescent="0.35">
      <c r="C57" s="2" t="s">
        <v>23</v>
      </c>
      <c r="F57" s="62">
        <f>25903983/(10^6)</f>
        <v>25.903983</v>
      </c>
      <c r="G57" s="62">
        <f>42191047/(10^6)</f>
        <v>42.191046999999998</v>
      </c>
      <c r="H57" s="62">
        <f>48855017/(10^6)</f>
        <v>48.855016999999997</v>
      </c>
      <c r="I57" s="62">
        <f>51247995/(10^6)</f>
        <v>51.247995000000003</v>
      </c>
      <c r="J57" s="62">
        <f>49248269/(10^6)</f>
        <v>49.248269000000001</v>
      </c>
      <c r="K57" s="62">
        <f>40210769/(10^6)</f>
        <v>40.210768999999999</v>
      </c>
      <c r="L57" s="62">
        <f>40563081/(10^6)</f>
        <v>40.563080999999997</v>
      </c>
      <c r="M57" s="62">
        <f>33949967/(10^6)</f>
        <v>33.949967000000001</v>
      </c>
      <c r="N57" s="62">
        <f>38389676/(10^6)</f>
        <v>38.389676000000001</v>
      </c>
      <c r="O57" s="62">
        <f>36456761/(10^6)</f>
        <v>36.456761</v>
      </c>
      <c r="P57" s="62">
        <f>33953794/(10^6)</f>
        <v>33.953794000000002</v>
      </c>
      <c r="Q57" s="238">
        <v>39.015565000000002</v>
      </c>
      <c r="R57" s="62">
        <f t="shared" si="11"/>
        <v>479.98592400000001</v>
      </c>
      <c r="S57" s="62">
        <f t="shared" si="12"/>
        <v>0</v>
      </c>
      <c r="T57" s="57">
        <f t="shared" si="13"/>
        <v>479.98592400000001</v>
      </c>
      <c r="U57" s="96">
        <f t="shared" si="9"/>
        <v>4.3043046460950744E-2</v>
      </c>
      <c r="V57" s="96" t="str">
        <f t="shared" si="8"/>
        <v/>
      </c>
      <c r="W57" s="96">
        <f t="shared" si="8"/>
        <v>4.3043046460950744E-2</v>
      </c>
      <c r="X57" s="96"/>
      <c r="Y57" s="96"/>
      <c r="Z57" s="97">
        <f>U57</f>
        <v>4.3043046460950744E-2</v>
      </c>
      <c r="AA57" s="2" t="s">
        <v>199</v>
      </c>
      <c r="AB57" s="57">
        <f t="shared" ref="AB57:AB62" si="21">Z57*$AB$47</f>
        <v>593.38537664777652</v>
      </c>
    </row>
    <row r="58" spans="2:28" x14ac:dyDescent="0.35">
      <c r="C58" s="2" t="s">
        <v>617</v>
      </c>
      <c r="D58" s="6"/>
      <c r="F58" s="57">
        <v>45.220000000000006</v>
      </c>
      <c r="G58" s="57">
        <v>64.950000000000017</v>
      </c>
      <c r="H58" s="57">
        <v>73.75</v>
      </c>
      <c r="I58" s="57">
        <v>87.965000000000003</v>
      </c>
      <c r="J58" s="57">
        <v>70.765000000000001</v>
      </c>
      <c r="K58" s="57">
        <v>67.405000000000001</v>
      </c>
      <c r="L58" s="57">
        <v>67.389999999999986</v>
      </c>
      <c r="M58" s="57">
        <v>50.830000000000005</v>
      </c>
      <c r="N58" s="57">
        <v>55.847000000000001</v>
      </c>
      <c r="O58" s="57">
        <v>52.924999999999997</v>
      </c>
      <c r="P58" s="57">
        <v>48.994</v>
      </c>
      <c r="Q58" s="238">
        <v>56.792999999999999</v>
      </c>
      <c r="R58" s="62">
        <f t="shared" si="11"/>
        <v>742.83399999999995</v>
      </c>
      <c r="S58" s="62">
        <f t="shared" si="12"/>
        <v>0</v>
      </c>
      <c r="T58" s="57">
        <f t="shared" si="13"/>
        <v>742.83399999999995</v>
      </c>
      <c r="U58" s="96">
        <f t="shared" si="9"/>
        <v>6.6614116739752316E-2</v>
      </c>
      <c r="V58" s="96" t="str">
        <f t="shared" ref="V58:V88" si="22">IFERROR(S58/S$47,"")</f>
        <v/>
      </c>
      <c r="W58" s="96">
        <f t="shared" ref="W58:W88" si="23">IFERROR(T58/T$47,"")</f>
        <v>6.6614116739752316E-2</v>
      </c>
      <c r="X58" s="96"/>
      <c r="Y58" s="96"/>
      <c r="Z58" s="97">
        <f>U58</f>
        <v>6.6614116739752316E-2</v>
      </c>
      <c r="AA58" s="2" t="s">
        <v>199</v>
      </c>
      <c r="AB58" s="57">
        <f t="shared" si="21"/>
        <v>918.33283193690988</v>
      </c>
    </row>
    <row r="59" spans="2:28" x14ac:dyDescent="0.35">
      <c r="C59" s="2" t="s">
        <v>615</v>
      </c>
      <c r="D59" s="6"/>
      <c r="F59" s="57">
        <v>19.077652</v>
      </c>
      <c r="G59" s="57">
        <v>37.564719999999994</v>
      </c>
      <c r="H59" s="57">
        <v>33.844802999999999</v>
      </c>
      <c r="I59" s="57">
        <v>35.630216000000004</v>
      </c>
      <c r="J59" s="57">
        <v>25.877564</v>
      </c>
      <c r="K59" s="57">
        <v>14.219853000000001</v>
      </c>
      <c r="L59" s="57">
        <v>26.795784000000001</v>
      </c>
      <c r="M59" s="57">
        <v>27.845976</v>
      </c>
      <c r="N59" s="57">
        <v>23.262358999999996</v>
      </c>
      <c r="O59" s="57">
        <v>27.724572999999999</v>
      </c>
      <c r="P59" s="57">
        <v>28.849606999999995</v>
      </c>
      <c r="Q59" s="238">
        <v>21.862736000000002</v>
      </c>
      <c r="R59" s="62">
        <f t="shared" si="11"/>
        <v>322.55584299999998</v>
      </c>
      <c r="S59" s="62">
        <f t="shared" si="12"/>
        <v>0</v>
      </c>
      <c r="T59" s="57">
        <f t="shared" si="13"/>
        <v>322.55584299999998</v>
      </c>
      <c r="U59" s="96">
        <f t="shared" si="9"/>
        <v>2.8925402688475783E-2</v>
      </c>
      <c r="V59" s="96" t="str">
        <f t="shared" si="22"/>
        <v/>
      </c>
      <c r="W59" s="96">
        <f t="shared" si="23"/>
        <v>2.8925402688475783E-2</v>
      </c>
      <c r="X59" s="96"/>
      <c r="Y59" s="96"/>
      <c r="Z59" s="97">
        <f>U59</f>
        <v>2.8925402688475783E-2</v>
      </c>
      <c r="AA59" s="2" t="s">
        <v>199</v>
      </c>
      <c r="AB59" s="57">
        <f t="shared" si="21"/>
        <v>398.76152782450356</v>
      </c>
    </row>
    <row r="60" spans="2:28" x14ac:dyDescent="0.35">
      <c r="C60" s="2" t="s">
        <v>612</v>
      </c>
      <c r="D60" s="6"/>
      <c r="F60" s="57">
        <v>82.3</v>
      </c>
      <c r="G60" s="57">
        <v>111.7</v>
      </c>
      <c r="H60" s="57">
        <v>138.69999999999999</v>
      </c>
      <c r="I60" s="57">
        <v>167.4</v>
      </c>
      <c r="J60" s="57">
        <v>127</v>
      </c>
      <c r="K60" s="57">
        <v>114.2</v>
      </c>
      <c r="L60" s="57">
        <v>116.3</v>
      </c>
      <c r="M60" s="57">
        <v>99.6</v>
      </c>
      <c r="N60" s="57">
        <v>91.9</v>
      </c>
      <c r="O60" s="57">
        <v>93.1</v>
      </c>
      <c r="P60" s="57">
        <v>96.5</v>
      </c>
      <c r="Q60" s="238">
        <v>100.4</v>
      </c>
      <c r="R60" s="62">
        <f t="shared" si="11"/>
        <v>1339.1000000000001</v>
      </c>
      <c r="S60" s="62">
        <f t="shared" si="12"/>
        <v>0</v>
      </c>
      <c r="T60" s="57">
        <f t="shared" si="13"/>
        <v>1339.1000000000001</v>
      </c>
      <c r="U60" s="96">
        <f t="shared" si="9"/>
        <v>0.12008465380717945</v>
      </c>
      <c r="V60" s="96" t="str">
        <f t="shared" si="22"/>
        <v/>
      </c>
      <c r="W60" s="96">
        <f t="shared" si="23"/>
        <v>0.12008465380717945</v>
      </c>
      <c r="X60" s="96"/>
      <c r="Y60" s="96"/>
      <c r="Z60" s="97">
        <f>U60</f>
        <v>0.12008465380717945</v>
      </c>
      <c r="AA60" s="2" t="s">
        <v>199</v>
      </c>
      <c r="AB60" s="57">
        <f t="shared" si="21"/>
        <v>1655.4701255552602</v>
      </c>
    </row>
    <row r="61" spans="2:28" x14ac:dyDescent="0.35">
      <c r="C61" s="2" t="s">
        <v>616</v>
      </c>
      <c r="D61" s="6"/>
      <c r="F61" s="57">
        <v>12.5</v>
      </c>
      <c r="G61" s="57">
        <v>19.07</v>
      </c>
      <c r="H61" s="57">
        <v>29.2575</v>
      </c>
      <c r="I61" s="57">
        <v>36.622500000000002</v>
      </c>
      <c r="J61" s="57">
        <v>28.85</v>
      </c>
      <c r="K61" s="57">
        <v>25.795000000000002</v>
      </c>
      <c r="L61" s="57">
        <v>25.635000000000002</v>
      </c>
      <c r="M61" s="57">
        <v>19.815000000000001</v>
      </c>
      <c r="N61" s="57">
        <v>21.344999999999999</v>
      </c>
      <c r="O61" s="57">
        <v>19.952500000000001</v>
      </c>
      <c r="P61" s="57">
        <v>18.510000000000002</v>
      </c>
      <c r="Q61" s="57">
        <v>21.067499999999999</v>
      </c>
      <c r="R61" s="62">
        <f t="shared" si="11"/>
        <v>278.42</v>
      </c>
      <c r="S61" s="62">
        <f t="shared" si="12"/>
        <v>0</v>
      </c>
      <c r="T61" s="57">
        <f t="shared" si="13"/>
        <v>278.42</v>
      </c>
      <c r="U61" s="96">
        <f t="shared" si="9"/>
        <v>2.4967492579340528E-2</v>
      </c>
      <c r="V61" s="96" t="str">
        <f t="shared" si="22"/>
        <v/>
      </c>
      <c r="W61" s="96">
        <f t="shared" si="23"/>
        <v>2.4967492579340528E-2</v>
      </c>
      <c r="X61" s="96"/>
      <c r="Y61" s="96"/>
      <c r="Z61" s="97">
        <f>U61</f>
        <v>2.4967492579340528E-2</v>
      </c>
      <c r="AA61" s="2" t="s">
        <v>199</v>
      </c>
      <c r="AB61" s="57">
        <f t="shared" si="21"/>
        <v>344.19833646262083</v>
      </c>
    </row>
    <row r="62" spans="2:28" x14ac:dyDescent="0.35">
      <c r="C62" s="2" t="s">
        <v>183</v>
      </c>
      <c r="D62" s="6"/>
      <c r="F62" s="57">
        <v>24.857320000000001</v>
      </c>
      <c r="G62" s="57">
        <v>3.35</v>
      </c>
      <c r="H62" s="57">
        <v>0.25919999999999999</v>
      </c>
      <c r="I62" s="57">
        <v>0</v>
      </c>
      <c r="J62" s="57">
        <v>0</v>
      </c>
      <c r="K62" s="57">
        <v>0</v>
      </c>
      <c r="L62" s="57">
        <v>1.0488170000000001</v>
      </c>
      <c r="M62" s="57">
        <v>9.0712799999999998</v>
      </c>
      <c r="N62" s="57">
        <v>18.040551000000001</v>
      </c>
      <c r="O62" s="57">
        <v>15.979797</v>
      </c>
      <c r="P62" s="57">
        <v>6.0669490000000001</v>
      </c>
      <c r="Q62" s="57">
        <v>0</v>
      </c>
      <c r="R62" s="62">
        <f t="shared" si="11"/>
        <v>78.673913999999996</v>
      </c>
      <c r="S62" s="62">
        <f t="shared" si="12"/>
        <v>0</v>
      </c>
      <c r="T62" s="57">
        <f t="shared" si="13"/>
        <v>78.673913999999996</v>
      </c>
      <c r="U62" s="96">
        <f t="shared" si="9"/>
        <v>7.0551338408974739E-3</v>
      </c>
      <c r="V62" s="96" t="str">
        <f t="shared" si="22"/>
        <v/>
      </c>
      <c r="W62" s="96">
        <f t="shared" si="23"/>
        <v>7.0551338408974739E-3</v>
      </c>
      <c r="X62" s="96"/>
      <c r="Y62" s="96"/>
      <c r="Z62" s="97">
        <v>0.01</v>
      </c>
      <c r="AA62" s="2" t="s">
        <v>199</v>
      </c>
      <c r="AB62" s="57">
        <f t="shared" si="21"/>
        <v>137.85859167429149</v>
      </c>
    </row>
    <row r="63" spans="2:28" ht="13.15" thickBot="1" x14ac:dyDescent="0.4">
      <c r="B63" s="86" t="s">
        <v>180</v>
      </c>
      <c r="C63" s="87"/>
      <c r="D63" s="87"/>
      <c r="E63" s="70"/>
      <c r="F63" s="88">
        <f>SUBTOTAL(9,F57:F62)</f>
        <v>209.85895500000004</v>
      </c>
      <c r="G63" s="88">
        <f t="shared" ref="G63:Q63" si="24">SUBTOTAL(9,G57:G62)</f>
        <v>278.82576700000004</v>
      </c>
      <c r="H63" s="88">
        <f t="shared" si="24"/>
        <v>324.66651999999999</v>
      </c>
      <c r="I63" s="88">
        <f t="shared" si="24"/>
        <v>378.86571099999998</v>
      </c>
      <c r="J63" s="88">
        <f t="shared" si="24"/>
        <v>301.74083300000007</v>
      </c>
      <c r="K63" s="88">
        <f t="shared" si="24"/>
        <v>261.83062200000001</v>
      </c>
      <c r="L63" s="88">
        <f t="shared" si="24"/>
        <v>277.73268199999995</v>
      </c>
      <c r="M63" s="88">
        <f t="shared" si="24"/>
        <v>241.112223</v>
      </c>
      <c r="N63" s="88">
        <f t="shared" si="24"/>
        <v>248.78458599999999</v>
      </c>
      <c r="O63" s="88">
        <f t="shared" si="24"/>
        <v>246.138631</v>
      </c>
      <c r="P63" s="88">
        <f t="shared" si="24"/>
        <v>232.87434999999996</v>
      </c>
      <c r="Q63" s="88">
        <f t="shared" si="24"/>
        <v>239.138801</v>
      </c>
      <c r="R63" s="88">
        <f>SUMIFS($F63:$Q63,$F$7:$Q$7,"A")</f>
        <v>3241.5696809999999</v>
      </c>
      <c r="S63" s="88">
        <f t="shared" si="12"/>
        <v>0</v>
      </c>
      <c r="T63" s="88">
        <f t="shared" si="13"/>
        <v>3241.5696809999999</v>
      </c>
      <c r="U63" s="101">
        <f t="shared" si="9"/>
        <v>0.29068984611659626</v>
      </c>
      <c r="V63" s="101" t="str">
        <f t="shared" si="22"/>
        <v/>
      </c>
      <c r="W63" s="101">
        <f t="shared" si="23"/>
        <v>0.29068984611659626</v>
      </c>
      <c r="X63" s="101"/>
      <c r="Y63" s="101"/>
      <c r="Z63" s="101"/>
      <c r="AA63" s="88"/>
      <c r="AB63" s="88">
        <f>SUM(AB57:AB62)</f>
        <v>4048.0067901013622</v>
      </c>
    </row>
    <row r="64" spans="2:28" x14ac:dyDescent="0.35">
      <c r="B64" s="89" t="s">
        <v>187</v>
      </c>
      <c r="C64" s="90"/>
      <c r="D64" s="90"/>
      <c r="E64" s="91"/>
      <c r="F64" s="92">
        <f>F49-F50-F63</f>
        <v>413.69104499999992</v>
      </c>
      <c r="G64" s="92">
        <f t="shared" ref="G64:Q64" si="25">G49-G50-G63</f>
        <v>690.874233</v>
      </c>
      <c r="H64" s="92">
        <f t="shared" si="25"/>
        <v>778.33347999999978</v>
      </c>
      <c r="I64" s="92">
        <f t="shared" si="25"/>
        <v>917.34428900000012</v>
      </c>
      <c r="J64" s="92">
        <f t="shared" si="25"/>
        <v>747.63916700000004</v>
      </c>
      <c r="K64" s="92">
        <f t="shared" si="25"/>
        <v>694.54937799999993</v>
      </c>
      <c r="L64" s="92">
        <f t="shared" si="25"/>
        <v>718.21731800000009</v>
      </c>
      <c r="M64" s="92">
        <f t="shared" si="25"/>
        <v>568.67777699999999</v>
      </c>
      <c r="N64" s="92">
        <f t="shared" si="25"/>
        <v>599.14041399999985</v>
      </c>
      <c r="O64" s="92">
        <f t="shared" si="25"/>
        <v>577.78136899999993</v>
      </c>
      <c r="P64" s="92">
        <f t="shared" si="25"/>
        <v>529.73564999999996</v>
      </c>
      <c r="Q64" s="92">
        <f t="shared" si="25"/>
        <v>620.23119899999983</v>
      </c>
      <c r="R64" s="92">
        <f>SUMIFS($F64:$Q64,$F$7:$Q$7,"A")</f>
        <v>7856.215318999999</v>
      </c>
      <c r="S64" s="92">
        <f t="shared" si="12"/>
        <v>0</v>
      </c>
      <c r="T64" s="92">
        <f t="shared" si="13"/>
        <v>7856.215318999999</v>
      </c>
      <c r="U64" s="104">
        <f t="shared" si="9"/>
        <v>0.70451116183763318</v>
      </c>
      <c r="V64" s="104" t="str">
        <f t="shared" si="22"/>
        <v/>
      </c>
      <c r="W64" s="104">
        <f t="shared" si="23"/>
        <v>0.70451116183763318</v>
      </c>
      <c r="X64" s="104"/>
      <c r="Y64" s="104"/>
      <c r="Z64" s="92"/>
      <c r="AA64" s="92"/>
      <c r="AB64" s="92">
        <f>AB49-AB63-AB50</f>
        <v>9737.8523773277848</v>
      </c>
    </row>
    <row r="65" spans="2:28" x14ac:dyDescent="0.35">
      <c r="B65" s="27" t="s">
        <v>181</v>
      </c>
      <c r="C65" s="6"/>
      <c r="D65" s="6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>
        <f t="shared" si="11"/>
        <v>0</v>
      </c>
      <c r="S65" s="85">
        <f t="shared" si="12"/>
        <v>0</v>
      </c>
      <c r="T65" s="85">
        <f t="shared" si="13"/>
        <v>0</v>
      </c>
      <c r="U65" s="423">
        <f t="shared" si="9"/>
        <v>0</v>
      </c>
      <c r="V65" s="85" t="str">
        <f t="shared" si="22"/>
        <v/>
      </c>
      <c r="W65" s="85">
        <f t="shared" si="23"/>
        <v>0</v>
      </c>
      <c r="X65" s="85"/>
      <c r="Y65" s="85"/>
      <c r="Z65" s="85"/>
      <c r="AA65" s="85"/>
      <c r="AB65" s="85"/>
    </row>
    <row r="66" spans="2:28" x14ac:dyDescent="0.35">
      <c r="C66" s="2" t="s">
        <v>186</v>
      </c>
      <c r="F66" s="57">
        <v>274.18008500000002</v>
      </c>
      <c r="G66" s="57">
        <v>205.977644</v>
      </c>
      <c r="H66" s="57">
        <v>187.277231</v>
      </c>
      <c r="I66" s="57">
        <v>201.65765400000001</v>
      </c>
      <c r="J66" s="57">
        <v>162.829971</v>
      </c>
      <c r="K66" s="57">
        <v>163.48349999999999</v>
      </c>
      <c r="L66" s="57">
        <v>189.40059199999999</v>
      </c>
      <c r="M66" s="57">
        <v>203.967231</v>
      </c>
      <c r="N66" s="57">
        <v>180.37997100000001</v>
      </c>
      <c r="O66" s="57">
        <v>175.96568400000001</v>
      </c>
      <c r="P66" s="57">
        <v>180.101</v>
      </c>
      <c r="Q66" s="57">
        <v>190.89240699999999</v>
      </c>
      <c r="R66" s="62">
        <f t="shared" si="11"/>
        <v>2316.1129700000001</v>
      </c>
      <c r="S66" s="62">
        <f t="shared" si="12"/>
        <v>0</v>
      </c>
      <c r="T66" s="57">
        <f t="shared" si="13"/>
        <v>2316.1129700000001</v>
      </c>
      <c r="U66" s="96">
        <f t="shared" si="9"/>
        <v>0.20769892030525591</v>
      </c>
      <c r="V66" s="96" t="str">
        <f t="shared" si="22"/>
        <v/>
      </c>
      <c r="W66" s="96">
        <f t="shared" si="23"/>
        <v>0.20769892030525591</v>
      </c>
      <c r="X66" s="96"/>
      <c r="Y66" s="96"/>
      <c r="Z66" s="97">
        <v>0.02</v>
      </c>
      <c r="AA66" s="2" t="s">
        <v>200</v>
      </c>
      <c r="AB66" s="57">
        <f>T66*(1+Z66)</f>
        <v>2362.4352294</v>
      </c>
    </row>
    <row r="67" spans="2:28" x14ac:dyDescent="0.35">
      <c r="C67" s="2" t="s">
        <v>408</v>
      </c>
      <c r="F67" s="473">
        <v>30</v>
      </c>
      <c r="G67" s="57">
        <f t="shared" ref="G67:Q67" si="26">30244500/10^6</f>
        <v>30.244499999999999</v>
      </c>
      <c r="H67" s="57">
        <f t="shared" si="26"/>
        <v>30.244499999999999</v>
      </c>
      <c r="I67" s="57">
        <f t="shared" si="26"/>
        <v>30.244499999999999</v>
      </c>
      <c r="J67" s="57">
        <f t="shared" si="26"/>
        <v>30.244499999999999</v>
      </c>
      <c r="K67" s="57">
        <f t="shared" si="26"/>
        <v>30.244499999999999</v>
      </c>
      <c r="L67" s="57">
        <f t="shared" si="26"/>
        <v>30.244499999999999</v>
      </c>
      <c r="M67" s="57">
        <f t="shared" si="26"/>
        <v>30.244499999999999</v>
      </c>
      <c r="N67" s="57">
        <f t="shared" si="26"/>
        <v>30.244499999999999</v>
      </c>
      <c r="O67" s="57">
        <f t="shared" si="26"/>
        <v>30.244499999999999</v>
      </c>
      <c r="P67" s="57">
        <f t="shared" si="26"/>
        <v>30.244499999999999</v>
      </c>
      <c r="Q67" s="57">
        <f t="shared" si="26"/>
        <v>30.244499999999999</v>
      </c>
      <c r="R67" s="62">
        <f t="shared" si="11"/>
        <v>362.68950000000001</v>
      </c>
      <c r="S67" s="62">
        <f t="shared" si="12"/>
        <v>0</v>
      </c>
      <c r="T67" s="57">
        <f t="shared" si="13"/>
        <v>362.68950000000001</v>
      </c>
      <c r="U67" s="96">
        <f t="shared" si="9"/>
        <v>3.2524414193860811E-2</v>
      </c>
      <c r="V67" s="96" t="str">
        <f t="shared" si="22"/>
        <v/>
      </c>
      <c r="W67" s="96">
        <f t="shared" si="23"/>
        <v>3.2524414193860811E-2</v>
      </c>
      <c r="X67" s="96"/>
      <c r="Y67" s="96"/>
      <c r="Z67" s="84">
        <f>S67</f>
        <v>0</v>
      </c>
      <c r="AA67" s="2" t="s">
        <v>206</v>
      </c>
      <c r="AB67" s="57">
        <f>Z67*12*(1+5%)</f>
        <v>0</v>
      </c>
    </row>
    <row r="68" spans="2:28" x14ac:dyDescent="0.35">
      <c r="B68" s="27"/>
      <c r="C68" s="2" t="s">
        <v>623</v>
      </c>
      <c r="D68" s="6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62">
        <f t="shared" si="11"/>
        <v>0</v>
      </c>
      <c r="S68" s="62">
        <f t="shared" si="12"/>
        <v>0</v>
      </c>
      <c r="T68" s="57">
        <f t="shared" si="13"/>
        <v>0</v>
      </c>
      <c r="U68" s="96">
        <f t="shared" si="9"/>
        <v>0</v>
      </c>
      <c r="V68" s="96" t="str">
        <f t="shared" si="22"/>
        <v/>
      </c>
      <c r="W68" s="96">
        <f t="shared" si="23"/>
        <v>0</v>
      </c>
      <c r="X68" s="96"/>
      <c r="Y68" s="96"/>
      <c r="Z68" s="85"/>
      <c r="AA68" s="57" t="s">
        <v>201</v>
      </c>
      <c r="AB68" s="102">
        <f>'Site list'!Q4</f>
        <v>320.30124999999998</v>
      </c>
    </row>
    <row r="69" spans="2:28" x14ac:dyDescent="0.35">
      <c r="B69" s="27"/>
      <c r="C69" s="2" t="s">
        <v>618</v>
      </c>
      <c r="F69" s="62">
        <v>107.794073</v>
      </c>
      <c r="G69" s="62">
        <v>85.134096999999997</v>
      </c>
      <c r="H69" s="62">
        <v>100.21069</v>
      </c>
      <c r="I69" s="62">
        <v>93.381508999999994</v>
      </c>
      <c r="J69" s="62">
        <v>108.096568</v>
      </c>
      <c r="K69" s="62">
        <v>123.98365200000001</v>
      </c>
      <c r="L69" s="62">
        <v>117.41875</v>
      </c>
      <c r="M69" s="62">
        <v>78.407629999999997</v>
      </c>
      <c r="N69" s="62">
        <v>65.057236000000003</v>
      </c>
      <c r="O69" s="62">
        <v>70.645698999999993</v>
      </c>
      <c r="P69" s="62">
        <v>54.744109999999999</v>
      </c>
      <c r="Q69" s="57">
        <v>74.814259000000007</v>
      </c>
      <c r="R69" s="62">
        <f t="shared" si="11"/>
        <v>1079.6882730000002</v>
      </c>
      <c r="S69" s="62">
        <f t="shared" si="12"/>
        <v>0</v>
      </c>
      <c r="T69" s="57">
        <f t="shared" si="13"/>
        <v>1079.6882730000002</v>
      </c>
      <c r="U69" s="96">
        <f t="shared" si="9"/>
        <v>9.6821740335207573E-2</v>
      </c>
      <c r="V69" s="96" t="str">
        <f t="shared" si="22"/>
        <v/>
      </c>
      <c r="W69" s="96">
        <f t="shared" si="23"/>
        <v>9.6821740335207573E-2</v>
      </c>
      <c r="X69" s="96"/>
      <c r="Y69" s="96"/>
      <c r="Z69" s="85"/>
      <c r="AA69" s="57" t="s">
        <v>202</v>
      </c>
      <c r="AB69" s="57">
        <f>T69</f>
        <v>1079.6882730000002</v>
      </c>
    </row>
    <row r="70" spans="2:28" x14ac:dyDescent="0.35">
      <c r="C70" s="2" t="s">
        <v>188</v>
      </c>
      <c r="F70" s="62">
        <v>1.1718999999999999</v>
      </c>
      <c r="G70" s="62">
        <v>0.44350000000000001</v>
      </c>
      <c r="H70" s="62">
        <v>1.0435000000000001</v>
      </c>
      <c r="I70" s="62">
        <v>4.2149739999999998</v>
      </c>
      <c r="J70" s="62">
        <v>0.39350000000000002</v>
      </c>
      <c r="K70" s="62">
        <v>2.1934999999999998</v>
      </c>
      <c r="L70" s="62">
        <v>2.8449970000000002</v>
      </c>
      <c r="M70" s="62">
        <v>3.2999290000000001</v>
      </c>
      <c r="N70" s="62">
        <v>5.1180199999999996</v>
      </c>
      <c r="O70" s="62">
        <v>2.3999290000000002</v>
      </c>
      <c r="P70" s="62">
        <v>2.7499289999999998</v>
      </c>
      <c r="Q70" s="57">
        <v>3.3199260000000002</v>
      </c>
      <c r="R70" s="62">
        <f t="shared" si="11"/>
        <v>29.193603999999997</v>
      </c>
      <c r="S70" s="62">
        <f t="shared" si="12"/>
        <v>0</v>
      </c>
      <c r="T70" s="57">
        <f t="shared" si="13"/>
        <v>29.193603999999997</v>
      </c>
      <c r="U70" s="96">
        <f t="shared" si="9"/>
        <v>2.6179552159837863E-3</v>
      </c>
      <c r="V70" s="96" t="str">
        <f t="shared" si="22"/>
        <v/>
      </c>
      <c r="W70" s="96">
        <f t="shared" si="23"/>
        <v>2.6179552159837863E-3</v>
      </c>
      <c r="X70" s="96"/>
      <c r="Y70" s="96"/>
      <c r="AA70" s="57" t="s">
        <v>202</v>
      </c>
      <c r="AB70" s="57">
        <f>T70</f>
        <v>29.193603999999997</v>
      </c>
    </row>
    <row r="71" spans="2:28" ht="13.15" thickBot="1" x14ac:dyDescent="0.4">
      <c r="B71" s="86" t="s">
        <v>189</v>
      </c>
      <c r="C71" s="87"/>
      <c r="D71" s="87"/>
      <c r="E71" s="70"/>
      <c r="F71" s="88">
        <f t="shared" ref="F71:Q71" si="27">SUM(F66:F70)</f>
        <v>413.14605799999998</v>
      </c>
      <c r="G71" s="88">
        <f t="shared" si="27"/>
        <v>321.79974099999993</v>
      </c>
      <c r="H71" s="88">
        <f t="shared" si="27"/>
        <v>318.77592099999998</v>
      </c>
      <c r="I71" s="88">
        <f t="shared" si="27"/>
        <v>329.49863699999997</v>
      </c>
      <c r="J71" s="88">
        <f t="shared" si="27"/>
        <v>301.56453900000002</v>
      </c>
      <c r="K71" s="88">
        <f t="shared" si="27"/>
        <v>319.90515199999993</v>
      </c>
      <c r="L71" s="88">
        <f t="shared" si="27"/>
        <v>339.90883899999994</v>
      </c>
      <c r="M71" s="88">
        <f t="shared" si="27"/>
        <v>315.91928999999999</v>
      </c>
      <c r="N71" s="88">
        <f t="shared" si="27"/>
        <v>280.79972700000002</v>
      </c>
      <c r="O71" s="88">
        <f t="shared" si="27"/>
        <v>279.25581199999999</v>
      </c>
      <c r="P71" s="88">
        <f t="shared" si="27"/>
        <v>267.839539</v>
      </c>
      <c r="Q71" s="88">
        <f t="shared" si="27"/>
        <v>299.27109200000001</v>
      </c>
      <c r="R71" s="88">
        <f>SUMIFS($F71:$Q71,$F$7:$Q$7,"A")</f>
        <v>3787.684346999999</v>
      </c>
      <c r="S71" s="88">
        <f t="shared" si="12"/>
        <v>0</v>
      </c>
      <c r="T71" s="88">
        <f t="shared" si="13"/>
        <v>3787.684346999999</v>
      </c>
      <c r="U71" s="101">
        <f t="shared" si="9"/>
        <v>0.33966303005030796</v>
      </c>
      <c r="V71" s="101" t="str">
        <f t="shared" si="22"/>
        <v/>
      </c>
      <c r="W71" s="101">
        <f t="shared" si="23"/>
        <v>0.33966303005030796</v>
      </c>
      <c r="X71" s="101"/>
      <c r="Y71" s="101"/>
      <c r="Z71" s="88"/>
      <c r="AA71" s="88"/>
      <c r="AB71" s="88">
        <f>SUM(AB66:AB70)</f>
        <v>3791.6183564000003</v>
      </c>
    </row>
    <row r="72" spans="2:28" x14ac:dyDescent="0.35">
      <c r="B72" s="89" t="s">
        <v>190</v>
      </c>
      <c r="C72" s="90"/>
      <c r="D72" s="90"/>
      <c r="E72" s="91"/>
      <c r="F72" s="428">
        <f t="shared" ref="F72:Q72" si="28">F64-F71</f>
        <v>0.54498699999993505</v>
      </c>
      <c r="G72" s="92">
        <f t="shared" si="28"/>
        <v>369.07449200000008</v>
      </c>
      <c r="H72" s="92">
        <f t="shared" si="28"/>
        <v>459.5575589999998</v>
      </c>
      <c r="I72" s="92">
        <f t="shared" si="28"/>
        <v>587.8456520000002</v>
      </c>
      <c r="J72" s="92">
        <f t="shared" si="28"/>
        <v>446.07462800000002</v>
      </c>
      <c r="K72" s="92">
        <f t="shared" si="28"/>
        <v>374.644226</v>
      </c>
      <c r="L72" s="92">
        <f t="shared" si="28"/>
        <v>378.30847900000015</v>
      </c>
      <c r="M72" s="92">
        <f t="shared" si="28"/>
        <v>252.758487</v>
      </c>
      <c r="N72" s="92">
        <f t="shared" si="28"/>
        <v>318.34068699999983</v>
      </c>
      <c r="O72" s="92">
        <f t="shared" si="28"/>
        <v>298.52555699999994</v>
      </c>
      <c r="P72" s="92">
        <f t="shared" si="28"/>
        <v>261.89611099999996</v>
      </c>
      <c r="Q72" s="92">
        <f t="shared" si="28"/>
        <v>320.96010699999982</v>
      </c>
      <c r="R72" s="92">
        <f t="shared" si="11"/>
        <v>4068.530972</v>
      </c>
      <c r="S72" s="92">
        <f t="shared" si="12"/>
        <v>0</v>
      </c>
      <c r="T72" s="92">
        <f t="shared" si="13"/>
        <v>4068.530972</v>
      </c>
      <c r="U72" s="104">
        <f t="shared" si="9"/>
        <v>0.36484813178732528</v>
      </c>
      <c r="V72" s="104" t="str">
        <f t="shared" si="22"/>
        <v/>
      </c>
      <c r="W72" s="104">
        <f t="shared" si="23"/>
        <v>0.36484813178732528</v>
      </c>
      <c r="X72" s="104"/>
      <c r="Y72" s="104"/>
      <c r="Z72" s="92"/>
      <c r="AA72" s="92"/>
      <c r="AB72" s="92">
        <f>AB64-AB71</f>
        <v>5946.2340209277845</v>
      </c>
    </row>
    <row r="73" spans="2:28" x14ac:dyDescent="0.35">
      <c r="B73" s="27" t="s">
        <v>275</v>
      </c>
      <c r="C73" s="6"/>
      <c r="D73" s="6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>
        <f>T72*Z73</f>
        <v>3539.6219456399999</v>
      </c>
      <c r="U73" s="105">
        <f t="shared" si="9"/>
        <v>0</v>
      </c>
      <c r="V73" s="105" t="str">
        <f t="shared" si="22"/>
        <v/>
      </c>
      <c r="W73" s="105">
        <f t="shared" si="23"/>
        <v>0.31741787465497295</v>
      </c>
      <c r="X73" s="105"/>
      <c r="Y73" s="105"/>
      <c r="Z73" s="105">
        <f>'Site list'!H4</f>
        <v>0.87</v>
      </c>
      <c r="AA73" s="57" t="s">
        <v>276</v>
      </c>
      <c r="AB73" s="85">
        <f>AB72*Z73</f>
        <v>5173.2235982071725</v>
      </c>
    </row>
    <row r="74" spans="2:28" ht="3" customHeight="1" x14ac:dyDescent="0.35">
      <c r="B74" s="27"/>
      <c r="C74" s="6"/>
      <c r="D74" s="6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105">
        <f t="shared" si="9"/>
        <v>0</v>
      </c>
      <c r="V74" s="105" t="str">
        <f t="shared" si="22"/>
        <v/>
      </c>
      <c r="W74" s="105">
        <f t="shared" si="23"/>
        <v>0</v>
      </c>
      <c r="X74" s="105"/>
      <c r="Y74" s="105"/>
      <c r="Z74" s="105"/>
      <c r="AA74" s="57"/>
      <c r="AB74" s="85"/>
    </row>
    <row r="75" spans="2:28" x14ac:dyDescent="0.35">
      <c r="B75" s="27"/>
      <c r="C75" s="2" t="s">
        <v>621</v>
      </c>
      <c r="D75" s="6"/>
      <c r="F75" s="57">
        <f>SUM(F76:F80)</f>
        <v>236.5</v>
      </c>
      <c r="G75" s="57">
        <f t="shared" ref="G75:T75" si="29">SUM(G76:G80)</f>
        <v>236.5</v>
      </c>
      <c r="H75" s="57">
        <f t="shared" si="29"/>
        <v>236.5</v>
      </c>
      <c r="I75" s="57">
        <f t="shared" si="29"/>
        <v>236.5</v>
      </c>
      <c r="J75" s="57">
        <f t="shared" si="29"/>
        <v>236.5</v>
      </c>
      <c r="K75" s="57">
        <f t="shared" si="29"/>
        <v>236.5</v>
      </c>
      <c r="L75" s="57">
        <f t="shared" si="29"/>
        <v>236.5</v>
      </c>
      <c r="M75" s="57">
        <f t="shared" si="29"/>
        <v>236.5</v>
      </c>
      <c r="N75" s="57">
        <f t="shared" si="29"/>
        <v>236.5</v>
      </c>
      <c r="O75" s="57">
        <f t="shared" si="29"/>
        <v>236.5</v>
      </c>
      <c r="P75" s="57">
        <f t="shared" si="29"/>
        <v>236.5</v>
      </c>
      <c r="Q75" s="57">
        <f>P75</f>
        <v>236.5</v>
      </c>
      <c r="R75" s="57">
        <f t="shared" si="29"/>
        <v>2838.0000000000005</v>
      </c>
      <c r="S75" s="57">
        <f t="shared" si="29"/>
        <v>0</v>
      </c>
      <c r="T75" s="57">
        <f t="shared" si="29"/>
        <v>2838.0000000000005</v>
      </c>
      <c r="U75" s="96">
        <f t="shared" si="9"/>
        <v>0.25449947539748735</v>
      </c>
      <c r="V75" s="96" t="str">
        <f t="shared" si="22"/>
        <v/>
      </c>
      <c r="W75" s="96">
        <f t="shared" si="23"/>
        <v>0.25449947539748735</v>
      </c>
      <c r="X75" s="96"/>
      <c r="Y75" s="96"/>
      <c r="Z75" s="57"/>
      <c r="AA75" s="57" t="s">
        <v>202</v>
      </c>
      <c r="AB75" s="57">
        <f>T75</f>
        <v>2838.0000000000005</v>
      </c>
    </row>
    <row r="76" spans="2:28" outlineLevel="1" x14ac:dyDescent="0.35">
      <c r="B76" s="27"/>
      <c r="D76" s="6"/>
      <c r="E76" s="93" t="s">
        <v>6</v>
      </c>
      <c r="F76" s="94">
        <f t="shared" ref="F76:P76" si="30">133333333/(10^6)</f>
        <v>133.33333300000001</v>
      </c>
      <c r="G76" s="94">
        <f t="shared" si="30"/>
        <v>133.33333300000001</v>
      </c>
      <c r="H76" s="94">
        <f t="shared" si="30"/>
        <v>133.33333300000001</v>
      </c>
      <c r="I76" s="94">
        <f t="shared" si="30"/>
        <v>133.33333300000001</v>
      </c>
      <c r="J76" s="94">
        <f t="shared" si="30"/>
        <v>133.33333300000001</v>
      </c>
      <c r="K76" s="94">
        <f t="shared" si="30"/>
        <v>133.33333300000001</v>
      </c>
      <c r="L76" s="94">
        <f t="shared" si="30"/>
        <v>133.33333300000001</v>
      </c>
      <c r="M76" s="94">
        <f t="shared" si="30"/>
        <v>133.33333300000001</v>
      </c>
      <c r="N76" s="94">
        <f t="shared" si="30"/>
        <v>133.33333300000001</v>
      </c>
      <c r="O76" s="94">
        <f t="shared" si="30"/>
        <v>133.33333300000001</v>
      </c>
      <c r="P76" s="94">
        <f t="shared" si="30"/>
        <v>133.33333300000001</v>
      </c>
      <c r="Q76" s="94">
        <f t="shared" ref="Q76:Q81" si="31">P76</f>
        <v>133.33333300000001</v>
      </c>
      <c r="R76" s="94">
        <f t="shared" ref="R76:R81" si="32">SUMIFS($F76:$Q76,$F$7:$Q$7,"A")</f>
        <v>1599.9999960000002</v>
      </c>
      <c r="S76" s="94">
        <f t="shared" ref="S76:S81" si="33">SUMIFS($F76:$Q76,$F$7:$Q$7,"B")</f>
        <v>0</v>
      </c>
      <c r="T76" s="95">
        <f t="shared" ref="T76:T83" si="34">SUM(R76:S76)</f>
        <v>1599.9999960000002</v>
      </c>
      <c r="U76" s="96">
        <f t="shared" si="9"/>
        <v>0.14348102875897881</v>
      </c>
      <c r="V76" s="96" t="str">
        <f t="shared" si="22"/>
        <v/>
      </c>
      <c r="W76" s="96">
        <f t="shared" si="23"/>
        <v>0.14348102875897881</v>
      </c>
      <c r="X76" s="96"/>
      <c r="Y76" s="96"/>
      <c r="Z76" s="94"/>
      <c r="AA76" s="57" t="s">
        <v>202</v>
      </c>
      <c r="AB76" s="95">
        <f t="shared" ref="AB76:AB81" si="35">T76</f>
        <v>1599.9999960000002</v>
      </c>
    </row>
    <row r="77" spans="2:28" outlineLevel="1" x14ac:dyDescent="0.35">
      <c r="B77" s="27"/>
      <c r="D77" s="6"/>
      <c r="E77" s="93" t="s">
        <v>7</v>
      </c>
      <c r="F77" s="94">
        <f t="shared" ref="F77:P77" si="36">20000000/(10^6)</f>
        <v>20</v>
      </c>
      <c r="G77" s="94">
        <f t="shared" si="36"/>
        <v>20</v>
      </c>
      <c r="H77" s="94">
        <f t="shared" si="36"/>
        <v>20</v>
      </c>
      <c r="I77" s="94">
        <f t="shared" si="36"/>
        <v>20</v>
      </c>
      <c r="J77" s="94">
        <f t="shared" si="36"/>
        <v>20</v>
      </c>
      <c r="K77" s="94">
        <f t="shared" si="36"/>
        <v>20</v>
      </c>
      <c r="L77" s="94">
        <f t="shared" si="36"/>
        <v>20</v>
      </c>
      <c r="M77" s="94">
        <f t="shared" si="36"/>
        <v>20</v>
      </c>
      <c r="N77" s="94">
        <f t="shared" si="36"/>
        <v>20</v>
      </c>
      <c r="O77" s="94">
        <f t="shared" si="36"/>
        <v>20</v>
      </c>
      <c r="P77" s="94">
        <f t="shared" si="36"/>
        <v>20</v>
      </c>
      <c r="Q77" s="94">
        <f t="shared" si="31"/>
        <v>20</v>
      </c>
      <c r="R77" s="94">
        <f t="shared" si="32"/>
        <v>240</v>
      </c>
      <c r="S77" s="94">
        <f t="shared" si="33"/>
        <v>0</v>
      </c>
      <c r="T77" s="95">
        <f t="shared" si="34"/>
        <v>240</v>
      </c>
      <c r="U77" s="96">
        <f t="shared" si="9"/>
        <v>2.1522154367652202E-2</v>
      </c>
      <c r="V77" s="96" t="str">
        <f t="shared" si="22"/>
        <v/>
      </c>
      <c r="W77" s="96">
        <f t="shared" si="23"/>
        <v>2.1522154367652202E-2</v>
      </c>
      <c r="X77" s="96"/>
      <c r="Y77" s="96"/>
      <c r="Z77" s="94"/>
      <c r="AA77" s="57" t="s">
        <v>202</v>
      </c>
      <c r="AB77" s="95">
        <f t="shared" si="35"/>
        <v>240</v>
      </c>
    </row>
    <row r="78" spans="2:28" outlineLevel="1" x14ac:dyDescent="0.35">
      <c r="B78" s="27"/>
      <c r="D78" s="6"/>
      <c r="E78" s="93" t="s">
        <v>8</v>
      </c>
      <c r="F78" s="94">
        <f t="shared" ref="F78:P78" si="37">70833333/(10^6)</f>
        <v>70.833332999999996</v>
      </c>
      <c r="G78" s="94">
        <f t="shared" si="37"/>
        <v>70.833332999999996</v>
      </c>
      <c r="H78" s="94">
        <f t="shared" si="37"/>
        <v>70.833332999999996</v>
      </c>
      <c r="I78" s="94">
        <f t="shared" si="37"/>
        <v>70.833332999999996</v>
      </c>
      <c r="J78" s="94">
        <f t="shared" si="37"/>
        <v>70.833332999999996</v>
      </c>
      <c r="K78" s="94">
        <f t="shared" si="37"/>
        <v>70.833332999999996</v>
      </c>
      <c r="L78" s="94">
        <f t="shared" si="37"/>
        <v>70.833332999999996</v>
      </c>
      <c r="M78" s="94">
        <f t="shared" si="37"/>
        <v>70.833332999999996</v>
      </c>
      <c r="N78" s="94">
        <f t="shared" si="37"/>
        <v>70.833332999999996</v>
      </c>
      <c r="O78" s="94">
        <f t="shared" si="37"/>
        <v>70.833332999999996</v>
      </c>
      <c r="P78" s="94">
        <f t="shared" si="37"/>
        <v>70.833332999999996</v>
      </c>
      <c r="Q78" s="94">
        <f t="shared" si="31"/>
        <v>70.833332999999996</v>
      </c>
      <c r="R78" s="94">
        <f t="shared" si="32"/>
        <v>849.99999600000012</v>
      </c>
      <c r="S78" s="94">
        <f t="shared" si="33"/>
        <v>0</v>
      </c>
      <c r="T78" s="95">
        <f t="shared" si="34"/>
        <v>849.99999600000012</v>
      </c>
      <c r="U78" s="96">
        <f t="shared" si="9"/>
        <v>7.6224296360065655E-2</v>
      </c>
      <c r="V78" s="96" t="str">
        <f t="shared" si="22"/>
        <v/>
      </c>
      <c r="W78" s="96">
        <f t="shared" si="23"/>
        <v>7.6224296360065655E-2</v>
      </c>
      <c r="X78" s="96"/>
      <c r="Y78" s="96"/>
      <c r="Z78" s="94"/>
      <c r="AA78" s="57" t="s">
        <v>202</v>
      </c>
      <c r="AB78" s="95">
        <f t="shared" si="35"/>
        <v>849.99999600000012</v>
      </c>
    </row>
    <row r="79" spans="2:28" outlineLevel="1" x14ac:dyDescent="0.35">
      <c r="B79" s="27"/>
      <c r="D79" s="6"/>
      <c r="E79" s="93" t="s">
        <v>9</v>
      </c>
      <c r="F79" s="94">
        <f t="shared" ref="F79:P79" si="38">5666667/(10^6)</f>
        <v>5.6666670000000003</v>
      </c>
      <c r="G79" s="94">
        <f t="shared" si="38"/>
        <v>5.6666670000000003</v>
      </c>
      <c r="H79" s="94">
        <f t="shared" si="38"/>
        <v>5.6666670000000003</v>
      </c>
      <c r="I79" s="94">
        <f t="shared" si="38"/>
        <v>5.6666670000000003</v>
      </c>
      <c r="J79" s="94">
        <f t="shared" si="38"/>
        <v>5.6666670000000003</v>
      </c>
      <c r="K79" s="94">
        <f t="shared" si="38"/>
        <v>5.6666670000000003</v>
      </c>
      <c r="L79" s="94">
        <f t="shared" si="38"/>
        <v>5.6666670000000003</v>
      </c>
      <c r="M79" s="94">
        <f t="shared" si="38"/>
        <v>5.6666670000000003</v>
      </c>
      <c r="N79" s="94">
        <f t="shared" si="38"/>
        <v>5.6666670000000003</v>
      </c>
      <c r="O79" s="94">
        <f t="shared" si="38"/>
        <v>5.6666670000000003</v>
      </c>
      <c r="P79" s="94">
        <f t="shared" si="38"/>
        <v>5.6666670000000003</v>
      </c>
      <c r="Q79" s="94">
        <f t="shared" si="31"/>
        <v>5.6666670000000003</v>
      </c>
      <c r="R79" s="94">
        <f t="shared" si="32"/>
        <v>68.000004000000018</v>
      </c>
      <c r="S79" s="94">
        <f t="shared" si="33"/>
        <v>0</v>
      </c>
      <c r="T79" s="95">
        <f t="shared" si="34"/>
        <v>68.000004000000018</v>
      </c>
      <c r="U79" s="96">
        <f t="shared" si="9"/>
        <v>6.0979440962040318E-3</v>
      </c>
      <c r="V79" s="96" t="str">
        <f t="shared" si="22"/>
        <v/>
      </c>
      <c r="W79" s="96">
        <f t="shared" si="23"/>
        <v>6.0979440962040318E-3</v>
      </c>
      <c r="X79" s="96"/>
      <c r="Y79" s="96"/>
      <c r="Z79" s="94"/>
      <c r="AA79" s="57" t="s">
        <v>202</v>
      </c>
      <c r="AB79" s="95">
        <f t="shared" si="35"/>
        <v>68.000004000000018</v>
      </c>
    </row>
    <row r="80" spans="2:28" outlineLevel="1" x14ac:dyDescent="0.35">
      <c r="B80" s="27"/>
      <c r="D80" s="6"/>
      <c r="E80" s="93" t="s">
        <v>10</v>
      </c>
      <c r="F80" s="94">
        <f t="shared" ref="F80:P80" si="39">6666667/(10^6)</f>
        <v>6.6666670000000003</v>
      </c>
      <c r="G80" s="94">
        <f t="shared" si="39"/>
        <v>6.6666670000000003</v>
      </c>
      <c r="H80" s="94">
        <f t="shared" si="39"/>
        <v>6.6666670000000003</v>
      </c>
      <c r="I80" s="94">
        <f t="shared" si="39"/>
        <v>6.6666670000000003</v>
      </c>
      <c r="J80" s="94">
        <f t="shared" si="39"/>
        <v>6.6666670000000003</v>
      </c>
      <c r="K80" s="94">
        <f t="shared" si="39"/>
        <v>6.6666670000000003</v>
      </c>
      <c r="L80" s="94">
        <f t="shared" si="39"/>
        <v>6.6666670000000003</v>
      </c>
      <c r="M80" s="94">
        <f t="shared" si="39"/>
        <v>6.6666670000000003</v>
      </c>
      <c r="N80" s="94">
        <f t="shared" si="39"/>
        <v>6.6666670000000003</v>
      </c>
      <c r="O80" s="94">
        <f t="shared" si="39"/>
        <v>6.6666670000000003</v>
      </c>
      <c r="P80" s="94">
        <f t="shared" si="39"/>
        <v>6.6666670000000003</v>
      </c>
      <c r="Q80" s="94">
        <f t="shared" si="31"/>
        <v>6.6666670000000003</v>
      </c>
      <c r="R80" s="94">
        <f t="shared" si="32"/>
        <v>80.000004000000033</v>
      </c>
      <c r="S80" s="94">
        <f t="shared" si="33"/>
        <v>0</v>
      </c>
      <c r="T80" s="95">
        <f t="shared" si="34"/>
        <v>80.000004000000033</v>
      </c>
      <c r="U80" s="96">
        <f t="shared" si="9"/>
        <v>7.1740518145866437E-3</v>
      </c>
      <c r="V80" s="96" t="str">
        <f t="shared" si="22"/>
        <v/>
      </c>
      <c r="W80" s="96">
        <f t="shared" si="23"/>
        <v>7.1740518145866437E-3</v>
      </c>
      <c r="X80" s="96"/>
      <c r="Y80" s="96"/>
      <c r="Z80" s="94"/>
      <c r="AA80" s="57" t="s">
        <v>202</v>
      </c>
      <c r="AB80" s="95">
        <f t="shared" si="35"/>
        <v>80.000004000000033</v>
      </c>
    </row>
    <row r="81" spans="2:28" x14ac:dyDescent="0.35">
      <c r="B81" s="27"/>
      <c r="C81" s="2" t="s">
        <v>195</v>
      </c>
      <c r="D81" s="6"/>
      <c r="E81" s="93"/>
      <c r="F81" s="103">
        <v>24.41545</v>
      </c>
      <c r="G81" s="103">
        <v>24.41545</v>
      </c>
      <c r="H81" s="103">
        <v>24.41545</v>
      </c>
      <c r="I81" s="103">
        <v>24.41545</v>
      </c>
      <c r="J81" s="103">
        <v>24.41545</v>
      </c>
      <c r="K81" s="103">
        <v>24.41545</v>
      </c>
      <c r="L81" s="103">
        <v>24.41545</v>
      </c>
      <c r="M81" s="103">
        <v>24.41545</v>
      </c>
      <c r="N81" s="103">
        <v>24.41545</v>
      </c>
      <c r="O81" s="103">
        <v>24.41545</v>
      </c>
      <c r="P81" s="103">
        <v>24.41545</v>
      </c>
      <c r="Q81" s="57">
        <f t="shared" si="31"/>
        <v>24.41545</v>
      </c>
      <c r="R81" s="57">
        <f t="shared" si="32"/>
        <v>292.98539999999997</v>
      </c>
      <c r="S81" s="57">
        <f t="shared" si="33"/>
        <v>0</v>
      </c>
      <c r="T81" s="57">
        <f t="shared" si="34"/>
        <v>292.98539999999997</v>
      </c>
      <c r="U81" s="96">
        <f t="shared" si="9"/>
        <v>2.6273654192784698E-2</v>
      </c>
      <c r="V81" s="96" t="str">
        <f t="shared" si="22"/>
        <v/>
      </c>
      <c r="W81" s="96">
        <f t="shared" si="23"/>
        <v>2.6273654192784698E-2</v>
      </c>
      <c r="X81" s="96"/>
      <c r="Y81" s="96"/>
      <c r="Z81" s="94"/>
      <c r="AA81" s="57" t="s">
        <v>202</v>
      </c>
      <c r="AB81" s="57">
        <f t="shared" si="35"/>
        <v>292.98539999999997</v>
      </c>
    </row>
    <row r="82" spans="2:28" x14ac:dyDescent="0.35">
      <c r="C82" s="2" t="s">
        <v>191</v>
      </c>
      <c r="D82" s="55"/>
      <c r="F82" s="62">
        <f>0/(10^6)</f>
        <v>0</v>
      </c>
      <c r="G82" s="62">
        <f>33998323/(10^6)</f>
        <v>33.998322999999999</v>
      </c>
      <c r="H82" s="62">
        <f>30020430/(10^6)</f>
        <v>30.020430000000001</v>
      </c>
      <c r="I82" s="62">
        <v>30.045971999999999</v>
      </c>
      <c r="J82" s="62">
        <f>23868844/(10^6)</f>
        <v>23.868843999999999</v>
      </c>
      <c r="K82" s="62">
        <f>20099560/(10^6)</f>
        <v>20.09956</v>
      </c>
      <c r="L82" s="62">
        <f>37639123/(10^6)</f>
        <v>37.639122999999998</v>
      </c>
      <c r="M82" s="62">
        <f>115210000/(10^6)</f>
        <v>115.21</v>
      </c>
      <c r="N82" s="62">
        <f>0/(10^6)</f>
        <v>0</v>
      </c>
      <c r="O82" s="62">
        <f>0/(10^6)</f>
        <v>0</v>
      </c>
      <c r="P82" s="62">
        <f>0/(10^6)</f>
        <v>0</v>
      </c>
      <c r="Q82" s="62">
        <v>0</v>
      </c>
      <c r="R82" s="57">
        <f>SUMIFS($F82:$Q82,$F$7:$Q$7,"A")</f>
        <v>290.88225199999999</v>
      </c>
      <c r="S82" s="57">
        <f>SUMIFS($F82:$Q82,$F$7:$Q$7,"B")</f>
        <v>0</v>
      </c>
      <c r="T82" s="57">
        <f t="shared" si="34"/>
        <v>290.88225199999999</v>
      </c>
      <c r="U82" s="96">
        <f t="shared" si="9"/>
        <v>2.6085053043142951E-2</v>
      </c>
      <c r="V82" s="96" t="str">
        <f t="shared" si="22"/>
        <v/>
      </c>
      <c r="W82" s="96">
        <f t="shared" si="23"/>
        <v>2.6085053043142951E-2</v>
      </c>
      <c r="X82" s="96"/>
      <c r="Y82" s="96"/>
      <c r="Z82" s="59"/>
      <c r="AA82" s="59"/>
      <c r="AB82" s="59">
        <v>0</v>
      </c>
    </row>
    <row r="83" spans="2:28" x14ac:dyDescent="0.35">
      <c r="C83" s="2" t="s">
        <v>619</v>
      </c>
      <c r="D83" s="55"/>
      <c r="F83" s="62">
        <f>5700276/(10^6)</f>
        <v>5.7002759999999997</v>
      </c>
      <c r="G83" s="62">
        <f>5701054/(10^6)</f>
        <v>5.7010540000000001</v>
      </c>
      <c r="H83" s="62">
        <f>5296570/(10^6)</f>
        <v>5.29657</v>
      </c>
      <c r="I83" s="62">
        <f>5884609/(10^6)</f>
        <v>5.8846090000000002</v>
      </c>
      <c r="J83" s="62">
        <f>5806723/(10^6)</f>
        <v>5.8067229999999999</v>
      </c>
      <c r="K83" s="62">
        <f>6099365/(10^6)</f>
        <v>6.0993649999999997</v>
      </c>
      <c r="L83" s="62">
        <f>98599457/(10^6)</f>
        <v>98.599457000000001</v>
      </c>
      <c r="M83" s="62">
        <f>29136/(10^6)</f>
        <v>2.9135999999999999E-2</v>
      </c>
      <c r="N83" s="62">
        <f>1535298/(10^6)</f>
        <v>1.5352980000000001</v>
      </c>
      <c r="O83" s="62">
        <f>69331/(10^6)</f>
        <v>6.9331000000000004E-2</v>
      </c>
      <c r="P83" s="62">
        <f>83237/(10^6)</f>
        <v>8.3237000000000005E-2</v>
      </c>
      <c r="Q83" s="284">
        <v>2.4414000000000002E-2</v>
      </c>
      <c r="R83" s="57">
        <f>SUMIFS($F83:$Q83,$F$7:$Q$7,"A")</f>
        <v>134.82947000000001</v>
      </c>
      <c r="S83" s="57">
        <f>SUMIFS($F83:$Q83,$F$7:$Q$7,"B")</f>
        <v>0</v>
      </c>
      <c r="T83" s="57">
        <f t="shared" si="34"/>
        <v>134.82947000000001</v>
      </c>
      <c r="U83" s="96">
        <f t="shared" si="9"/>
        <v>1.2090919444369717E-2</v>
      </c>
      <c r="V83" s="96" t="str">
        <f t="shared" si="22"/>
        <v/>
      </c>
      <c r="W83" s="96">
        <f t="shared" si="23"/>
        <v>1.2090919444369717E-2</v>
      </c>
      <c r="X83" s="96"/>
      <c r="Y83" s="96"/>
      <c r="Z83" s="107">
        <v>5.0000000000000001E-3</v>
      </c>
      <c r="AA83" s="59" t="s">
        <v>203</v>
      </c>
      <c r="AB83" s="59">
        <f>Z83*AB72</f>
        <v>29.731170104638924</v>
      </c>
    </row>
    <row r="84" spans="2:28" x14ac:dyDescent="0.35">
      <c r="B84" s="86" t="s">
        <v>192</v>
      </c>
      <c r="C84" s="87"/>
      <c r="D84" s="87"/>
      <c r="E84" s="70"/>
      <c r="F84" s="88">
        <f t="shared" ref="F84:T84" si="40">F72-F75-F81+SUM(F82:F83)</f>
        <v>-254.67018700000008</v>
      </c>
      <c r="G84" s="88">
        <f t="shared" si="40"/>
        <v>147.85841900000008</v>
      </c>
      <c r="H84" s="88">
        <f t="shared" si="40"/>
        <v>233.95910899999981</v>
      </c>
      <c r="I84" s="88">
        <f t="shared" si="40"/>
        <v>362.8607830000002</v>
      </c>
      <c r="J84" s="88">
        <f t="shared" si="40"/>
        <v>214.83474500000003</v>
      </c>
      <c r="K84" s="88">
        <f t="shared" si="40"/>
        <v>139.92770100000001</v>
      </c>
      <c r="L84" s="88">
        <f t="shared" si="40"/>
        <v>253.63160900000017</v>
      </c>
      <c r="M84" s="88">
        <f t="shared" si="40"/>
        <v>107.08217299999998</v>
      </c>
      <c r="N84" s="88">
        <f t="shared" si="40"/>
        <v>58.96053499999983</v>
      </c>
      <c r="O84" s="88">
        <f t="shared" si="40"/>
        <v>37.679437999999934</v>
      </c>
      <c r="P84" s="88">
        <f t="shared" si="40"/>
        <v>1.0638979999999623</v>
      </c>
      <c r="Q84" s="88">
        <f t="shared" si="40"/>
        <v>60.069070999999823</v>
      </c>
      <c r="R84" s="88">
        <f t="shared" si="40"/>
        <v>1363.2572939999995</v>
      </c>
      <c r="S84" s="88">
        <f t="shared" si="40"/>
        <v>0</v>
      </c>
      <c r="T84" s="88">
        <f t="shared" si="40"/>
        <v>1363.2572939999995</v>
      </c>
      <c r="U84" s="101">
        <f t="shared" si="9"/>
        <v>0.12225097468456589</v>
      </c>
      <c r="V84" s="101" t="str">
        <f t="shared" si="22"/>
        <v/>
      </c>
      <c r="W84" s="101">
        <f t="shared" si="23"/>
        <v>0.12225097468456589</v>
      </c>
      <c r="X84" s="101"/>
      <c r="Y84" s="101"/>
      <c r="Z84" s="88"/>
      <c r="AA84" s="88"/>
      <c r="AB84" s="88">
        <f>AB72-AB75-AB81+SUM(AB82:AB83)</f>
        <v>2844.9797910324228</v>
      </c>
    </row>
    <row r="85" spans="2:28" ht="13.15" thickBot="1" x14ac:dyDescent="0.4">
      <c r="C85" s="2" t="s">
        <v>620</v>
      </c>
      <c r="D85" s="55"/>
      <c r="F85" s="59">
        <v>0</v>
      </c>
      <c r="G85" s="59">
        <v>29.571683800000002</v>
      </c>
      <c r="H85" s="59">
        <v>46.791821800000001</v>
      </c>
      <c r="I85" s="59">
        <v>72.572156600000014</v>
      </c>
      <c r="J85" s="59">
        <v>42.966949</v>
      </c>
      <c r="K85" s="59">
        <v>27.985540200000003</v>
      </c>
      <c r="L85" s="59">
        <v>50.726321800000008</v>
      </c>
      <c r="M85" s="59">
        <v>21.416434600000002</v>
      </c>
      <c r="N85" s="59">
        <v>11.792107</v>
      </c>
      <c r="O85" s="59">
        <v>7.5358876000000006</v>
      </c>
      <c r="P85" s="59">
        <v>0.21277960000000001</v>
      </c>
      <c r="Q85" s="59">
        <v>12.013814200000001</v>
      </c>
      <c r="R85" s="59">
        <f>SUMIFS($F85:$Q85,$F$7:$Q$7,"A")</f>
        <v>323.58549620000002</v>
      </c>
      <c r="S85" s="59">
        <f>SUMIFS($F85:$Q85,$F$7:$Q$7,"B")</f>
        <v>0</v>
      </c>
      <c r="T85" s="59">
        <f>SUM(R85:S85)</f>
        <v>323.58549620000002</v>
      </c>
      <c r="U85" s="105">
        <f t="shared" si="9"/>
        <v>2.9017737501457232E-2</v>
      </c>
      <c r="V85" s="105" t="str">
        <f t="shared" si="22"/>
        <v/>
      </c>
      <c r="W85" s="105">
        <f t="shared" si="23"/>
        <v>2.9017737501457232E-2</v>
      </c>
      <c r="X85" s="105"/>
      <c r="Y85" s="105"/>
      <c r="Z85" s="59"/>
      <c r="AA85" s="59"/>
      <c r="AB85" s="59">
        <f>AB84*20%</f>
        <v>568.9959582064846</v>
      </c>
    </row>
    <row r="86" spans="2:28" x14ac:dyDescent="0.35">
      <c r="B86" s="89" t="s">
        <v>194</v>
      </c>
      <c r="C86" s="90"/>
      <c r="D86" s="90"/>
      <c r="E86" s="91"/>
      <c r="F86" s="92">
        <f>F84-F85</f>
        <v>-254.67018700000008</v>
      </c>
      <c r="G86" s="92">
        <f t="shared" ref="G86:Q86" si="41">G84-G85</f>
        <v>118.28673520000008</v>
      </c>
      <c r="H86" s="92">
        <f t="shared" si="41"/>
        <v>187.16728719999981</v>
      </c>
      <c r="I86" s="92">
        <f t="shared" si="41"/>
        <v>290.28862640000017</v>
      </c>
      <c r="J86" s="92">
        <f t="shared" si="41"/>
        <v>171.86779600000003</v>
      </c>
      <c r="K86" s="92">
        <f t="shared" si="41"/>
        <v>111.94216080000001</v>
      </c>
      <c r="L86" s="92">
        <f t="shared" si="41"/>
        <v>202.90528720000015</v>
      </c>
      <c r="M86" s="92">
        <f t="shared" si="41"/>
        <v>85.665738399999981</v>
      </c>
      <c r="N86" s="92">
        <f t="shared" si="41"/>
        <v>47.168427999999828</v>
      </c>
      <c r="O86" s="92">
        <f t="shared" si="41"/>
        <v>30.143550399999931</v>
      </c>
      <c r="P86" s="92">
        <f t="shared" si="41"/>
        <v>0.85111839999996231</v>
      </c>
      <c r="Q86" s="92">
        <f t="shared" si="41"/>
        <v>48.055256799999825</v>
      </c>
      <c r="R86" s="92">
        <f>SUMIFS($F86:$Q86,$F$7:$Q$7,"A")</f>
        <v>1039.6717977999997</v>
      </c>
      <c r="S86" s="92">
        <f>SUMIFS($F86:$Q86,$F$7:$Q$7,"B")</f>
        <v>0</v>
      </c>
      <c r="T86" s="92">
        <f>SUM(R86:S86)</f>
        <v>1039.6717977999997</v>
      </c>
      <c r="U86" s="104">
        <f t="shared" si="9"/>
        <v>9.3233237183108678E-2</v>
      </c>
      <c r="V86" s="92" t="str">
        <f t="shared" si="22"/>
        <v/>
      </c>
      <c r="W86" s="104">
        <f t="shared" si="23"/>
        <v>9.3233237183108678E-2</v>
      </c>
      <c r="X86" s="92"/>
      <c r="Y86" s="92"/>
      <c r="Z86" s="92"/>
      <c r="AA86" s="92"/>
      <c r="AB86" s="92">
        <f>AB84-AB85</f>
        <v>2275.9838328259384</v>
      </c>
    </row>
    <row r="87" spans="2:28" ht="13.15" thickBot="1" x14ac:dyDescent="0.4">
      <c r="C87" s="2" t="s">
        <v>204</v>
      </c>
      <c r="D87" s="55"/>
      <c r="F87" s="356">
        <f>F86*(1-'Site list'!$H$4)</f>
        <v>-33.10712431000001</v>
      </c>
      <c r="G87" s="356">
        <f>G86*(1-'Site list'!$H$4)</f>
        <v>15.377275576000011</v>
      </c>
      <c r="H87" s="356">
        <f>H86*(1-'Site list'!$H$4)</f>
        <v>24.331747335999975</v>
      </c>
      <c r="I87" s="356">
        <f>I86*(1-'Site list'!$H$4)</f>
        <v>37.737521432000023</v>
      </c>
      <c r="J87" s="356">
        <f>J86*(1-'Site list'!$H$4)</f>
        <v>22.342813480000004</v>
      </c>
      <c r="K87" s="356">
        <f>K86*(1-'Site list'!$H$4)</f>
        <v>14.552480904000001</v>
      </c>
      <c r="L87" s="356">
        <f>L86*(1-'Site list'!$H$4)</f>
        <v>26.377687336000019</v>
      </c>
      <c r="M87" s="356">
        <f>M86*(1-'Site list'!$H$4)</f>
        <v>11.136545991999999</v>
      </c>
      <c r="N87" s="356">
        <f>N86*(1-'Site list'!$H$4)</f>
        <v>6.1318956399999776</v>
      </c>
      <c r="O87" s="356">
        <f>O86*(1-'Site list'!$H$4)</f>
        <v>3.9186615519999912</v>
      </c>
      <c r="P87" s="356">
        <f>P86*(1-'Site list'!$H$4)</f>
        <v>0.11064539199999511</v>
      </c>
      <c r="Q87" s="356">
        <f>Q86*(1-'Site list'!$H$4)</f>
        <v>6.2471833839999773</v>
      </c>
      <c r="R87" s="59">
        <f>SUMIFS($F87:$Q87,$F$7:$Q$7,"A")</f>
        <v>135.157333714</v>
      </c>
      <c r="S87" s="59">
        <f>SUMIFS($F87:$Q87,$F$7:$Q$7,"B")</f>
        <v>0</v>
      </c>
      <c r="T87" s="59">
        <f>SUM(R87:S87)</f>
        <v>135.157333714</v>
      </c>
      <c r="U87" s="424">
        <f t="shared" si="9"/>
        <v>1.2120320833804132E-2</v>
      </c>
      <c r="V87" s="59" t="str">
        <f t="shared" si="22"/>
        <v/>
      </c>
      <c r="W87" s="424">
        <f t="shared" si="23"/>
        <v>1.2120320833804132E-2</v>
      </c>
      <c r="X87" s="59"/>
      <c r="Y87" s="59"/>
      <c r="Z87" s="108">
        <f>1-'Site list'!H4</f>
        <v>0.13</v>
      </c>
      <c r="AA87" s="59"/>
      <c r="AB87" s="59">
        <f>AB86*Z87</f>
        <v>295.87789826737202</v>
      </c>
    </row>
    <row r="88" spans="2:28" x14ac:dyDescent="0.35">
      <c r="B88" s="90" t="s">
        <v>205</v>
      </c>
      <c r="C88" s="90"/>
      <c r="D88" s="91"/>
      <c r="E88" s="92"/>
      <c r="F88" s="92">
        <f>F86-F87</f>
        <v>-221.56306269000007</v>
      </c>
      <c r="G88" s="92">
        <f t="shared" ref="G88:Q88" si="42">G86-G87</f>
        <v>102.90945962400006</v>
      </c>
      <c r="H88" s="92">
        <f t="shared" si="42"/>
        <v>162.83553986399983</v>
      </c>
      <c r="I88" s="92">
        <f t="shared" si="42"/>
        <v>252.55110496800015</v>
      </c>
      <c r="J88" s="92">
        <f t="shared" si="42"/>
        <v>149.52498252000004</v>
      </c>
      <c r="K88" s="92">
        <f t="shared" si="42"/>
        <v>97.389679896000004</v>
      </c>
      <c r="L88" s="92">
        <f t="shared" si="42"/>
        <v>176.52759986400014</v>
      </c>
      <c r="M88" s="92">
        <f t="shared" si="42"/>
        <v>74.529192407999986</v>
      </c>
      <c r="N88" s="92">
        <f t="shared" si="42"/>
        <v>41.036532359999853</v>
      </c>
      <c r="O88" s="92">
        <f t="shared" si="42"/>
        <v>26.224888847999939</v>
      </c>
      <c r="P88" s="92">
        <f t="shared" si="42"/>
        <v>0.74047300799996718</v>
      </c>
      <c r="Q88" s="92">
        <f t="shared" si="42"/>
        <v>41.80807341599985</v>
      </c>
      <c r="R88" s="92">
        <f>SUMIFS($F88:$Q88,$F$7:$Q$7,"A")</f>
        <v>904.51446408599975</v>
      </c>
      <c r="S88" s="92">
        <f>SUMIFS($F88:$Q88,$F$7:$Q$7,"B")</f>
        <v>0</v>
      </c>
      <c r="T88" s="92">
        <f>SUM(R88:S88)</f>
        <v>904.51446408599975</v>
      </c>
      <c r="U88" s="104">
        <f t="shared" si="9"/>
        <v>8.1112916349304551E-2</v>
      </c>
      <c r="V88" s="92" t="str">
        <f t="shared" si="22"/>
        <v/>
      </c>
      <c r="W88" s="104">
        <f t="shared" si="23"/>
        <v>8.1112916349304551E-2</v>
      </c>
      <c r="X88" s="92"/>
      <c r="Y88" s="92"/>
      <c r="Z88" s="92"/>
      <c r="AA88" s="92"/>
      <c r="AB88" s="92">
        <f>AB86-AB87</f>
        <v>1980.1059345585663</v>
      </c>
    </row>
    <row r="90" spans="2:28" x14ac:dyDescent="0.35">
      <c r="B90" s="6" t="s">
        <v>281</v>
      </c>
      <c r="Z90" s="200">
        <f>'Site list'!G4</f>
        <v>40000</v>
      </c>
    </row>
    <row r="91" spans="2:28" x14ac:dyDescent="0.35">
      <c r="B91" s="6" t="s">
        <v>280</v>
      </c>
      <c r="F91" s="84">
        <f>'Site list'!$G$4*(1-'Site list'!$H$4)/10/12</f>
        <v>43.333333333333336</v>
      </c>
      <c r="G91" s="84">
        <f>'Site list'!$G$4*(1-'Site list'!$H$4)/10/12</f>
        <v>43.333333333333336</v>
      </c>
      <c r="H91" s="84">
        <f>'Site list'!$G$4*(1-'Site list'!$H$4)/10/12</f>
        <v>43.333333333333336</v>
      </c>
      <c r="I91" s="84">
        <f>'Site list'!$G$4*(1-'Site list'!$H$4)/10/12</f>
        <v>43.333333333333336</v>
      </c>
      <c r="J91" s="84">
        <f>'Site list'!$G$4*(1-'Site list'!$H$4)/10/12</f>
        <v>43.333333333333336</v>
      </c>
      <c r="K91" s="84">
        <f>'Site list'!$G$4*(1-'Site list'!$H$4)/10/12</f>
        <v>43.333333333333336</v>
      </c>
      <c r="L91" s="84">
        <f>'Site list'!$G$4*(1-'Site list'!$H$4)/10/12</f>
        <v>43.333333333333336</v>
      </c>
      <c r="M91" s="84">
        <f>'Site list'!$G$4*(1-'Site list'!$H$4)/10/12</f>
        <v>43.333333333333336</v>
      </c>
      <c r="N91" s="84">
        <f>'Site list'!$G$4*(1-'Site list'!$H$4)/10/12</f>
        <v>43.333333333333336</v>
      </c>
      <c r="O91" s="84">
        <f>'Site list'!$G$4*(1-'Site list'!$H$4)/10/12</f>
        <v>43.333333333333336</v>
      </c>
      <c r="P91" s="84">
        <f>'Site list'!$G$4*(1-'Site list'!$H$4)/10/12</f>
        <v>43.333333333333336</v>
      </c>
      <c r="Q91" s="84">
        <f>'Site list'!$G$4*(1-'Site list'!$H$4)/10/12</f>
        <v>43.333333333333336</v>
      </c>
      <c r="Z91" s="203">
        <f>Z87</f>
        <v>0.13</v>
      </c>
      <c r="AB91" s="62">
        <f>Z90*Z91/10</f>
        <v>520</v>
      </c>
    </row>
    <row r="93" spans="2:28" x14ac:dyDescent="0.35">
      <c r="B93" s="28" t="s">
        <v>99</v>
      </c>
    </row>
    <row r="94" spans="2:28" x14ac:dyDescent="0.35">
      <c r="C94" s="6" t="s">
        <v>137</v>
      </c>
    </row>
    <row r="95" spans="2:28" x14ac:dyDescent="0.35">
      <c r="E95" s="2" t="s">
        <v>6</v>
      </c>
      <c r="F95" s="57">
        <v>257</v>
      </c>
      <c r="G95" s="57">
        <v>402</v>
      </c>
      <c r="H95" s="57">
        <v>460</v>
      </c>
      <c r="I95" s="57">
        <v>538</v>
      </c>
      <c r="J95" s="57">
        <v>463</v>
      </c>
      <c r="K95" s="57">
        <v>437</v>
      </c>
      <c r="L95" s="57">
        <v>449</v>
      </c>
      <c r="M95" s="57">
        <v>358</v>
      </c>
      <c r="N95" s="57">
        <v>373</v>
      </c>
      <c r="O95" s="57">
        <v>353</v>
      </c>
      <c r="P95" s="57">
        <v>327</v>
      </c>
      <c r="Q95" s="2">
        <f>Q18</f>
        <v>374</v>
      </c>
      <c r="R95" s="57">
        <f>SUMIFS($F95:$Q95,$F$7:$Q$7,"A")</f>
        <v>4791</v>
      </c>
      <c r="S95" s="57">
        <f>SUMIFS($F95:$Q95,$F$7:$Q$7,"B")</f>
        <v>0</v>
      </c>
      <c r="T95" s="57">
        <f t="shared" ref="T95" si="43">SUM(R95:S95)</f>
        <v>4791</v>
      </c>
      <c r="U95" s="201"/>
      <c r="AB95" s="2">
        <f>AB109*T103</f>
        <v>5440</v>
      </c>
    </row>
    <row r="96" spans="2:28" x14ac:dyDescent="0.35">
      <c r="E96" s="2" t="s">
        <v>7</v>
      </c>
      <c r="F96" s="57">
        <v>7</v>
      </c>
      <c r="G96" s="57">
        <v>16</v>
      </c>
      <c r="H96" s="57">
        <v>17</v>
      </c>
      <c r="I96" s="57">
        <v>37</v>
      </c>
      <c r="J96" s="57">
        <v>22</v>
      </c>
      <c r="K96" s="57">
        <v>18</v>
      </c>
      <c r="L96" s="57">
        <v>21</v>
      </c>
      <c r="M96" s="57">
        <v>28</v>
      </c>
      <c r="N96" s="57">
        <v>20</v>
      </c>
      <c r="O96" s="57">
        <v>18</v>
      </c>
      <c r="P96" s="57">
        <v>17</v>
      </c>
      <c r="Q96" s="2">
        <f>Q19</f>
        <v>16</v>
      </c>
      <c r="R96" s="57">
        <f t="shared" ref="R96:R100" si="44">SUMIFS($F96:$Q96,$F$7:$Q$7,"A")</f>
        <v>237</v>
      </c>
      <c r="S96" s="57">
        <f t="shared" ref="S96:S100" si="45">SUMIFS($F96:$Q96,$F$7:$Q$7,"B")</f>
        <v>0</v>
      </c>
      <c r="T96" s="57">
        <f t="shared" ref="T96:T99" si="46">SUM(R96:S96)</f>
        <v>237</v>
      </c>
      <c r="U96" s="201"/>
      <c r="AB96" s="2">
        <f>AB110*T104</f>
        <v>444</v>
      </c>
    </row>
    <row r="97" spans="3:28" x14ac:dyDescent="0.35">
      <c r="E97" s="2" t="s">
        <v>8</v>
      </c>
      <c r="F97" s="57">
        <v>108</v>
      </c>
      <c r="G97" s="57">
        <v>143</v>
      </c>
      <c r="H97" s="57">
        <v>166</v>
      </c>
      <c r="I97" s="57">
        <v>201</v>
      </c>
      <c r="J97" s="57">
        <v>134</v>
      </c>
      <c r="K97" s="57">
        <v>106</v>
      </c>
      <c r="L97" s="57">
        <v>81</v>
      </c>
      <c r="M97" s="57">
        <v>76</v>
      </c>
      <c r="N97" s="57">
        <v>82</v>
      </c>
      <c r="O97" s="57">
        <v>92</v>
      </c>
      <c r="P97" s="58">
        <v>83</v>
      </c>
      <c r="Q97" s="2">
        <f>Q20</f>
        <v>109</v>
      </c>
      <c r="R97" s="57">
        <f t="shared" si="44"/>
        <v>1381</v>
      </c>
      <c r="S97" s="57">
        <f t="shared" si="45"/>
        <v>0</v>
      </c>
      <c r="T97" s="57">
        <f t="shared" si="46"/>
        <v>1381</v>
      </c>
      <c r="U97" s="201"/>
      <c r="AB97" s="2">
        <f>AB111*T105</f>
        <v>2332.7999999999997</v>
      </c>
    </row>
    <row r="98" spans="3:28" x14ac:dyDescent="0.35">
      <c r="E98" s="2" t="s">
        <v>9</v>
      </c>
      <c r="F98" s="57">
        <v>58</v>
      </c>
      <c r="G98" s="57">
        <v>83</v>
      </c>
      <c r="H98" s="57">
        <v>147</v>
      </c>
      <c r="I98" s="57">
        <v>228</v>
      </c>
      <c r="J98" s="57">
        <v>168</v>
      </c>
      <c r="K98" s="57">
        <v>188</v>
      </c>
      <c r="L98" s="57">
        <v>203</v>
      </c>
      <c r="M98" s="57">
        <v>155</v>
      </c>
      <c r="N98" s="57">
        <v>167</v>
      </c>
      <c r="O98" s="57">
        <v>144</v>
      </c>
      <c r="P98" s="57">
        <v>187</v>
      </c>
      <c r="Q98" s="2">
        <f>Q21</f>
        <v>150</v>
      </c>
      <c r="R98" s="57">
        <f t="shared" si="44"/>
        <v>1878</v>
      </c>
      <c r="S98" s="57">
        <f t="shared" si="45"/>
        <v>0</v>
      </c>
      <c r="T98" s="57">
        <f t="shared" si="46"/>
        <v>1878</v>
      </c>
      <c r="U98" s="201"/>
      <c r="AB98" s="2">
        <f>AB112*T106</f>
        <v>2736</v>
      </c>
    </row>
    <row r="99" spans="3:28" x14ac:dyDescent="0.35">
      <c r="E99" s="2" t="s">
        <v>10</v>
      </c>
      <c r="F99" s="57">
        <v>36</v>
      </c>
      <c r="G99" s="57">
        <v>72</v>
      </c>
      <c r="H99" s="57">
        <v>67</v>
      </c>
      <c r="I99" s="57">
        <v>57</v>
      </c>
      <c r="J99" s="57">
        <v>42</v>
      </c>
      <c r="K99" s="57">
        <v>38</v>
      </c>
      <c r="L99" s="58">
        <v>85</v>
      </c>
      <c r="M99" s="57">
        <v>46</v>
      </c>
      <c r="N99" s="57">
        <v>79</v>
      </c>
      <c r="O99" s="57">
        <v>82</v>
      </c>
      <c r="P99" s="57">
        <v>44</v>
      </c>
      <c r="Q99" s="2">
        <f>Q22</f>
        <v>70</v>
      </c>
      <c r="R99" s="57">
        <f t="shared" si="44"/>
        <v>718</v>
      </c>
      <c r="S99" s="57">
        <f t="shared" si="45"/>
        <v>0</v>
      </c>
      <c r="T99" s="57">
        <f t="shared" si="46"/>
        <v>718</v>
      </c>
      <c r="U99" s="201"/>
      <c r="AB99" s="2">
        <f>AB113*T107</f>
        <v>1020</v>
      </c>
    </row>
    <row r="100" spans="3:28" x14ac:dyDescent="0.35">
      <c r="D100" s="55" t="s">
        <v>134</v>
      </c>
      <c r="F100" s="59">
        <f>SUM(F95:F99)</f>
        <v>466</v>
      </c>
      <c r="G100" s="59">
        <f t="shared" ref="G100:Q100" si="47">SUM(G95:G99)</f>
        <v>716</v>
      </c>
      <c r="H100" s="59">
        <f t="shared" si="47"/>
        <v>857</v>
      </c>
      <c r="I100" s="59">
        <f t="shared" si="47"/>
        <v>1061</v>
      </c>
      <c r="J100" s="59">
        <f t="shared" si="47"/>
        <v>829</v>
      </c>
      <c r="K100" s="59">
        <f t="shared" si="47"/>
        <v>787</v>
      </c>
      <c r="L100" s="59">
        <f t="shared" si="47"/>
        <v>839</v>
      </c>
      <c r="M100" s="59">
        <f t="shared" si="47"/>
        <v>663</v>
      </c>
      <c r="N100" s="59">
        <f t="shared" si="47"/>
        <v>721</v>
      </c>
      <c r="O100" s="59">
        <f t="shared" si="47"/>
        <v>689</v>
      </c>
      <c r="P100" s="59">
        <f t="shared" si="47"/>
        <v>658</v>
      </c>
      <c r="Q100" s="59">
        <f t="shared" si="47"/>
        <v>719</v>
      </c>
      <c r="R100" s="579">
        <f t="shared" si="44"/>
        <v>9005</v>
      </c>
      <c r="S100" s="60">
        <f t="shared" si="45"/>
        <v>0</v>
      </c>
      <c r="T100" s="427">
        <f t="shared" ref="T100" si="48">SUM(R100:S100)</f>
        <v>9005</v>
      </c>
      <c r="AB100" s="59">
        <f>SUM(AB95:AB99)</f>
        <v>11972.8</v>
      </c>
    </row>
    <row r="101" spans="3:28" x14ac:dyDescent="0.35">
      <c r="D101" s="55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</row>
    <row r="102" spans="3:28" x14ac:dyDescent="0.35">
      <c r="C102" s="6" t="s">
        <v>447</v>
      </c>
      <c r="D102" s="55"/>
    </row>
    <row r="103" spans="3:28" x14ac:dyDescent="0.35">
      <c r="D103" s="55"/>
      <c r="E103" s="2" t="s">
        <v>6</v>
      </c>
      <c r="F103" s="2">
        <f>30*9*60/20</f>
        <v>810</v>
      </c>
      <c r="G103" s="2">
        <f t="shared" ref="G103:Q103" si="49">30*9*60/20</f>
        <v>810</v>
      </c>
      <c r="H103" s="2">
        <f t="shared" si="49"/>
        <v>810</v>
      </c>
      <c r="I103" s="2">
        <f t="shared" si="49"/>
        <v>810</v>
      </c>
      <c r="J103" s="2">
        <f t="shared" si="49"/>
        <v>810</v>
      </c>
      <c r="K103" s="2">
        <f t="shared" si="49"/>
        <v>810</v>
      </c>
      <c r="L103" s="2">
        <f t="shared" si="49"/>
        <v>810</v>
      </c>
      <c r="M103" s="2">
        <f t="shared" si="49"/>
        <v>810</v>
      </c>
      <c r="N103" s="2">
        <f t="shared" si="49"/>
        <v>810</v>
      </c>
      <c r="O103" s="2">
        <f t="shared" si="49"/>
        <v>810</v>
      </c>
      <c r="P103" s="2">
        <f t="shared" si="49"/>
        <v>810</v>
      </c>
      <c r="Q103" s="2">
        <f t="shared" si="49"/>
        <v>810</v>
      </c>
      <c r="T103" s="2">
        <f>SUM(F103:Q103)</f>
        <v>9720</v>
      </c>
    </row>
    <row r="104" spans="3:28" x14ac:dyDescent="0.35">
      <c r="D104" s="55"/>
      <c r="E104" s="2" t="s">
        <v>7</v>
      </c>
      <c r="F104" s="2">
        <f>30*9*60/15</f>
        <v>1080</v>
      </c>
      <c r="G104" s="2">
        <f t="shared" ref="G104:Q104" si="50">30*9*60/15</f>
        <v>1080</v>
      </c>
      <c r="H104" s="2">
        <f t="shared" si="50"/>
        <v>1080</v>
      </c>
      <c r="I104" s="2">
        <f t="shared" si="50"/>
        <v>1080</v>
      </c>
      <c r="J104" s="2">
        <f t="shared" si="50"/>
        <v>1080</v>
      </c>
      <c r="K104" s="2">
        <f t="shared" si="50"/>
        <v>1080</v>
      </c>
      <c r="L104" s="2">
        <f t="shared" si="50"/>
        <v>1080</v>
      </c>
      <c r="M104" s="2">
        <f t="shared" si="50"/>
        <v>1080</v>
      </c>
      <c r="N104" s="2">
        <f t="shared" si="50"/>
        <v>1080</v>
      </c>
      <c r="O104" s="2">
        <f t="shared" si="50"/>
        <v>1080</v>
      </c>
      <c r="P104" s="2">
        <f t="shared" si="50"/>
        <v>1080</v>
      </c>
      <c r="Q104" s="2">
        <f t="shared" si="50"/>
        <v>1080</v>
      </c>
      <c r="T104" s="2">
        <f>SUM(F104:Q104)</f>
        <v>12960</v>
      </c>
    </row>
    <row r="105" spans="3:28" x14ac:dyDescent="0.35">
      <c r="D105" s="55"/>
      <c r="E105" s="2" t="s">
        <v>8</v>
      </c>
      <c r="F105" s="2">
        <f>30*9*60/10</f>
        <v>1620</v>
      </c>
      <c r="G105" s="2">
        <f t="shared" ref="G105:Q105" si="51">30*9*60/10</f>
        <v>1620</v>
      </c>
      <c r="H105" s="2">
        <f t="shared" si="51"/>
        <v>1620</v>
      </c>
      <c r="I105" s="2">
        <f t="shared" si="51"/>
        <v>1620</v>
      </c>
      <c r="J105" s="2">
        <f t="shared" si="51"/>
        <v>1620</v>
      </c>
      <c r="K105" s="2">
        <f t="shared" si="51"/>
        <v>1620</v>
      </c>
      <c r="L105" s="2">
        <f t="shared" si="51"/>
        <v>1620</v>
      </c>
      <c r="M105" s="2">
        <f t="shared" si="51"/>
        <v>1620</v>
      </c>
      <c r="N105" s="2">
        <f t="shared" si="51"/>
        <v>1620</v>
      </c>
      <c r="O105" s="2">
        <f t="shared" si="51"/>
        <v>1620</v>
      </c>
      <c r="P105" s="2">
        <f t="shared" si="51"/>
        <v>1620</v>
      </c>
      <c r="Q105" s="2">
        <f t="shared" si="51"/>
        <v>1620</v>
      </c>
      <c r="T105" s="2">
        <f>SUM(F105:Q105)</f>
        <v>19440</v>
      </c>
    </row>
    <row r="106" spans="3:28" x14ac:dyDescent="0.35">
      <c r="D106" s="55"/>
      <c r="E106" s="2" t="s">
        <v>9</v>
      </c>
      <c r="F106" s="2">
        <f>30*9*60/8</f>
        <v>2025</v>
      </c>
      <c r="G106" s="2">
        <f t="shared" ref="G106:Q106" si="52">30*9*60/8</f>
        <v>2025</v>
      </c>
      <c r="H106" s="2">
        <f t="shared" si="52"/>
        <v>2025</v>
      </c>
      <c r="I106" s="2">
        <f t="shared" si="52"/>
        <v>2025</v>
      </c>
      <c r="J106" s="2">
        <f t="shared" si="52"/>
        <v>2025</v>
      </c>
      <c r="K106" s="2">
        <f t="shared" si="52"/>
        <v>2025</v>
      </c>
      <c r="L106" s="2">
        <f t="shared" si="52"/>
        <v>2025</v>
      </c>
      <c r="M106" s="2">
        <f t="shared" si="52"/>
        <v>2025</v>
      </c>
      <c r="N106" s="2">
        <f t="shared" si="52"/>
        <v>2025</v>
      </c>
      <c r="O106" s="2">
        <f t="shared" si="52"/>
        <v>2025</v>
      </c>
      <c r="P106" s="2">
        <f t="shared" si="52"/>
        <v>2025</v>
      </c>
      <c r="Q106" s="2">
        <f t="shared" si="52"/>
        <v>2025</v>
      </c>
      <c r="T106" s="2">
        <f>SUM(F106:Q106)</f>
        <v>24300</v>
      </c>
    </row>
    <row r="107" spans="3:28" x14ac:dyDescent="0.35">
      <c r="D107" s="55"/>
      <c r="E107" s="2" t="s">
        <v>10</v>
      </c>
      <c r="F107" s="2">
        <f>30*9*60/10</f>
        <v>1620</v>
      </c>
      <c r="G107" s="2">
        <f t="shared" ref="G107:Q107" si="53">30*9*60/10</f>
        <v>1620</v>
      </c>
      <c r="H107" s="2">
        <f t="shared" si="53"/>
        <v>1620</v>
      </c>
      <c r="I107" s="2">
        <f t="shared" si="53"/>
        <v>1620</v>
      </c>
      <c r="J107" s="2">
        <f t="shared" si="53"/>
        <v>1620</v>
      </c>
      <c r="K107" s="2">
        <f t="shared" si="53"/>
        <v>1620</v>
      </c>
      <c r="L107" s="2">
        <f t="shared" si="53"/>
        <v>1620</v>
      </c>
      <c r="M107" s="2">
        <f t="shared" si="53"/>
        <v>1620</v>
      </c>
      <c r="N107" s="2">
        <f t="shared" si="53"/>
        <v>1620</v>
      </c>
      <c r="O107" s="2">
        <f t="shared" si="53"/>
        <v>1620</v>
      </c>
      <c r="P107" s="2">
        <f t="shared" si="53"/>
        <v>1620</v>
      </c>
      <c r="Q107" s="2">
        <f t="shared" si="53"/>
        <v>1620</v>
      </c>
      <c r="T107" s="2">
        <f>SUM(F107:Q107)</f>
        <v>19440</v>
      </c>
    </row>
    <row r="108" spans="3:28" x14ac:dyDescent="0.35">
      <c r="C108" s="6" t="s">
        <v>139</v>
      </c>
    </row>
    <row r="109" spans="3:28" x14ac:dyDescent="0.35">
      <c r="E109" s="2" t="s">
        <v>6</v>
      </c>
      <c r="F109" s="201">
        <f t="shared" ref="F109:Q109" si="54">F95/F103</f>
        <v>0.31728395061728393</v>
      </c>
      <c r="G109" s="201">
        <f t="shared" si="54"/>
        <v>0.49629629629629629</v>
      </c>
      <c r="H109" s="201">
        <f t="shared" si="54"/>
        <v>0.5679012345679012</v>
      </c>
      <c r="I109" s="201">
        <f t="shared" si="54"/>
        <v>0.66419753086419753</v>
      </c>
      <c r="J109" s="201">
        <f t="shared" si="54"/>
        <v>0.57160493827160497</v>
      </c>
      <c r="K109" s="201">
        <f t="shared" si="54"/>
        <v>0.53950617283950619</v>
      </c>
      <c r="L109" s="201">
        <f t="shared" si="54"/>
        <v>0.55432098765432103</v>
      </c>
      <c r="M109" s="201">
        <f t="shared" si="54"/>
        <v>0.44197530864197532</v>
      </c>
      <c r="N109" s="201">
        <f t="shared" si="54"/>
        <v>0.46049382716049381</v>
      </c>
      <c r="O109" s="201">
        <f t="shared" si="54"/>
        <v>0.43580246913580245</v>
      </c>
      <c r="P109" s="201">
        <f t="shared" si="54"/>
        <v>0.40370370370370373</v>
      </c>
      <c r="Q109" s="201">
        <f t="shared" si="54"/>
        <v>0.46172839506172841</v>
      </c>
      <c r="T109" s="201">
        <f>T95/T103</f>
        <v>0.49290123456790125</v>
      </c>
      <c r="AB109" s="97">
        <f>AVERAGE(H109:L109,N109)</f>
        <v>0.55967078189300412</v>
      </c>
    </row>
    <row r="110" spans="3:28" x14ac:dyDescent="0.35">
      <c r="E110" s="2" t="s">
        <v>7</v>
      </c>
      <c r="F110" s="201">
        <f t="shared" ref="F110:Q110" si="55">F96/F104</f>
        <v>6.4814814814814813E-3</v>
      </c>
      <c r="G110" s="201">
        <f t="shared" si="55"/>
        <v>1.4814814814814815E-2</v>
      </c>
      <c r="H110" s="201">
        <f t="shared" si="55"/>
        <v>1.5740740740740739E-2</v>
      </c>
      <c r="I110" s="201">
        <f t="shared" si="55"/>
        <v>3.425925925925926E-2</v>
      </c>
      <c r="J110" s="201">
        <f t="shared" si="55"/>
        <v>2.0370370370370372E-2</v>
      </c>
      <c r="K110" s="201">
        <f t="shared" si="55"/>
        <v>1.6666666666666666E-2</v>
      </c>
      <c r="L110" s="201">
        <f t="shared" si="55"/>
        <v>1.9444444444444445E-2</v>
      </c>
      <c r="M110" s="201">
        <f t="shared" si="55"/>
        <v>2.5925925925925925E-2</v>
      </c>
      <c r="N110" s="201">
        <f t="shared" si="55"/>
        <v>1.8518518518518517E-2</v>
      </c>
      <c r="O110" s="201">
        <f t="shared" si="55"/>
        <v>1.6666666666666666E-2</v>
      </c>
      <c r="P110" s="201">
        <f t="shared" si="55"/>
        <v>1.5740740740740739E-2</v>
      </c>
      <c r="Q110" s="201">
        <f t="shared" si="55"/>
        <v>1.4814814814814815E-2</v>
      </c>
      <c r="T110" s="201">
        <f>T96/T104</f>
        <v>1.8287037037037036E-2</v>
      </c>
      <c r="AB110" s="97">
        <f>MAX(F110:Q110)</f>
        <v>3.425925925925926E-2</v>
      </c>
    </row>
    <row r="111" spans="3:28" x14ac:dyDescent="0.35">
      <c r="E111" s="2" t="s">
        <v>8</v>
      </c>
      <c r="F111" s="201">
        <f t="shared" ref="F111:Q111" si="56">F97/F105</f>
        <v>6.6666666666666666E-2</v>
      </c>
      <c r="G111" s="201">
        <f t="shared" si="56"/>
        <v>8.8271604938271603E-2</v>
      </c>
      <c r="H111" s="201">
        <f t="shared" si="56"/>
        <v>0.10246913580246914</v>
      </c>
      <c r="I111" s="201">
        <f t="shared" si="56"/>
        <v>0.12407407407407407</v>
      </c>
      <c r="J111" s="201">
        <f t="shared" si="56"/>
        <v>8.2716049382716053E-2</v>
      </c>
      <c r="K111" s="201">
        <f t="shared" si="56"/>
        <v>6.5432098765432101E-2</v>
      </c>
      <c r="L111" s="201">
        <f t="shared" si="56"/>
        <v>0.05</v>
      </c>
      <c r="M111" s="201">
        <f t="shared" si="56"/>
        <v>4.6913580246913583E-2</v>
      </c>
      <c r="N111" s="201">
        <f t="shared" si="56"/>
        <v>5.0617283950617285E-2</v>
      </c>
      <c r="O111" s="201">
        <f t="shared" si="56"/>
        <v>5.6790123456790124E-2</v>
      </c>
      <c r="P111" s="201">
        <f t="shared" si="56"/>
        <v>5.1234567901234568E-2</v>
      </c>
      <c r="Q111" s="201">
        <f t="shared" si="56"/>
        <v>6.7283950617283955E-2</v>
      </c>
      <c r="T111" s="201">
        <f>T97/T105</f>
        <v>7.1039094650205761E-2</v>
      </c>
      <c r="AB111" s="97">
        <v>0.12</v>
      </c>
    </row>
    <row r="112" spans="3:28" x14ac:dyDescent="0.35">
      <c r="E112" s="2" t="s">
        <v>9</v>
      </c>
      <c r="F112" s="201">
        <f t="shared" ref="F112:Q112" si="57">F98/F106</f>
        <v>2.8641975308641977E-2</v>
      </c>
      <c r="G112" s="201">
        <f t="shared" si="57"/>
        <v>4.0987654320987651E-2</v>
      </c>
      <c r="H112" s="201">
        <f t="shared" si="57"/>
        <v>7.2592592592592597E-2</v>
      </c>
      <c r="I112" s="201">
        <f t="shared" si="57"/>
        <v>0.11259259259259259</v>
      </c>
      <c r="J112" s="201">
        <f t="shared" si="57"/>
        <v>8.2962962962962961E-2</v>
      </c>
      <c r="K112" s="201">
        <f t="shared" si="57"/>
        <v>9.2839506172839509E-2</v>
      </c>
      <c r="L112" s="201">
        <f t="shared" si="57"/>
        <v>0.10024691358024691</v>
      </c>
      <c r="M112" s="201">
        <f t="shared" si="57"/>
        <v>7.6543209876543214E-2</v>
      </c>
      <c r="N112" s="201">
        <f t="shared" si="57"/>
        <v>8.2469135802469132E-2</v>
      </c>
      <c r="O112" s="201">
        <f t="shared" si="57"/>
        <v>7.1111111111111111E-2</v>
      </c>
      <c r="P112" s="201">
        <f t="shared" si="57"/>
        <v>9.234567901234568E-2</v>
      </c>
      <c r="Q112" s="201">
        <f t="shared" si="57"/>
        <v>7.407407407407407E-2</v>
      </c>
      <c r="T112" s="201">
        <f>T98/T106</f>
        <v>7.728395061728395E-2</v>
      </c>
      <c r="AB112" s="97">
        <f>MAX(F112:Q112)</f>
        <v>0.11259259259259259</v>
      </c>
    </row>
    <row r="113" spans="5:28" x14ac:dyDescent="0.35">
      <c r="E113" s="2" t="s">
        <v>10</v>
      </c>
      <c r="F113" s="201">
        <f t="shared" ref="F113:Q113" si="58">F99/F107</f>
        <v>2.2222222222222223E-2</v>
      </c>
      <c r="G113" s="201">
        <f t="shared" si="58"/>
        <v>4.4444444444444446E-2</v>
      </c>
      <c r="H113" s="201">
        <f t="shared" si="58"/>
        <v>4.1358024691358027E-2</v>
      </c>
      <c r="I113" s="201">
        <f t="shared" si="58"/>
        <v>3.5185185185185187E-2</v>
      </c>
      <c r="J113" s="201">
        <f t="shared" si="58"/>
        <v>2.5925925925925925E-2</v>
      </c>
      <c r="K113" s="201">
        <f t="shared" si="58"/>
        <v>2.3456790123456792E-2</v>
      </c>
      <c r="L113" s="201">
        <f t="shared" si="58"/>
        <v>5.2469135802469133E-2</v>
      </c>
      <c r="M113" s="201">
        <f t="shared" si="58"/>
        <v>2.8395061728395062E-2</v>
      </c>
      <c r="N113" s="201">
        <f t="shared" si="58"/>
        <v>4.8765432098765431E-2</v>
      </c>
      <c r="O113" s="201">
        <f t="shared" si="58"/>
        <v>5.0617283950617285E-2</v>
      </c>
      <c r="P113" s="201">
        <f t="shared" si="58"/>
        <v>2.7160493827160494E-2</v>
      </c>
      <c r="Q113" s="201">
        <f t="shared" si="58"/>
        <v>4.3209876543209874E-2</v>
      </c>
      <c r="T113" s="201">
        <f>T99/T107</f>
        <v>3.693415637860082E-2</v>
      </c>
      <c r="AB113" s="97">
        <f>MAX(F113:Q113)</f>
        <v>5.2469135802469133E-2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69309-F3E2-4A7A-A46D-EDAA2AD1A139}">
  <dimension ref="B3:AB106"/>
  <sheetViews>
    <sheetView workbookViewId="0">
      <pane xSplit="5" ySplit="9" topLeftCell="F10" activePane="bottomRight" state="frozen"/>
      <selection activeCell="H24" sqref="H24"/>
      <selection pane="topRight" activeCell="H24" sqref="H24"/>
      <selection pane="bottomLeft" activeCell="H24" sqref="H24"/>
      <selection pane="bottomRight" activeCell="S102" sqref="S102:S103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45.1328125" style="2" customWidth="1"/>
    <col min="6" max="6" width="9.3984375" style="2" customWidth="1" outlineLevel="1"/>
    <col min="7" max="16" width="10.73046875" style="2" customWidth="1" outlineLevel="1"/>
    <col min="17" max="17" width="10.73046875" style="2" customWidth="1"/>
    <col min="18" max="18" width="12.1328125" style="2" customWidth="1"/>
    <col min="19" max="19" width="10.59765625" style="2" customWidth="1"/>
    <col min="20" max="20" width="7.73046875" style="2" customWidth="1"/>
    <col min="21" max="21" width="8.59765625" style="2" customWidth="1"/>
    <col min="22" max="22" width="8" style="2" customWidth="1"/>
    <col min="23" max="23" width="7" style="2" customWidth="1"/>
    <col min="24" max="25" width="11.3984375" style="2" customWidth="1"/>
    <col min="26" max="26" width="12.86328125" style="2" customWidth="1"/>
    <col min="27" max="27" width="13.1328125" style="2" customWidth="1"/>
    <col min="28" max="28" width="9.1328125" style="2" customWidth="1"/>
    <col min="29" max="16384" width="9.1328125" style="2"/>
  </cols>
  <sheetData>
    <row r="3" spans="2:28" x14ac:dyDescent="0.35">
      <c r="H3" s="60"/>
    </row>
    <row r="4" spans="2:28" x14ac:dyDescent="0.35">
      <c r="B4" s="2" t="s">
        <v>25</v>
      </c>
      <c r="G4" s="2">
        <f>10^6</f>
        <v>1000000</v>
      </c>
    </row>
    <row r="6" spans="2:28" x14ac:dyDescent="0.35">
      <c r="B6" s="27" t="s">
        <v>135</v>
      </c>
    </row>
    <row r="7" spans="2:28" s="6" customFormat="1" x14ac:dyDescent="0.35">
      <c r="B7" s="6" t="s">
        <v>207</v>
      </c>
      <c r="F7" s="74" t="s">
        <v>141</v>
      </c>
      <c r="G7" s="74" t="s">
        <v>141</v>
      </c>
      <c r="H7" s="74" t="s">
        <v>141</v>
      </c>
      <c r="I7" s="74" t="s">
        <v>141</v>
      </c>
      <c r="J7" s="74" t="s">
        <v>141</v>
      </c>
      <c r="K7" s="74" t="s">
        <v>141</v>
      </c>
      <c r="L7" s="74" t="s">
        <v>141</v>
      </c>
      <c r="M7" s="74" t="s">
        <v>141</v>
      </c>
      <c r="N7" s="74" t="s">
        <v>141</v>
      </c>
      <c r="O7" s="74" t="s">
        <v>141</v>
      </c>
      <c r="P7" s="74" t="s">
        <v>141</v>
      </c>
      <c r="Q7" s="73" t="s">
        <v>141</v>
      </c>
    </row>
    <row r="8" spans="2:28" x14ac:dyDescent="0.35">
      <c r="B8" s="32" t="s">
        <v>55</v>
      </c>
      <c r="F8" s="32" t="s">
        <v>52</v>
      </c>
      <c r="R8" s="381" t="s">
        <v>622</v>
      </c>
      <c r="S8" s="380"/>
      <c r="T8" s="380"/>
      <c r="U8" s="381" t="s">
        <v>487</v>
      </c>
      <c r="V8" s="380"/>
      <c r="W8" s="380"/>
      <c r="X8" s="381" t="s">
        <v>505</v>
      </c>
      <c r="Y8" s="380"/>
    </row>
    <row r="9" spans="2:28" ht="13.5" x14ac:dyDescent="0.35">
      <c r="B9" s="45" t="s">
        <v>101</v>
      </c>
      <c r="F9" s="61">
        <v>1</v>
      </c>
      <c r="G9" s="61">
        <v>2</v>
      </c>
      <c r="H9" s="61">
        <v>3</v>
      </c>
      <c r="I9" s="61">
        <v>4</v>
      </c>
      <c r="J9" s="61">
        <v>5</v>
      </c>
      <c r="K9" s="61">
        <v>6</v>
      </c>
      <c r="L9" s="61">
        <v>7</v>
      </c>
      <c r="M9" s="61">
        <v>8</v>
      </c>
      <c r="N9" s="61">
        <v>9</v>
      </c>
      <c r="O9" s="61">
        <v>10</v>
      </c>
      <c r="P9" s="61">
        <v>11</v>
      </c>
      <c r="Q9" s="61">
        <v>12</v>
      </c>
      <c r="R9" s="32" t="s">
        <v>4</v>
      </c>
      <c r="S9" s="32" t="s">
        <v>5</v>
      </c>
      <c r="T9" s="32" t="s">
        <v>3</v>
      </c>
      <c r="U9" s="114" t="s">
        <v>484</v>
      </c>
      <c r="V9" s="113" t="s">
        <v>485</v>
      </c>
      <c r="W9" s="113" t="s">
        <v>486</v>
      </c>
      <c r="X9" s="113" t="s">
        <v>498</v>
      </c>
      <c r="Y9" s="113" t="s">
        <v>499</v>
      </c>
      <c r="Z9" s="32" t="s">
        <v>196</v>
      </c>
      <c r="AA9" s="6" t="s">
        <v>197</v>
      </c>
      <c r="AB9" s="73" t="s">
        <v>198</v>
      </c>
    </row>
    <row r="10" spans="2:28" x14ac:dyDescent="0.35">
      <c r="B10" s="27" t="s">
        <v>11</v>
      </c>
      <c r="D10" s="6"/>
    </row>
    <row r="11" spans="2:28" x14ac:dyDescent="0.35">
      <c r="D11" s="6" t="s">
        <v>12</v>
      </c>
    </row>
    <row r="12" spans="2:28" outlineLevel="1" x14ac:dyDescent="0.35">
      <c r="E12" s="2" t="s">
        <v>6</v>
      </c>
      <c r="F12" s="60">
        <f>185580000/(10^6)</f>
        <v>185.58</v>
      </c>
      <c r="G12" s="60">
        <f>339300000/(10^6)</f>
        <v>339.3</v>
      </c>
      <c r="H12" s="62">
        <f>407700000/(10^6)</f>
        <v>407.7</v>
      </c>
      <c r="I12" s="62">
        <f>500400000/(10^6)</f>
        <v>500.4</v>
      </c>
      <c r="J12" s="62">
        <f>477000000/(10^6)</f>
        <v>477</v>
      </c>
      <c r="K12" s="62">
        <f>592830000/(10^6)</f>
        <v>592.83000000000004</v>
      </c>
      <c r="L12" s="62">
        <f>457650000/(10^6)</f>
        <v>457.65</v>
      </c>
      <c r="M12" s="62">
        <f>463500000/(10^6)</f>
        <v>463.5</v>
      </c>
      <c r="N12" s="62">
        <f>436530000/(10^6)</f>
        <v>436.53</v>
      </c>
      <c r="O12" s="62">
        <f>506580000/(10^6)</f>
        <v>506.58</v>
      </c>
      <c r="P12" s="62">
        <f>473700000/(10^6)</f>
        <v>473.7</v>
      </c>
      <c r="Q12" s="57">
        <v>353.65</v>
      </c>
      <c r="R12" s="62">
        <f>SUMIFS($F12:$Q12,$F$7:$Q$7,"A")</f>
        <v>5194.4199999999992</v>
      </c>
      <c r="S12" s="62">
        <f>SUMIFS($F12:$Q12,$F$7:$Q$7,"B")</f>
        <v>0</v>
      </c>
      <c r="T12" s="57">
        <f>SUM(R12:S12)</f>
        <v>5194.4199999999992</v>
      </c>
      <c r="U12" s="96">
        <f t="shared" ref="U12:V32" si="0">IFERROR(R12/R$17,"")</f>
        <v>0.95899581280970059</v>
      </c>
      <c r="V12" s="96" t="str">
        <f t="shared" si="0"/>
        <v/>
      </c>
      <c r="W12" s="96">
        <f>IFERROR(T12/T$17,"")</f>
        <v>0.95899581280970059</v>
      </c>
      <c r="X12" s="96"/>
      <c r="Y12" s="96"/>
      <c r="Z12" s="97">
        <v>0.05</v>
      </c>
      <c r="AA12" s="2" t="s">
        <v>200</v>
      </c>
      <c r="AB12" s="57">
        <f>AB94*T105/10^6</f>
        <v>6413.7849246231144</v>
      </c>
    </row>
    <row r="13" spans="2:28" outlineLevel="1" x14ac:dyDescent="0.35">
      <c r="E13" s="2" t="s">
        <v>7</v>
      </c>
      <c r="F13" s="60">
        <f>8000000/(10^6)</f>
        <v>8</v>
      </c>
      <c r="G13" s="60">
        <f>8000000/(10^6)</f>
        <v>8</v>
      </c>
      <c r="H13" s="62">
        <f>25500000/(10^6)</f>
        <v>25.5</v>
      </c>
      <c r="I13" s="62">
        <f>15500000/(10^6)</f>
        <v>15.5</v>
      </c>
      <c r="J13" s="62">
        <f>16800000/(10^6)</f>
        <v>16.8</v>
      </c>
      <c r="K13" s="62">
        <f>39300000/(10^6)</f>
        <v>39.299999999999997</v>
      </c>
      <c r="L13" s="62">
        <f>19400000/(10^6)</f>
        <v>19.399999999999999</v>
      </c>
      <c r="M13" s="62">
        <f>24500000/(10^6)</f>
        <v>24.5</v>
      </c>
      <c r="N13" s="62">
        <f>14000000/(10^6)</f>
        <v>14</v>
      </c>
      <c r="O13" s="62">
        <f>11500000/(10^6)</f>
        <v>11.5</v>
      </c>
      <c r="P13" s="62">
        <f>26200000/(10^6)</f>
        <v>26.2</v>
      </c>
      <c r="Q13" s="57">
        <v>13.4</v>
      </c>
      <c r="R13" s="62">
        <f>SUMIFS($F13:$Q13,$F$7:$Q$7,"A")</f>
        <v>222.1</v>
      </c>
      <c r="S13" s="62">
        <f>SUMIFS($F13:$Q13,$F$7:$Q$7,"B")</f>
        <v>0</v>
      </c>
      <c r="T13" s="57">
        <f>SUM(R13:S13)</f>
        <v>222.1</v>
      </c>
      <c r="U13" s="96">
        <f t="shared" si="0"/>
        <v>4.1004187190299309E-2</v>
      </c>
      <c r="V13" s="96" t="str">
        <f t="shared" si="0"/>
        <v/>
      </c>
      <c r="W13" s="96">
        <f t="shared" ref="W13:W76" si="1">IFERROR(T13/T$17,"")</f>
        <v>4.1004187190299309E-2</v>
      </c>
      <c r="X13" s="96"/>
      <c r="Y13" s="96"/>
      <c r="Z13" s="97">
        <v>0.05</v>
      </c>
      <c r="AA13" s="2" t="s">
        <v>200</v>
      </c>
      <c r="AB13" s="57">
        <f>AB95*T106/10^6</f>
        <v>376.08293736501076</v>
      </c>
    </row>
    <row r="14" spans="2:28" outlineLevel="1" x14ac:dyDescent="0.35">
      <c r="E14" s="2" t="s">
        <v>8</v>
      </c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84">
        <f>P14</f>
        <v>0</v>
      </c>
      <c r="R14" s="62">
        <f>SUMIFS($F14:$Q14,$F$7:$Q$7,"A")</f>
        <v>0</v>
      </c>
      <c r="S14" s="62">
        <f>SUMIFS($F14:$Q14,$F$7:$Q$7,"B")</f>
        <v>0</v>
      </c>
      <c r="T14" s="57">
        <f>SUM(R14:S14)</f>
        <v>0</v>
      </c>
      <c r="U14" s="96">
        <f t="shared" si="0"/>
        <v>0</v>
      </c>
      <c r="V14" s="96" t="str">
        <f t="shared" si="0"/>
        <v/>
      </c>
      <c r="W14" s="96">
        <f t="shared" si="1"/>
        <v>0</v>
      </c>
      <c r="X14" s="96"/>
      <c r="Y14" s="96"/>
      <c r="Z14" s="97">
        <v>0.05</v>
      </c>
      <c r="AA14" s="2" t="s">
        <v>200</v>
      </c>
      <c r="AB14" s="57">
        <f>T14*(1+Z14)</f>
        <v>0</v>
      </c>
    </row>
    <row r="15" spans="2:28" outlineLevel="1" x14ac:dyDescent="0.35">
      <c r="E15" s="2" t="s">
        <v>9</v>
      </c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84">
        <f>P15</f>
        <v>0</v>
      </c>
      <c r="R15" s="62">
        <f>SUMIFS($F15:$Q15,$F$7:$Q$7,"A")</f>
        <v>0</v>
      </c>
      <c r="S15" s="62">
        <f>SUMIFS($F15:$Q15,$F$7:$Q$7,"B")</f>
        <v>0</v>
      </c>
      <c r="T15" s="57">
        <f>SUM(R15:S15)</f>
        <v>0</v>
      </c>
      <c r="U15" s="96">
        <f t="shared" si="0"/>
        <v>0</v>
      </c>
      <c r="V15" s="96" t="str">
        <f t="shared" si="0"/>
        <v/>
      </c>
      <c r="W15" s="96">
        <f t="shared" si="1"/>
        <v>0</v>
      </c>
      <c r="X15" s="96"/>
      <c r="Y15" s="96"/>
      <c r="Z15" s="97">
        <v>0.05</v>
      </c>
      <c r="AA15" s="2" t="s">
        <v>200</v>
      </c>
      <c r="AB15" s="57">
        <f>T15*(1+Z15)</f>
        <v>0</v>
      </c>
    </row>
    <row r="16" spans="2:28" outlineLevel="1" x14ac:dyDescent="0.35">
      <c r="E16" s="2" t="s">
        <v>10</v>
      </c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84">
        <f>P16</f>
        <v>0</v>
      </c>
      <c r="R16" s="62">
        <f>SUMIFS($F16:$Q16,$F$7:$Q$7,"A")</f>
        <v>0</v>
      </c>
      <c r="S16" s="62">
        <f>SUMIFS($F16:$Q16,$F$7:$Q$7,"B")</f>
        <v>0</v>
      </c>
      <c r="T16" s="57">
        <f>SUM(R16:S16)</f>
        <v>0</v>
      </c>
      <c r="U16" s="96">
        <f t="shared" si="0"/>
        <v>0</v>
      </c>
      <c r="V16" s="96" t="str">
        <f t="shared" si="0"/>
        <v/>
      </c>
      <c r="W16" s="96">
        <f t="shared" si="1"/>
        <v>0</v>
      </c>
      <c r="X16" s="96"/>
      <c r="Y16" s="96"/>
      <c r="Z16" s="97">
        <v>0.05</v>
      </c>
      <c r="AA16" s="2" t="s">
        <v>200</v>
      </c>
      <c r="AB16" s="57">
        <f>T16*(1+Z16)</f>
        <v>0</v>
      </c>
    </row>
    <row r="17" spans="2:28" x14ac:dyDescent="0.35">
      <c r="D17" s="65" t="s">
        <v>13</v>
      </c>
      <c r="E17" s="66"/>
      <c r="F17" s="67">
        <f>SUM(F12:F16)</f>
        <v>193.58</v>
      </c>
      <c r="G17" s="67">
        <f t="shared" ref="G17:Q17" si="2">SUM(G12:G16)</f>
        <v>347.3</v>
      </c>
      <c r="H17" s="67">
        <f t="shared" si="2"/>
        <v>433.2</v>
      </c>
      <c r="I17" s="67">
        <f t="shared" si="2"/>
        <v>515.9</v>
      </c>
      <c r="J17" s="67">
        <f t="shared" si="2"/>
        <v>493.8</v>
      </c>
      <c r="K17" s="67">
        <f t="shared" si="2"/>
        <v>632.13</v>
      </c>
      <c r="L17" s="67">
        <f t="shared" si="2"/>
        <v>477.04999999999995</v>
      </c>
      <c r="M17" s="67">
        <f t="shared" si="2"/>
        <v>488</v>
      </c>
      <c r="N17" s="67">
        <f t="shared" si="2"/>
        <v>450.53</v>
      </c>
      <c r="O17" s="67">
        <f t="shared" si="2"/>
        <v>518.07999999999993</v>
      </c>
      <c r="P17" s="67">
        <f t="shared" si="2"/>
        <v>499.9</v>
      </c>
      <c r="Q17" s="67">
        <f t="shared" si="2"/>
        <v>367.04999999999995</v>
      </c>
      <c r="R17" s="67">
        <f t="shared" ref="R17:R85" si="3">SUMIFS($F17:$Q17,$F$7:$Q$7,"A")</f>
        <v>5416.5199999999995</v>
      </c>
      <c r="S17" s="67">
        <f t="shared" ref="S17:S85" si="4">SUMIFS($F17:$Q17,$F$7:$Q$7,"B")</f>
        <v>0</v>
      </c>
      <c r="T17" s="72">
        <f t="shared" ref="T17:T85" si="5">SUM(R17:S17)</f>
        <v>5416.5199999999995</v>
      </c>
      <c r="U17" s="98">
        <f t="shared" si="0"/>
        <v>1</v>
      </c>
      <c r="V17" s="98" t="str">
        <f t="shared" si="0"/>
        <v/>
      </c>
      <c r="W17" s="98">
        <f t="shared" si="1"/>
        <v>1</v>
      </c>
      <c r="X17" s="98"/>
      <c r="Y17" s="98"/>
      <c r="Z17" s="70"/>
      <c r="AA17" s="70"/>
      <c r="AB17" s="72">
        <f>SUM(AB12:AB16)</f>
        <v>6789.8678619881248</v>
      </c>
    </row>
    <row r="18" spans="2:28" ht="13.15" thickBot="1" x14ac:dyDescent="0.4">
      <c r="B18" s="29"/>
      <c r="C18" s="29"/>
      <c r="D18" s="68" t="s">
        <v>19</v>
      </c>
      <c r="E18" s="68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>
        <f t="shared" si="3"/>
        <v>0</v>
      </c>
      <c r="S18" s="69">
        <f t="shared" si="4"/>
        <v>0</v>
      </c>
      <c r="T18" s="69">
        <f t="shared" si="5"/>
        <v>0</v>
      </c>
      <c r="U18" s="99">
        <f t="shared" si="0"/>
        <v>0</v>
      </c>
      <c r="V18" s="99" t="str">
        <f t="shared" si="0"/>
        <v/>
      </c>
      <c r="W18" s="99">
        <f t="shared" si="1"/>
        <v>0</v>
      </c>
      <c r="X18" s="99"/>
      <c r="Y18" s="99"/>
      <c r="Z18" s="100"/>
      <c r="AA18" s="100"/>
      <c r="AB18" s="106">
        <v>0</v>
      </c>
    </row>
    <row r="19" spans="2:28" x14ac:dyDescent="0.35">
      <c r="B19" s="27" t="s">
        <v>20</v>
      </c>
      <c r="F19" s="71">
        <f t="shared" ref="F19:Q19" si="6">SUM(F17,F18)</f>
        <v>193.58</v>
      </c>
      <c r="G19" s="71">
        <f t="shared" si="6"/>
        <v>347.3</v>
      </c>
      <c r="H19" s="71">
        <f t="shared" si="6"/>
        <v>433.2</v>
      </c>
      <c r="I19" s="71">
        <f t="shared" si="6"/>
        <v>515.9</v>
      </c>
      <c r="J19" s="71">
        <f t="shared" si="6"/>
        <v>493.8</v>
      </c>
      <c r="K19" s="71">
        <f t="shared" si="6"/>
        <v>632.13</v>
      </c>
      <c r="L19" s="71">
        <f t="shared" si="6"/>
        <v>477.04999999999995</v>
      </c>
      <c r="M19" s="71">
        <f t="shared" si="6"/>
        <v>488</v>
      </c>
      <c r="N19" s="71">
        <f t="shared" si="6"/>
        <v>450.53</v>
      </c>
      <c r="O19" s="71">
        <f t="shared" si="6"/>
        <v>518.07999999999993</v>
      </c>
      <c r="P19" s="71">
        <f t="shared" si="6"/>
        <v>499.9</v>
      </c>
      <c r="Q19" s="71">
        <f t="shared" si="6"/>
        <v>367.04999999999995</v>
      </c>
      <c r="R19" s="71">
        <f t="shared" si="3"/>
        <v>5416.5199999999995</v>
      </c>
      <c r="S19" s="71">
        <f t="shared" si="4"/>
        <v>0</v>
      </c>
      <c r="T19" s="71">
        <f t="shared" si="5"/>
        <v>5416.5199999999995</v>
      </c>
      <c r="U19" s="96">
        <f t="shared" si="0"/>
        <v>1</v>
      </c>
      <c r="V19" s="96" t="str">
        <f t="shared" si="0"/>
        <v/>
      </c>
      <c r="W19" s="96">
        <f t="shared" si="1"/>
        <v>1</v>
      </c>
      <c r="X19" s="96"/>
      <c r="Y19" s="96"/>
      <c r="AB19" s="71">
        <f>SUM(AB17,AB18)</f>
        <v>6789.8678619881248</v>
      </c>
    </row>
    <row r="20" spans="2:28" x14ac:dyDescent="0.35">
      <c r="B20" s="2" t="s">
        <v>21</v>
      </c>
      <c r="F20" s="62">
        <f>SUBTOTAL(9,F21:F25)</f>
        <v>0</v>
      </c>
      <c r="G20" s="62">
        <f t="shared" ref="G20:Q20" si="7">SUBTOTAL(9,G21:G25)</f>
        <v>0</v>
      </c>
      <c r="H20" s="62">
        <f t="shared" si="7"/>
        <v>0</v>
      </c>
      <c r="I20" s="62">
        <f t="shared" si="7"/>
        <v>0</v>
      </c>
      <c r="J20" s="62">
        <f t="shared" si="7"/>
        <v>0.45</v>
      </c>
      <c r="K20" s="62">
        <f t="shared" si="7"/>
        <v>0.45</v>
      </c>
      <c r="L20" s="62">
        <f t="shared" si="7"/>
        <v>0</v>
      </c>
      <c r="M20" s="62">
        <f t="shared" si="7"/>
        <v>0</v>
      </c>
      <c r="N20" s="62">
        <f t="shared" si="7"/>
        <v>0</v>
      </c>
      <c r="O20" s="62">
        <f t="shared" si="7"/>
        <v>0</v>
      </c>
      <c r="P20" s="62">
        <f t="shared" si="7"/>
        <v>0</v>
      </c>
      <c r="Q20" s="62">
        <f t="shared" si="7"/>
        <v>0</v>
      </c>
      <c r="R20" s="62">
        <f t="shared" si="3"/>
        <v>0.9</v>
      </c>
      <c r="S20" s="62">
        <f t="shared" si="4"/>
        <v>0</v>
      </c>
      <c r="T20" s="57">
        <f t="shared" si="5"/>
        <v>0.9</v>
      </c>
      <c r="U20" s="2">
        <f t="shared" si="0"/>
        <v>1.6615834521057802E-4</v>
      </c>
      <c r="V20" s="2" t="str">
        <f t="shared" si="0"/>
        <v/>
      </c>
      <c r="W20" s="2">
        <f t="shared" si="1"/>
        <v>1.6615834521057802E-4</v>
      </c>
      <c r="AB20" s="62">
        <v>0</v>
      </c>
    </row>
    <row r="21" spans="2:28" hidden="1" outlineLevel="1" x14ac:dyDescent="0.35">
      <c r="C21" s="523"/>
      <c r="D21" s="514"/>
      <c r="E21" s="524" t="s">
        <v>6</v>
      </c>
      <c r="F21" s="514"/>
      <c r="G21" s="514"/>
      <c r="H21" s="514"/>
      <c r="I21" s="514"/>
      <c r="J21" s="514">
        <v>0.45</v>
      </c>
      <c r="K21" s="514">
        <v>0.45</v>
      </c>
      <c r="L21" s="514"/>
      <c r="M21" s="514"/>
      <c r="N21" s="514"/>
      <c r="O21" s="514"/>
      <c r="P21" s="514"/>
      <c r="Q21" s="514">
        <v>0</v>
      </c>
      <c r="R21" s="482"/>
      <c r="S21" s="482"/>
      <c r="T21" s="482"/>
      <c r="U21" s="514"/>
      <c r="V21" s="514"/>
      <c r="W21" s="514"/>
      <c r="X21" s="514"/>
      <c r="Y21" s="525"/>
      <c r="AB21" s="62"/>
    </row>
    <row r="22" spans="2:28" hidden="1" outlineLevel="1" x14ac:dyDescent="0.35">
      <c r="C22" s="526"/>
      <c r="D22" s="517"/>
      <c r="E22" s="527" t="s">
        <v>7</v>
      </c>
      <c r="F22" s="517"/>
      <c r="G22" s="517"/>
      <c r="H22" s="517"/>
      <c r="I22" s="517"/>
      <c r="J22" s="517"/>
      <c r="K22" s="517"/>
      <c r="L22" s="517"/>
      <c r="M22" s="517"/>
      <c r="N22" s="517"/>
      <c r="O22" s="517"/>
      <c r="P22" s="517"/>
      <c r="Q22" s="517"/>
      <c r="R22" s="195"/>
      <c r="S22" s="195"/>
      <c r="T22" s="195"/>
      <c r="U22" s="517"/>
      <c r="V22" s="517"/>
      <c r="W22" s="517"/>
      <c r="X22" s="517"/>
      <c r="Y22" s="528"/>
      <c r="AB22" s="62"/>
    </row>
    <row r="23" spans="2:28" hidden="1" outlineLevel="1" x14ac:dyDescent="0.35">
      <c r="C23" s="526"/>
      <c r="D23" s="517"/>
      <c r="E23" s="527" t="s">
        <v>8</v>
      </c>
      <c r="F23" s="517"/>
      <c r="G23" s="517"/>
      <c r="H23" s="517"/>
      <c r="I23" s="517"/>
      <c r="J23" s="517"/>
      <c r="K23" s="517"/>
      <c r="L23" s="517"/>
      <c r="M23" s="517"/>
      <c r="N23" s="517"/>
      <c r="O23" s="517"/>
      <c r="P23" s="517"/>
      <c r="Q23" s="517"/>
      <c r="R23" s="195"/>
      <c r="S23" s="195"/>
      <c r="T23" s="195"/>
      <c r="U23" s="517"/>
      <c r="V23" s="517"/>
      <c r="W23" s="517"/>
      <c r="X23" s="517"/>
      <c r="Y23" s="528"/>
      <c r="AB23" s="62"/>
    </row>
    <row r="24" spans="2:28" hidden="1" outlineLevel="1" x14ac:dyDescent="0.35">
      <c r="C24" s="526"/>
      <c r="D24" s="517"/>
      <c r="E24" s="527" t="s">
        <v>9</v>
      </c>
      <c r="F24" s="517"/>
      <c r="G24" s="517"/>
      <c r="H24" s="517"/>
      <c r="I24" s="517"/>
      <c r="J24" s="517"/>
      <c r="K24" s="517"/>
      <c r="L24" s="517"/>
      <c r="M24" s="517"/>
      <c r="N24" s="517"/>
      <c r="O24" s="517"/>
      <c r="P24" s="517"/>
      <c r="Q24" s="517"/>
      <c r="R24" s="195"/>
      <c r="S24" s="195"/>
      <c r="T24" s="195"/>
      <c r="U24" s="517"/>
      <c r="V24" s="517"/>
      <c r="W24" s="517"/>
      <c r="X24" s="517"/>
      <c r="Y24" s="528"/>
      <c r="AB24" s="62"/>
    </row>
    <row r="25" spans="2:28" hidden="1" outlineLevel="1" x14ac:dyDescent="0.35">
      <c r="C25" s="529"/>
      <c r="D25" s="520"/>
      <c r="E25" s="530" t="s">
        <v>10</v>
      </c>
      <c r="F25" s="520"/>
      <c r="G25" s="520"/>
      <c r="H25" s="520"/>
      <c r="I25" s="520"/>
      <c r="J25" s="520"/>
      <c r="K25" s="520"/>
      <c r="L25" s="520"/>
      <c r="M25" s="520"/>
      <c r="N25" s="520"/>
      <c r="O25" s="520"/>
      <c r="P25" s="520"/>
      <c r="Q25" s="520"/>
      <c r="R25" s="490"/>
      <c r="S25" s="490"/>
      <c r="T25" s="490"/>
      <c r="U25" s="520"/>
      <c r="V25" s="520"/>
      <c r="W25" s="520"/>
      <c r="X25" s="520"/>
      <c r="Y25" s="531"/>
      <c r="AB25" s="62"/>
    </row>
    <row r="26" spans="2:28" collapsed="1" x14ac:dyDescent="0.35">
      <c r="B26" s="27" t="s">
        <v>177</v>
      </c>
    </row>
    <row r="27" spans="2:28" x14ac:dyDescent="0.35">
      <c r="C27" s="2" t="s">
        <v>23</v>
      </c>
      <c r="F27" s="62">
        <v>0.8970335795629425</v>
      </c>
      <c r="G27" s="62">
        <v>1.571793351800554</v>
      </c>
      <c r="H27" s="62">
        <v>2.1354162203755003</v>
      </c>
      <c r="I27" s="62">
        <v>2.3576900277008312</v>
      </c>
      <c r="J27" s="62">
        <v>2.3021215758694984</v>
      </c>
      <c r="K27" s="62">
        <v>3.2547236072637737</v>
      </c>
      <c r="L27" s="62">
        <v>2.2862448753462608</v>
      </c>
      <c r="M27" s="62">
        <v>2.3735667282240689</v>
      </c>
      <c r="N27" s="62">
        <v>2.0639710680209298</v>
      </c>
      <c r="O27" s="62">
        <v>2.3497516774392118</v>
      </c>
      <c r="P27" s="62">
        <v>2.4847036318867342</v>
      </c>
      <c r="Q27" s="57">
        <v>1.7146836565096952</v>
      </c>
      <c r="R27" s="62">
        <f t="shared" si="3"/>
        <v>25.791700000000002</v>
      </c>
      <c r="S27" s="62">
        <f t="shared" si="4"/>
        <v>0</v>
      </c>
      <c r="T27" s="57">
        <f t="shared" si="5"/>
        <v>25.791700000000002</v>
      </c>
      <c r="U27" s="96">
        <f t="shared" si="0"/>
        <v>4.7616735468529615E-3</v>
      </c>
      <c r="V27" s="96" t="str">
        <f t="shared" si="0"/>
        <v/>
      </c>
      <c r="W27" s="96">
        <f t="shared" si="1"/>
        <v>4.7616735468529615E-3</v>
      </c>
      <c r="X27" s="96"/>
      <c r="Y27" s="96"/>
      <c r="Z27" s="97">
        <f>W27</f>
        <v>4.7616735468529615E-3</v>
      </c>
      <c r="AA27" s="2" t="s">
        <v>199</v>
      </c>
      <c r="AB27" s="57">
        <f t="shared" ref="AB27:AB32" si="8">Z27*$AB$17</f>
        <v>32.33113418505593</v>
      </c>
    </row>
    <row r="28" spans="2:28" x14ac:dyDescent="0.35">
      <c r="C28" s="2" t="s">
        <v>143</v>
      </c>
      <c r="D28" s="6"/>
      <c r="F28" s="62">
        <f>12345000/(10^6)</f>
        <v>12.345000000000001</v>
      </c>
      <c r="G28" s="62">
        <f>21890000/(10^6)</f>
        <v>21.89</v>
      </c>
      <c r="H28" s="62">
        <f>28130000/(10^6)</f>
        <v>28.13</v>
      </c>
      <c r="I28" s="62">
        <f>32450000/(10^6)</f>
        <v>32.450000000000003</v>
      </c>
      <c r="J28" s="62">
        <f>31425000/(10^6)</f>
        <v>31.425000000000001</v>
      </c>
      <c r="K28" s="62">
        <f>42255000/(10^6)</f>
        <v>42.255000000000003</v>
      </c>
      <c r="L28" s="62">
        <f>30920000/(10^6)</f>
        <v>30.92</v>
      </c>
      <c r="M28" s="62">
        <f>32180000/(10^6)</f>
        <v>32.18</v>
      </c>
      <c r="N28" s="62">
        <f>28825000/(10^6)</f>
        <v>28.824999999999999</v>
      </c>
      <c r="O28" s="62">
        <f>33005000/(10^6)</f>
        <v>33.005000000000003</v>
      </c>
      <c r="P28" s="62">
        <f>33385000/(10^6)</f>
        <v>33.384999999999998</v>
      </c>
      <c r="Q28" s="57">
        <v>23.695</v>
      </c>
      <c r="R28" s="62">
        <f t="shared" si="3"/>
        <v>350.505</v>
      </c>
      <c r="S28" s="62">
        <f t="shared" si="4"/>
        <v>0</v>
      </c>
      <c r="T28" s="57">
        <f t="shared" si="5"/>
        <v>350.505</v>
      </c>
      <c r="U28" s="96">
        <f t="shared" si="0"/>
        <v>6.4710367542259617E-2</v>
      </c>
      <c r="V28" s="96" t="str">
        <f t="shared" si="0"/>
        <v/>
      </c>
      <c r="W28" s="96">
        <f t="shared" si="1"/>
        <v>6.4710367542259617E-2</v>
      </c>
      <c r="X28" s="96"/>
      <c r="Y28" s="96"/>
      <c r="Z28" s="97">
        <f>W28</f>
        <v>6.4710367542259617E-2</v>
      </c>
      <c r="AA28" s="2" t="s">
        <v>199</v>
      </c>
      <c r="AB28" s="57">
        <f t="shared" si="8"/>
        <v>439.37484491262808</v>
      </c>
    </row>
    <row r="29" spans="2:28" x14ac:dyDescent="0.35">
      <c r="C29" s="2" t="s">
        <v>24</v>
      </c>
      <c r="D29" s="6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>
        <f t="shared" ref="Q29:Q32" si="9">P29</f>
        <v>0</v>
      </c>
      <c r="R29" s="62">
        <f t="shared" si="3"/>
        <v>0</v>
      </c>
      <c r="S29" s="62">
        <f t="shared" si="4"/>
        <v>0</v>
      </c>
      <c r="T29" s="57">
        <f t="shared" si="5"/>
        <v>0</v>
      </c>
      <c r="U29" s="96">
        <f t="shared" si="0"/>
        <v>0</v>
      </c>
      <c r="V29" s="96" t="str">
        <f t="shared" si="0"/>
        <v/>
      </c>
      <c r="W29" s="96">
        <f t="shared" si="1"/>
        <v>0</v>
      </c>
      <c r="X29" s="96"/>
      <c r="Y29" s="96"/>
      <c r="Z29" s="97">
        <f>W29</f>
        <v>0</v>
      </c>
      <c r="AA29" s="2" t="s">
        <v>199</v>
      </c>
      <c r="AB29" s="57">
        <f t="shared" si="8"/>
        <v>0</v>
      </c>
    </row>
    <row r="30" spans="2:28" x14ac:dyDescent="0.35">
      <c r="C30" s="2" t="s">
        <v>612</v>
      </c>
      <c r="D30" s="6"/>
      <c r="F30" s="62">
        <f>31300000/(10^6)</f>
        <v>31.3</v>
      </c>
      <c r="G30" s="62">
        <f>55900000/(10^6)</f>
        <v>55.9</v>
      </c>
      <c r="H30" s="62">
        <f>69900000/(10^6)</f>
        <v>69.900000000000006</v>
      </c>
      <c r="I30" s="62">
        <f>82700000/(10^6)</f>
        <v>82.7</v>
      </c>
      <c r="J30" s="62">
        <f>76000000/(10^6)</f>
        <v>76</v>
      </c>
      <c r="K30" s="62">
        <f>75350000/(10^6)</f>
        <v>75.349999999999994</v>
      </c>
      <c r="L30" s="62">
        <f>64940000/(10^6)</f>
        <v>64.94</v>
      </c>
      <c r="M30" s="62">
        <f>69930000/(10^6)</f>
        <v>69.930000000000007</v>
      </c>
      <c r="N30" s="62">
        <f>63410000/(10^6)</f>
        <v>63.41</v>
      </c>
      <c r="O30" s="62">
        <f>76000000/(10^6)</f>
        <v>76</v>
      </c>
      <c r="P30" s="62">
        <f>69370000/(10^6)</f>
        <v>69.37</v>
      </c>
      <c r="Q30" s="57">
        <v>52.35</v>
      </c>
      <c r="R30" s="62">
        <f t="shared" si="3"/>
        <v>787.15</v>
      </c>
      <c r="S30" s="62">
        <f t="shared" si="4"/>
        <v>0</v>
      </c>
      <c r="T30" s="57">
        <f t="shared" si="5"/>
        <v>787.15</v>
      </c>
      <c r="U30" s="96">
        <f t="shared" si="0"/>
        <v>0.1453239349250072</v>
      </c>
      <c r="V30" s="96" t="str">
        <f t="shared" si="0"/>
        <v/>
      </c>
      <c r="W30" s="96">
        <f t="shared" si="1"/>
        <v>0.1453239349250072</v>
      </c>
      <c r="X30" s="96"/>
      <c r="Y30" s="96"/>
      <c r="Z30" s="97">
        <f>W30</f>
        <v>0.1453239349250072</v>
      </c>
      <c r="AA30" s="2" t="s">
        <v>199</v>
      </c>
      <c r="AB30" s="57">
        <f t="shared" si="8"/>
        <v>986.73031532495997</v>
      </c>
    </row>
    <row r="31" spans="2:28" x14ac:dyDescent="0.35">
      <c r="C31" s="2" t="s">
        <v>640</v>
      </c>
      <c r="D31" s="6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>
        <f t="shared" si="9"/>
        <v>0</v>
      </c>
      <c r="R31" s="62">
        <f t="shared" si="3"/>
        <v>0</v>
      </c>
      <c r="S31" s="62">
        <f t="shared" si="4"/>
        <v>0</v>
      </c>
      <c r="T31" s="57">
        <f t="shared" si="5"/>
        <v>0</v>
      </c>
      <c r="U31" s="96">
        <f t="shared" si="0"/>
        <v>0</v>
      </c>
      <c r="V31" s="96" t="str">
        <f t="shared" si="0"/>
        <v/>
      </c>
      <c r="W31" s="96">
        <f t="shared" si="1"/>
        <v>0</v>
      </c>
      <c r="X31" s="96"/>
      <c r="Y31" s="96"/>
      <c r="Z31" s="97">
        <f>W31</f>
        <v>0</v>
      </c>
      <c r="AA31" s="2" t="s">
        <v>199</v>
      </c>
      <c r="AB31" s="57">
        <f t="shared" si="8"/>
        <v>0</v>
      </c>
    </row>
    <row r="32" spans="2:28" x14ac:dyDescent="0.35">
      <c r="C32" s="2" t="s">
        <v>183</v>
      </c>
      <c r="D32" s="6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>
        <f t="shared" si="9"/>
        <v>0</v>
      </c>
      <c r="R32" s="62">
        <f t="shared" si="3"/>
        <v>0</v>
      </c>
      <c r="S32" s="62">
        <f t="shared" si="4"/>
        <v>0</v>
      </c>
      <c r="T32" s="57">
        <f t="shared" si="5"/>
        <v>0</v>
      </c>
      <c r="U32" s="96">
        <f t="shared" si="0"/>
        <v>0</v>
      </c>
      <c r="V32" s="96" t="str">
        <f t="shared" si="0"/>
        <v/>
      </c>
      <c r="W32" s="96">
        <f t="shared" si="1"/>
        <v>0</v>
      </c>
      <c r="X32" s="96"/>
      <c r="Y32" s="96"/>
      <c r="Z32" s="97">
        <v>0.01</v>
      </c>
      <c r="AA32" s="2" t="s">
        <v>199</v>
      </c>
      <c r="AB32" s="57">
        <f t="shared" si="8"/>
        <v>67.898678619881252</v>
      </c>
    </row>
    <row r="33" spans="2:28" ht="13.15" thickBot="1" x14ac:dyDescent="0.4">
      <c r="B33" s="86" t="s">
        <v>180</v>
      </c>
      <c r="C33" s="87"/>
      <c r="D33" s="87"/>
      <c r="E33" s="70"/>
      <c r="F33" s="88">
        <f>SUM(F27:F32)</f>
        <v>44.54203357956294</v>
      </c>
      <c r="G33" s="88">
        <f t="shared" ref="G33:Q33" si="10">SUM(G27:G32)</f>
        <v>79.361793351800557</v>
      </c>
      <c r="H33" s="88">
        <f t="shared" si="10"/>
        <v>100.1654162203755</v>
      </c>
      <c r="I33" s="88">
        <f t="shared" si="10"/>
        <v>117.50769002770085</v>
      </c>
      <c r="J33" s="88">
        <f t="shared" si="10"/>
        <v>109.72712157586949</v>
      </c>
      <c r="K33" s="88">
        <f t="shared" si="10"/>
        <v>120.85972360726377</v>
      </c>
      <c r="L33" s="88">
        <f t="shared" si="10"/>
        <v>98.14624487534627</v>
      </c>
      <c r="M33" s="88">
        <f t="shared" si="10"/>
        <v>104.48356672822408</v>
      </c>
      <c r="N33" s="88">
        <f t="shared" si="10"/>
        <v>94.298971068020933</v>
      </c>
      <c r="O33" s="88">
        <f t="shared" si="10"/>
        <v>111.35475167743921</v>
      </c>
      <c r="P33" s="88">
        <f t="shared" si="10"/>
        <v>105.23970363188673</v>
      </c>
      <c r="Q33" s="88">
        <f t="shared" si="10"/>
        <v>77.759683656509694</v>
      </c>
      <c r="R33" s="88">
        <f t="shared" si="3"/>
        <v>1163.4467</v>
      </c>
      <c r="S33" s="88">
        <f t="shared" si="4"/>
        <v>0</v>
      </c>
      <c r="T33" s="88">
        <f t="shared" si="5"/>
        <v>1163.4467</v>
      </c>
      <c r="U33" s="101">
        <f t="shared" ref="U33:U88" si="11">IFERROR(R33/R$17,"")</f>
        <v>0.21479597601411979</v>
      </c>
      <c r="V33" s="101" t="str">
        <f t="shared" ref="V33:V88" si="12">IFERROR(S33/S$17,"")</f>
        <v/>
      </c>
      <c r="W33" s="101">
        <f t="shared" si="1"/>
        <v>0.21479597601411979</v>
      </c>
      <c r="X33" s="101"/>
      <c r="Y33" s="101"/>
      <c r="Z33" s="101"/>
      <c r="AA33" s="88"/>
      <c r="AB33" s="88">
        <f>SUM(AB27:AB32)</f>
        <v>1526.3349730425252</v>
      </c>
    </row>
    <row r="34" spans="2:28" x14ac:dyDescent="0.35">
      <c r="B34" s="89" t="s">
        <v>187</v>
      </c>
      <c r="C34" s="90"/>
      <c r="D34" s="90"/>
      <c r="E34" s="91"/>
      <c r="F34" s="92">
        <f t="shared" ref="F34:Q34" si="13">F19-F33-F20</f>
        <v>149.03796642043707</v>
      </c>
      <c r="G34" s="92">
        <f t="shared" si="13"/>
        <v>267.93820664819947</v>
      </c>
      <c r="H34" s="92">
        <f t="shared" si="13"/>
        <v>333.03458377962448</v>
      </c>
      <c r="I34" s="92">
        <f t="shared" si="13"/>
        <v>398.39230997229913</v>
      </c>
      <c r="J34" s="92">
        <f t="shared" si="13"/>
        <v>383.62287842413053</v>
      </c>
      <c r="K34" s="92">
        <f t="shared" si="13"/>
        <v>510.82027639273622</v>
      </c>
      <c r="L34" s="92">
        <f t="shared" si="13"/>
        <v>378.90375512465369</v>
      </c>
      <c r="M34" s="92">
        <f t="shared" si="13"/>
        <v>383.5164332717759</v>
      </c>
      <c r="N34" s="92">
        <f t="shared" si="13"/>
        <v>356.23102893197904</v>
      </c>
      <c r="O34" s="92">
        <f t="shared" si="13"/>
        <v>406.72524832256073</v>
      </c>
      <c r="P34" s="92">
        <f t="shared" si="13"/>
        <v>394.66029636811322</v>
      </c>
      <c r="Q34" s="92">
        <f t="shared" si="13"/>
        <v>289.29031634349025</v>
      </c>
      <c r="R34" s="92">
        <f t="shared" si="3"/>
        <v>4252.1732999999995</v>
      </c>
      <c r="S34" s="92">
        <f t="shared" si="4"/>
        <v>0</v>
      </c>
      <c r="T34" s="92">
        <f t="shared" si="5"/>
        <v>4252.1732999999995</v>
      </c>
      <c r="U34" s="104">
        <f t="shared" si="11"/>
        <v>0.78503786564066957</v>
      </c>
      <c r="V34" s="104" t="str">
        <f t="shared" si="12"/>
        <v/>
      </c>
      <c r="W34" s="104">
        <f t="shared" si="1"/>
        <v>0.78503786564066957</v>
      </c>
      <c r="X34" s="104"/>
      <c r="Y34" s="104"/>
      <c r="Z34" s="92"/>
      <c r="AA34" s="92"/>
      <c r="AB34" s="92">
        <f>AB19-AB33-AB20</f>
        <v>5263.5328889455996</v>
      </c>
    </row>
    <row r="35" spans="2:28" x14ac:dyDescent="0.35">
      <c r="B35" s="27" t="s">
        <v>181</v>
      </c>
      <c r="C35" s="6"/>
      <c r="D35" s="6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>
        <f t="shared" si="3"/>
        <v>0</v>
      </c>
      <c r="S35" s="85">
        <f t="shared" si="4"/>
        <v>0</v>
      </c>
      <c r="T35" s="85">
        <f t="shared" si="5"/>
        <v>0</v>
      </c>
      <c r="U35" s="85">
        <f t="shared" si="11"/>
        <v>0</v>
      </c>
      <c r="V35" s="85" t="str">
        <f t="shared" si="12"/>
        <v/>
      </c>
      <c r="W35" s="85">
        <f t="shared" si="1"/>
        <v>0</v>
      </c>
      <c r="X35" s="85"/>
      <c r="Y35" s="85"/>
      <c r="Z35" s="85"/>
      <c r="AA35" s="85"/>
      <c r="AB35" s="85"/>
    </row>
    <row r="36" spans="2:28" x14ac:dyDescent="0.35">
      <c r="C36" s="2" t="s">
        <v>186</v>
      </c>
      <c r="F36" s="62">
        <f>74788325/(10^6)</f>
        <v>74.788325</v>
      </c>
      <c r="G36" s="62">
        <f>60580772/(10^6)</f>
        <v>60.580772000000003</v>
      </c>
      <c r="H36" s="62">
        <f>59675998/(10^6)</f>
        <v>59.675998</v>
      </c>
      <c r="I36" s="62">
        <f>56324863/(10^6)</f>
        <v>56.324863000000001</v>
      </c>
      <c r="J36" s="62">
        <f>57694576/(10^6)</f>
        <v>57.694575999999998</v>
      </c>
      <c r="K36" s="62">
        <f>58799179/(10^6)</f>
        <v>58.799179000000002</v>
      </c>
      <c r="L36" s="62">
        <f>63526899/(10^6)</f>
        <v>63.526899</v>
      </c>
      <c r="M36" s="62">
        <f>62426611/(10^6)</f>
        <v>62.426611000000001</v>
      </c>
      <c r="N36" s="62">
        <f>63625989/(10^6)</f>
        <v>63.625988999999997</v>
      </c>
      <c r="O36" s="62">
        <f>67977071/(10^6)</f>
        <v>67.977070999999995</v>
      </c>
      <c r="P36" s="62">
        <f>68159326/(10^6)</f>
        <v>68.159325999999993</v>
      </c>
      <c r="Q36" s="57">
        <v>68.448783000000006</v>
      </c>
      <c r="R36" s="62">
        <f t="shared" si="3"/>
        <v>762.02839199999994</v>
      </c>
      <c r="S36" s="62">
        <f t="shared" si="4"/>
        <v>0</v>
      </c>
      <c r="T36" s="57">
        <f t="shared" si="5"/>
        <v>762.02839199999994</v>
      </c>
      <c r="U36" s="96">
        <f t="shared" si="11"/>
        <v>0.14068597402021962</v>
      </c>
      <c r="V36" s="96" t="str">
        <f t="shared" si="12"/>
        <v/>
      </c>
      <c r="W36" s="96">
        <f t="shared" si="1"/>
        <v>0.14068597402021962</v>
      </c>
      <c r="X36" s="96"/>
      <c r="Y36" s="96"/>
      <c r="Z36" s="97">
        <v>0.02</v>
      </c>
      <c r="AA36" s="2" t="s">
        <v>200</v>
      </c>
      <c r="AB36" s="57">
        <f>T36*(1+Z36)</f>
        <v>777.26895983999998</v>
      </c>
    </row>
    <row r="37" spans="2:28" x14ac:dyDescent="0.35">
      <c r="C37" s="2" t="s">
        <v>408</v>
      </c>
      <c r="F37" s="58">
        <f t="shared" ref="F37:Q37" si="14">20000000/(10^6)</f>
        <v>20</v>
      </c>
      <c r="G37" s="58">
        <f t="shared" si="14"/>
        <v>20</v>
      </c>
      <c r="H37" s="58">
        <f t="shared" si="14"/>
        <v>20</v>
      </c>
      <c r="I37" s="58">
        <f t="shared" si="14"/>
        <v>20</v>
      </c>
      <c r="J37" s="58">
        <f t="shared" si="14"/>
        <v>20</v>
      </c>
      <c r="K37" s="58">
        <f t="shared" si="14"/>
        <v>20</v>
      </c>
      <c r="L37" s="58">
        <f t="shared" si="14"/>
        <v>20</v>
      </c>
      <c r="M37" s="58">
        <f t="shared" si="14"/>
        <v>20</v>
      </c>
      <c r="N37" s="58">
        <f t="shared" si="14"/>
        <v>20</v>
      </c>
      <c r="O37" s="58">
        <f t="shared" si="14"/>
        <v>20</v>
      </c>
      <c r="P37" s="58">
        <f t="shared" si="14"/>
        <v>20</v>
      </c>
      <c r="Q37" s="58">
        <f t="shared" si="14"/>
        <v>20</v>
      </c>
      <c r="R37" s="62">
        <f t="shared" si="3"/>
        <v>240</v>
      </c>
      <c r="S37" s="62">
        <f t="shared" si="4"/>
        <v>0</v>
      </c>
      <c r="T37" s="57">
        <f t="shared" si="5"/>
        <v>240</v>
      </c>
      <c r="U37" s="96">
        <f t="shared" si="11"/>
        <v>4.4308892056154139E-2</v>
      </c>
      <c r="V37" s="96" t="str">
        <f t="shared" si="12"/>
        <v/>
      </c>
      <c r="W37" s="96">
        <f t="shared" si="1"/>
        <v>4.4308892056154139E-2</v>
      </c>
      <c r="X37" s="96"/>
      <c r="Y37" s="96"/>
      <c r="Z37" s="97">
        <v>0.02</v>
      </c>
      <c r="AA37" s="2" t="s">
        <v>200</v>
      </c>
      <c r="AB37" s="57">
        <f>T37*(1+Z37)</f>
        <v>244.8</v>
      </c>
    </row>
    <row r="38" spans="2:28" x14ac:dyDescent="0.35">
      <c r="B38" s="27"/>
      <c r="C38" s="2" t="s">
        <v>182</v>
      </c>
      <c r="D38" s="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62">
        <f t="shared" si="3"/>
        <v>0</v>
      </c>
      <c r="S38" s="62">
        <f t="shared" si="4"/>
        <v>0</v>
      </c>
      <c r="T38" s="57">
        <f t="shared" si="5"/>
        <v>0</v>
      </c>
      <c r="U38" s="96">
        <f t="shared" si="11"/>
        <v>0</v>
      </c>
      <c r="V38" s="96" t="str">
        <f t="shared" si="12"/>
        <v/>
      </c>
      <c r="W38" s="96">
        <f t="shared" si="1"/>
        <v>0</v>
      </c>
      <c r="X38" s="96"/>
      <c r="Y38" s="96"/>
      <c r="Z38" s="85"/>
      <c r="AA38" s="57" t="s">
        <v>201</v>
      </c>
      <c r="AB38" s="102">
        <f>'Site list'!Q5</f>
        <v>250.30125000000001</v>
      </c>
    </row>
    <row r="39" spans="2:28" x14ac:dyDescent="0.35">
      <c r="B39" s="27"/>
      <c r="C39" s="2" t="s">
        <v>631</v>
      </c>
      <c r="D39" s="6"/>
      <c r="F39" s="62">
        <v>43.60133842043706</v>
      </c>
      <c r="G39" s="62">
        <v>40.172090648199443</v>
      </c>
      <c r="H39" s="62">
        <v>40.056699779624502</v>
      </c>
      <c r="I39" s="62">
        <v>47.423886972299165</v>
      </c>
      <c r="J39" s="62">
        <v>35.223744424130501</v>
      </c>
      <c r="K39" s="62">
        <v>39.252730392736225</v>
      </c>
      <c r="L39" s="62">
        <v>35.016929124653743</v>
      </c>
      <c r="M39" s="62">
        <v>37.277475271775934</v>
      </c>
      <c r="N39" s="62">
        <v>43.818601931979067</v>
      </c>
      <c r="O39" s="62">
        <v>34.016310322560784</v>
      </c>
      <c r="P39" s="62">
        <v>34.076323368113265</v>
      </c>
      <c r="Q39" s="57">
        <v>40.8204953434903</v>
      </c>
      <c r="R39" s="62">
        <f t="shared" si="3"/>
        <v>470.75662599999998</v>
      </c>
      <c r="S39" s="62">
        <f t="shared" si="4"/>
        <v>0</v>
      </c>
      <c r="T39" s="57">
        <f t="shared" si="5"/>
        <v>470.75662599999998</v>
      </c>
      <c r="U39" s="96">
        <f t="shared" si="11"/>
        <v>8.6911268858972185E-2</v>
      </c>
      <c r="V39" s="96" t="str">
        <f t="shared" si="12"/>
        <v/>
      </c>
      <c r="W39" s="96">
        <f t="shared" si="1"/>
        <v>8.6911268858972185E-2</v>
      </c>
      <c r="X39" s="96"/>
      <c r="Y39" s="96"/>
      <c r="Z39" s="85"/>
      <c r="AA39" s="57" t="s">
        <v>202</v>
      </c>
      <c r="AB39" s="57">
        <f>T39</f>
        <v>470.75662599999998</v>
      </c>
    </row>
    <row r="40" spans="2:28" x14ac:dyDescent="0.35">
      <c r="C40" s="2" t="s">
        <v>188</v>
      </c>
      <c r="F40" s="62">
        <v>50.762900000000002</v>
      </c>
      <c r="G40" s="62">
        <v>11.6332</v>
      </c>
      <c r="H40" s="62">
        <v>0.78669999999999995</v>
      </c>
      <c r="I40" s="62">
        <v>67.058228</v>
      </c>
      <c r="J40" s="62">
        <v>8.3632000000000009</v>
      </c>
      <c r="K40" s="62">
        <v>1.7133339999999999</v>
      </c>
      <c r="L40" s="62">
        <v>4.7721999999999998</v>
      </c>
      <c r="M40" s="62">
        <v>29.473866000000001</v>
      </c>
      <c r="N40" s="62">
        <v>2.327242</v>
      </c>
      <c r="O40" s="62">
        <v>1.266691</v>
      </c>
      <c r="P40" s="62">
        <v>0.69320000000000004</v>
      </c>
      <c r="Q40" s="57">
        <v>5.5505149999999999</v>
      </c>
      <c r="R40" s="62">
        <f t="shared" si="3"/>
        <v>184.401276</v>
      </c>
      <c r="S40" s="62">
        <f t="shared" si="4"/>
        <v>0</v>
      </c>
      <c r="T40" s="57">
        <f t="shared" si="5"/>
        <v>184.401276</v>
      </c>
      <c r="U40" s="96">
        <f t="shared" si="11"/>
        <v>3.4044234305421195E-2</v>
      </c>
      <c r="V40" s="96" t="str">
        <f t="shared" si="12"/>
        <v/>
      </c>
      <c r="W40" s="96">
        <f t="shared" si="1"/>
        <v>3.4044234305421195E-2</v>
      </c>
      <c r="X40" s="96"/>
      <c r="Y40" s="96"/>
      <c r="AA40" s="57" t="s">
        <v>202</v>
      </c>
      <c r="AB40" s="57">
        <f>T40</f>
        <v>184.401276</v>
      </c>
    </row>
    <row r="41" spans="2:28" ht="13.15" thickBot="1" x14ac:dyDescent="0.4">
      <c r="B41" s="86" t="s">
        <v>189</v>
      </c>
      <c r="C41" s="87"/>
      <c r="D41" s="87"/>
      <c r="E41" s="70"/>
      <c r="F41" s="88">
        <f>SUM(F36:F40)</f>
        <v>189.15256342043705</v>
      </c>
      <c r="G41" s="88">
        <f t="shared" ref="G41:Q41" si="15">SUM(G36:G40)</f>
        <v>132.38606264819944</v>
      </c>
      <c r="H41" s="88">
        <f t="shared" si="15"/>
        <v>120.51939777962448</v>
      </c>
      <c r="I41" s="88">
        <f t="shared" si="15"/>
        <v>190.80697797229914</v>
      </c>
      <c r="J41" s="88">
        <f t="shared" si="15"/>
        <v>121.28152042413051</v>
      </c>
      <c r="K41" s="88">
        <f t="shared" si="15"/>
        <v>119.76524339273624</v>
      </c>
      <c r="L41" s="88">
        <f t="shared" si="15"/>
        <v>123.31602812465374</v>
      </c>
      <c r="M41" s="88">
        <f t="shared" si="15"/>
        <v>149.17795227177595</v>
      </c>
      <c r="N41" s="88">
        <f t="shared" si="15"/>
        <v>129.77183293197908</v>
      </c>
      <c r="O41" s="88">
        <f t="shared" si="15"/>
        <v>123.26007232256077</v>
      </c>
      <c r="P41" s="88">
        <f t="shared" si="15"/>
        <v>122.92884936811326</v>
      </c>
      <c r="Q41" s="88">
        <f t="shared" si="15"/>
        <v>134.81979334349029</v>
      </c>
      <c r="R41" s="88">
        <f t="shared" si="3"/>
        <v>1657.1862940000001</v>
      </c>
      <c r="S41" s="88">
        <f t="shared" si="4"/>
        <v>0</v>
      </c>
      <c r="T41" s="88">
        <f t="shared" si="5"/>
        <v>1657.1862940000001</v>
      </c>
      <c r="U41" s="101">
        <f t="shared" si="11"/>
        <v>0.30595036924076718</v>
      </c>
      <c r="V41" s="101" t="str">
        <f t="shared" si="12"/>
        <v/>
      </c>
      <c r="W41" s="101">
        <f t="shared" si="1"/>
        <v>0.30595036924076718</v>
      </c>
      <c r="X41" s="101"/>
      <c r="Y41" s="101"/>
      <c r="Z41" s="88"/>
      <c r="AA41" s="88"/>
      <c r="AB41" s="88">
        <f>SUM(AB36:AB40)</f>
        <v>1927.5281118399998</v>
      </c>
    </row>
    <row r="42" spans="2:28" x14ac:dyDescent="0.35">
      <c r="B42" s="89" t="s">
        <v>190</v>
      </c>
      <c r="C42" s="90"/>
      <c r="D42" s="90"/>
      <c r="E42" s="91"/>
      <c r="F42" s="92">
        <f>F34-F41</f>
        <v>-40.114596999999975</v>
      </c>
      <c r="G42" s="92">
        <f t="shared" ref="G42:Q42" si="16">G34-G41</f>
        <v>135.55214400000003</v>
      </c>
      <c r="H42" s="92">
        <f t="shared" si="16"/>
        <v>212.515186</v>
      </c>
      <c r="I42" s="92">
        <f t="shared" si="16"/>
        <v>207.58533199999999</v>
      </c>
      <c r="J42" s="92">
        <f t="shared" si="16"/>
        <v>262.34135800000001</v>
      </c>
      <c r="K42" s="92">
        <f t="shared" si="16"/>
        <v>391.05503299999998</v>
      </c>
      <c r="L42" s="92">
        <f t="shared" si="16"/>
        <v>255.58772699999994</v>
      </c>
      <c r="M42" s="92">
        <f t="shared" si="16"/>
        <v>234.33848099999994</v>
      </c>
      <c r="N42" s="92">
        <f t="shared" si="16"/>
        <v>226.45919599999996</v>
      </c>
      <c r="O42" s="92">
        <f t="shared" si="16"/>
        <v>283.46517599999993</v>
      </c>
      <c r="P42" s="92">
        <f t="shared" si="16"/>
        <v>271.73144699999995</v>
      </c>
      <c r="Q42" s="92">
        <f t="shared" si="16"/>
        <v>154.47052299999996</v>
      </c>
      <c r="R42" s="92">
        <f t="shared" si="3"/>
        <v>2594.9870059999998</v>
      </c>
      <c r="S42" s="92">
        <f t="shared" si="4"/>
        <v>0</v>
      </c>
      <c r="T42" s="92">
        <f t="shared" si="5"/>
        <v>2594.9870059999998</v>
      </c>
      <c r="U42" s="104">
        <f t="shared" si="11"/>
        <v>0.47908749639990256</v>
      </c>
      <c r="V42" s="104" t="str">
        <f t="shared" si="12"/>
        <v/>
      </c>
      <c r="W42" s="104">
        <f t="shared" si="1"/>
        <v>0.47908749639990256</v>
      </c>
      <c r="X42" s="104"/>
      <c r="Y42" s="104"/>
      <c r="Z42" s="92"/>
      <c r="AA42" s="92"/>
      <c r="AB42" s="92">
        <f>AB34-AB41</f>
        <v>3336.0047771055997</v>
      </c>
    </row>
    <row r="43" spans="2:28" x14ac:dyDescent="0.35">
      <c r="B43" s="27" t="s">
        <v>275</v>
      </c>
      <c r="C43" s="6"/>
      <c r="D43" s="6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>
        <f t="shared" si="3"/>
        <v>0</v>
      </c>
      <c r="S43" s="85">
        <f t="shared" si="4"/>
        <v>0</v>
      </c>
      <c r="T43" s="85">
        <f t="shared" si="5"/>
        <v>0</v>
      </c>
      <c r="U43" s="105">
        <f t="shared" si="11"/>
        <v>0</v>
      </c>
      <c r="V43" s="105" t="str">
        <f t="shared" si="12"/>
        <v/>
      </c>
      <c r="W43" s="105">
        <f t="shared" si="1"/>
        <v>0</v>
      </c>
      <c r="X43" s="105"/>
      <c r="Y43" s="105"/>
      <c r="Z43" s="105">
        <f>'Site list'!H5</f>
        <v>0.55000000000000004</v>
      </c>
      <c r="AA43" s="118" t="s">
        <v>277</v>
      </c>
      <c r="AB43" s="85">
        <f>AB42*Z43</f>
        <v>1834.8026274080801</v>
      </c>
    </row>
    <row r="44" spans="2:28" ht="3" customHeight="1" x14ac:dyDescent="0.35">
      <c r="B44" s="27"/>
      <c r="C44" s="6"/>
      <c r="D44" s="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>
        <f t="shared" si="3"/>
        <v>0</v>
      </c>
      <c r="S44" s="85">
        <f t="shared" si="4"/>
        <v>0</v>
      </c>
      <c r="T44" s="85">
        <f t="shared" si="5"/>
        <v>0</v>
      </c>
      <c r="U44" s="105">
        <f t="shared" si="11"/>
        <v>0</v>
      </c>
      <c r="V44" s="105" t="str">
        <f t="shared" si="12"/>
        <v/>
      </c>
      <c r="W44" s="105">
        <f t="shared" si="1"/>
        <v>0</v>
      </c>
      <c r="X44" s="105"/>
      <c r="Y44" s="105"/>
      <c r="Z44" s="85"/>
      <c r="AA44" s="85"/>
      <c r="AB44" s="85"/>
    </row>
    <row r="45" spans="2:28" x14ac:dyDescent="0.35">
      <c r="B45" s="27"/>
      <c r="C45" s="2" t="s">
        <v>185</v>
      </c>
      <c r="D45" s="6"/>
      <c r="F45" s="57">
        <f>SUM(F46:F50)</f>
        <v>160</v>
      </c>
      <c r="G45" s="57">
        <f t="shared" ref="G45:P45" si="17">SUM(G46:G50)</f>
        <v>160</v>
      </c>
      <c r="H45" s="57">
        <f t="shared" si="17"/>
        <v>160</v>
      </c>
      <c r="I45" s="57">
        <f t="shared" si="17"/>
        <v>160</v>
      </c>
      <c r="J45" s="57">
        <f t="shared" si="17"/>
        <v>160</v>
      </c>
      <c r="K45" s="57">
        <f t="shared" si="17"/>
        <v>160</v>
      </c>
      <c r="L45" s="57">
        <f t="shared" si="17"/>
        <v>160</v>
      </c>
      <c r="M45" s="57">
        <f t="shared" si="17"/>
        <v>160</v>
      </c>
      <c r="N45" s="57">
        <f t="shared" si="17"/>
        <v>160</v>
      </c>
      <c r="O45" s="57">
        <f t="shared" si="17"/>
        <v>160</v>
      </c>
      <c r="P45" s="57">
        <f t="shared" si="17"/>
        <v>160</v>
      </c>
      <c r="Q45" s="57">
        <f t="shared" ref="Q45:Q50" si="18">P45</f>
        <v>160</v>
      </c>
      <c r="R45" s="57">
        <f t="shared" si="3"/>
        <v>1920</v>
      </c>
      <c r="S45" s="57">
        <f t="shared" si="4"/>
        <v>0</v>
      </c>
      <c r="T45" s="57">
        <f t="shared" si="5"/>
        <v>1920</v>
      </c>
      <c r="U45" s="96">
        <f t="shared" si="11"/>
        <v>0.35447113644923312</v>
      </c>
      <c r="V45" s="96" t="str">
        <f t="shared" si="12"/>
        <v/>
      </c>
      <c r="W45" s="96">
        <f t="shared" si="1"/>
        <v>0.35447113644923312</v>
      </c>
      <c r="X45" s="96"/>
      <c r="Y45" s="96"/>
      <c r="Z45" s="57"/>
      <c r="AA45" s="57" t="s">
        <v>202</v>
      </c>
      <c r="AB45" s="57">
        <f>T45</f>
        <v>1920</v>
      </c>
    </row>
    <row r="46" spans="2:28" outlineLevel="1" x14ac:dyDescent="0.35">
      <c r="B46" s="27"/>
      <c r="D46" s="6"/>
      <c r="E46" s="93" t="s">
        <v>6</v>
      </c>
      <c r="F46" s="94">
        <v>160</v>
      </c>
      <c r="G46" s="94">
        <v>160</v>
      </c>
      <c r="H46" s="94">
        <v>160</v>
      </c>
      <c r="I46" s="94">
        <v>160</v>
      </c>
      <c r="J46" s="94">
        <v>160</v>
      </c>
      <c r="K46" s="94">
        <v>160</v>
      </c>
      <c r="L46" s="94">
        <v>160</v>
      </c>
      <c r="M46" s="94">
        <v>160</v>
      </c>
      <c r="N46" s="94">
        <v>160</v>
      </c>
      <c r="O46" s="94">
        <v>160</v>
      </c>
      <c r="P46" s="94">
        <v>160</v>
      </c>
      <c r="Q46" s="94">
        <f t="shared" si="18"/>
        <v>160</v>
      </c>
      <c r="R46" s="94">
        <f t="shared" si="3"/>
        <v>1920</v>
      </c>
      <c r="S46" s="94">
        <f t="shared" si="4"/>
        <v>0</v>
      </c>
      <c r="T46" s="95">
        <f t="shared" si="5"/>
        <v>1920</v>
      </c>
      <c r="U46" s="96">
        <f t="shared" si="11"/>
        <v>0.35447113644923312</v>
      </c>
      <c r="V46" s="96" t="str">
        <f t="shared" si="12"/>
        <v/>
      </c>
      <c r="W46" s="96">
        <f t="shared" si="1"/>
        <v>0.35447113644923312</v>
      </c>
      <c r="X46" s="96"/>
      <c r="Y46" s="96"/>
      <c r="Z46" s="94"/>
      <c r="AA46" s="57" t="s">
        <v>202</v>
      </c>
      <c r="AB46" s="95">
        <f t="shared" ref="AB46:AB51" si="19">T46</f>
        <v>1920</v>
      </c>
    </row>
    <row r="47" spans="2:28" outlineLevel="1" x14ac:dyDescent="0.35">
      <c r="B47" s="27"/>
      <c r="D47" s="6"/>
      <c r="E47" s="93" t="s">
        <v>7</v>
      </c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>
        <f t="shared" si="18"/>
        <v>0</v>
      </c>
      <c r="R47" s="94">
        <f t="shared" si="3"/>
        <v>0</v>
      </c>
      <c r="S47" s="94">
        <f t="shared" si="4"/>
        <v>0</v>
      </c>
      <c r="T47" s="95">
        <f t="shared" si="5"/>
        <v>0</v>
      </c>
      <c r="U47" s="96">
        <f t="shared" si="11"/>
        <v>0</v>
      </c>
      <c r="V47" s="96" t="str">
        <f t="shared" si="12"/>
        <v/>
      </c>
      <c r="W47" s="96">
        <f t="shared" si="1"/>
        <v>0</v>
      </c>
      <c r="X47" s="96"/>
      <c r="Y47" s="96"/>
      <c r="Z47" s="94"/>
      <c r="AA47" s="57" t="s">
        <v>202</v>
      </c>
      <c r="AB47" s="95">
        <f t="shared" si="19"/>
        <v>0</v>
      </c>
    </row>
    <row r="48" spans="2:28" outlineLevel="1" x14ac:dyDescent="0.35">
      <c r="B48" s="27"/>
      <c r="D48" s="6"/>
      <c r="E48" s="93" t="s">
        <v>8</v>
      </c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>
        <f t="shared" si="18"/>
        <v>0</v>
      </c>
      <c r="R48" s="94">
        <f t="shared" si="3"/>
        <v>0</v>
      </c>
      <c r="S48" s="94">
        <f t="shared" si="4"/>
        <v>0</v>
      </c>
      <c r="T48" s="95">
        <f t="shared" si="5"/>
        <v>0</v>
      </c>
      <c r="U48" s="96">
        <f t="shared" si="11"/>
        <v>0</v>
      </c>
      <c r="V48" s="96" t="str">
        <f t="shared" si="12"/>
        <v/>
      </c>
      <c r="W48" s="96">
        <f t="shared" si="1"/>
        <v>0</v>
      </c>
      <c r="X48" s="96"/>
      <c r="Y48" s="96"/>
      <c r="Z48" s="94"/>
      <c r="AA48" s="57" t="s">
        <v>202</v>
      </c>
      <c r="AB48" s="95">
        <f t="shared" si="19"/>
        <v>0</v>
      </c>
    </row>
    <row r="49" spans="2:28" outlineLevel="1" x14ac:dyDescent="0.35">
      <c r="B49" s="27"/>
      <c r="D49" s="6"/>
      <c r="E49" s="93" t="s">
        <v>9</v>
      </c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>
        <f t="shared" si="18"/>
        <v>0</v>
      </c>
      <c r="R49" s="94">
        <f t="shared" si="3"/>
        <v>0</v>
      </c>
      <c r="S49" s="94">
        <f t="shared" si="4"/>
        <v>0</v>
      </c>
      <c r="T49" s="95">
        <f t="shared" si="5"/>
        <v>0</v>
      </c>
      <c r="U49" s="96">
        <f t="shared" si="11"/>
        <v>0</v>
      </c>
      <c r="V49" s="96" t="str">
        <f t="shared" si="12"/>
        <v/>
      </c>
      <c r="W49" s="96">
        <f t="shared" si="1"/>
        <v>0</v>
      </c>
      <c r="X49" s="96"/>
      <c r="Y49" s="96"/>
      <c r="Z49" s="94"/>
      <c r="AA49" s="57" t="s">
        <v>202</v>
      </c>
      <c r="AB49" s="95">
        <f t="shared" si="19"/>
        <v>0</v>
      </c>
    </row>
    <row r="50" spans="2:28" outlineLevel="1" x14ac:dyDescent="0.35">
      <c r="B50" s="27"/>
      <c r="D50" s="6"/>
      <c r="E50" s="93" t="s">
        <v>10</v>
      </c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>
        <f t="shared" si="18"/>
        <v>0</v>
      </c>
      <c r="R50" s="94">
        <f t="shared" si="3"/>
        <v>0</v>
      </c>
      <c r="S50" s="94">
        <f t="shared" si="4"/>
        <v>0</v>
      </c>
      <c r="T50" s="95">
        <f t="shared" si="5"/>
        <v>0</v>
      </c>
      <c r="U50" s="96">
        <f t="shared" si="11"/>
        <v>0</v>
      </c>
      <c r="V50" s="96" t="str">
        <f t="shared" si="12"/>
        <v/>
      </c>
      <c r="W50" s="96">
        <f t="shared" si="1"/>
        <v>0</v>
      </c>
      <c r="X50" s="96"/>
      <c r="Y50" s="96"/>
      <c r="Z50" s="94"/>
      <c r="AA50" s="57" t="s">
        <v>202</v>
      </c>
      <c r="AB50" s="95">
        <f t="shared" si="19"/>
        <v>0</v>
      </c>
    </row>
    <row r="51" spans="2:28" x14ac:dyDescent="0.35">
      <c r="B51" s="27"/>
      <c r="C51" s="2" t="s">
        <v>195</v>
      </c>
      <c r="D51" s="6"/>
      <c r="E51" s="93"/>
      <c r="F51" s="109">
        <v>24.695902</v>
      </c>
      <c r="G51" s="109">
        <v>24.695902</v>
      </c>
      <c r="H51" s="109">
        <v>24.695902</v>
      </c>
      <c r="I51" s="109">
        <v>24.695902</v>
      </c>
      <c r="J51" s="109">
        <v>24.695902</v>
      </c>
      <c r="K51" s="109">
        <v>24.695902</v>
      </c>
      <c r="L51" s="109">
        <v>24.695902</v>
      </c>
      <c r="M51" s="109">
        <v>24.695902</v>
      </c>
      <c r="N51" s="109">
        <v>24.695902</v>
      </c>
      <c r="O51" s="109">
        <v>24.695902</v>
      </c>
      <c r="P51" s="109">
        <v>24.695902</v>
      </c>
      <c r="Q51" s="109">
        <v>24.695902</v>
      </c>
      <c r="R51" s="57">
        <f t="shared" si="3"/>
        <v>296.35082399999993</v>
      </c>
      <c r="S51" s="57">
        <f t="shared" si="4"/>
        <v>0</v>
      </c>
      <c r="T51" s="57">
        <f t="shared" si="5"/>
        <v>296.35082399999993</v>
      </c>
      <c r="U51" s="96">
        <f t="shared" si="11"/>
        <v>5.4712402797368047E-2</v>
      </c>
      <c r="V51" s="96" t="str">
        <f t="shared" si="12"/>
        <v/>
      </c>
      <c r="W51" s="96">
        <f t="shared" si="1"/>
        <v>5.4712402797368047E-2</v>
      </c>
      <c r="X51" s="96"/>
      <c r="Y51" s="96"/>
      <c r="Z51" s="94"/>
      <c r="AA51" s="57" t="s">
        <v>202</v>
      </c>
      <c r="AB51" s="57">
        <f t="shared" si="19"/>
        <v>296.35082399999993</v>
      </c>
    </row>
    <row r="52" spans="2:28" x14ac:dyDescent="0.35">
      <c r="C52" s="2" t="s">
        <v>191</v>
      </c>
      <c r="D52" s="55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>
        <v>0</v>
      </c>
      <c r="R52" s="57">
        <f t="shared" si="3"/>
        <v>0</v>
      </c>
      <c r="S52" s="57">
        <f t="shared" si="4"/>
        <v>0</v>
      </c>
      <c r="T52" s="57">
        <f t="shared" si="5"/>
        <v>0</v>
      </c>
      <c r="U52" s="96">
        <f t="shared" si="11"/>
        <v>0</v>
      </c>
      <c r="V52" s="96" t="str">
        <f t="shared" si="12"/>
        <v/>
      </c>
      <c r="W52" s="96">
        <f t="shared" si="1"/>
        <v>0</v>
      </c>
      <c r="X52" s="96"/>
      <c r="Y52" s="96"/>
      <c r="Z52" s="59"/>
      <c r="AA52" s="59"/>
      <c r="AB52" s="59">
        <v>0</v>
      </c>
    </row>
    <row r="53" spans="2:28" x14ac:dyDescent="0.35">
      <c r="C53" s="2" t="s">
        <v>208</v>
      </c>
      <c r="D53" s="55"/>
      <c r="F53" s="60">
        <f>(62429642/(10^6))*-1</f>
        <v>-62.429642000000001</v>
      </c>
      <c r="G53" s="60">
        <f>(91882058/(-10^6))*-1</f>
        <v>-91.882058000000001</v>
      </c>
      <c r="H53" s="60">
        <f>(73206544/(-10^6))*-1</f>
        <v>-73.206543999999994</v>
      </c>
      <c r="I53" s="60">
        <f>(40194717/(-10^6))*-1</f>
        <v>-40.194716999999997</v>
      </c>
      <c r="J53" s="60">
        <f>(69127309/(-10^6))*-1</f>
        <v>-69.127308999999997</v>
      </c>
      <c r="K53" s="60">
        <f>(69070040/(-10^6))*-1</f>
        <v>-69.070040000000006</v>
      </c>
      <c r="L53" s="60">
        <f>(57499275/(-10^6))*-1</f>
        <v>-57.499274999999997</v>
      </c>
      <c r="M53" s="60">
        <f>(64872139/(-10^6))*-1</f>
        <v>-64.872139000000004</v>
      </c>
      <c r="N53" s="60">
        <f>(64841912/(-10^6))*-1</f>
        <v>-64.841911999999994</v>
      </c>
      <c r="O53" s="60">
        <f>(57971873/(-10^6))*-1</f>
        <v>-57.971873000000002</v>
      </c>
      <c r="P53" s="60">
        <f>(59886608/(-10^6))*-1</f>
        <v>-59.886608000000003</v>
      </c>
      <c r="Q53" s="62">
        <v>-61.880138000000002</v>
      </c>
      <c r="R53" s="57">
        <f t="shared" si="3"/>
        <v>-772.86225499999989</v>
      </c>
      <c r="S53" s="57">
        <f t="shared" si="4"/>
        <v>0</v>
      </c>
      <c r="T53" s="57">
        <f t="shared" si="5"/>
        <v>-772.86225499999989</v>
      </c>
      <c r="U53" s="96">
        <f t="shared" si="11"/>
        <v>-0.14268612596279528</v>
      </c>
      <c r="V53" s="96" t="str">
        <f t="shared" si="12"/>
        <v/>
      </c>
      <c r="W53" s="96">
        <f t="shared" si="1"/>
        <v>-0.14268612596279528</v>
      </c>
      <c r="X53" s="96"/>
      <c r="Y53" s="96"/>
      <c r="Z53" s="110"/>
      <c r="AA53" s="111"/>
      <c r="AB53" s="111">
        <f>Z53*AB42</f>
        <v>0</v>
      </c>
    </row>
    <row r="54" spans="2:28" x14ac:dyDescent="0.35">
      <c r="B54" s="86" t="s">
        <v>48</v>
      </c>
      <c r="C54" s="87"/>
      <c r="D54" s="87"/>
      <c r="E54" s="70"/>
      <c r="F54" s="88">
        <f>F42-F45-F51+SUM(F52:F53)</f>
        <v>-287.24014099999999</v>
      </c>
      <c r="G54" s="88">
        <f>G42-G45-G51+SUM(G52:G53)</f>
        <v>-141.02581599999996</v>
      </c>
      <c r="H54" s="88">
        <f t="shared" ref="H54:Q54" si="20">H42-H45-H51+SUM(H52:H53)</f>
        <v>-45.387259999999998</v>
      </c>
      <c r="I54" s="88">
        <f t="shared" si="20"/>
        <v>-17.305287000000003</v>
      </c>
      <c r="J54" s="88">
        <f t="shared" si="20"/>
        <v>8.5181470000000132</v>
      </c>
      <c r="K54" s="88">
        <f t="shared" si="20"/>
        <v>137.28909099999998</v>
      </c>
      <c r="L54" s="88">
        <f t="shared" si="20"/>
        <v>13.392549999999943</v>
      </c>
      <c r="M54" s="88">
        <f t="shared" si="20"/>
        <v>-15.229560000000063</v>
      </c>
      <c r="N54" s="88">
        <f t="shared" si="20"/>
        <v>-23.078618000000034</v>
      </c>
      <c r="O54" s="88">
        <f t="shared" si="20"/>
        <v>40.797400999999923</v>
      </c>
      <c r="P54" s="88">
        <f t="shared" si="20"/>
        <v>27.14893699999994</v>
      </c>
      <c r="Q54" s="88">
        <f t="shared" si="20"/>
        <v>-92.105517000000049</v>
      </c>
      <c r="R54" s="88">
        <f t="shared" si="3"/>
        <v>-394.22607300000038</v>
      </c>
      <c r="S54" s="88">
        <f t="shared" si="4"/>
        <v>0</v>
      </c>
      <c r="T54" s="88">
        <f t="shared" si="5"/>
        <v>-394.22607300000038</v>
      </c>
      <c r="U54" s="101">
        <f t="shared" si="11"/>
        <v>-7.2782168809493994E-2</v>
      </c>
      <c r="V54" s="101" t="str">
        <f t="shared" si="12"/>
        <v/>
      </c>
      <c r="W54" s="101">
        <f t="shared" si="1"/>
        <v>-7.2782168809493994E-2</v>
      </c>
      <c r="X54" s="101"/>
      <c r="Y54" s="101"/>
      <c r="Z54" s="88"/>
      <c r="AA54" s="88"/>
      <c r="AB54" s="88">
        <f>AB42-AB45-AB51+SUM(AB52:AB53)</f>
        <v>1119.6539531055998</v>
      </c>
    </row>
    <row r="55" spans="2:28" ht="13.15" thickBot="1" x14ac:dyDescent="0.4">
      <c r="C55" s="2" t="s">
        <v>193</v>
      </c>
      <c r="D55" s="55"/>
      <c r="F55" s="356">
        <f>IF(F54&lt;0,0,F54*20%)</f>
        <v>0</v>
      </c>
      <c r="G55" s="356">
        <f t="shared" ref="G55:Q55" si="21">IF(G54&lt;0,0,G54*20%)</f>
        <v>0</v>
      </c>
      <c r="H55" s="356">
        <f t="shared" si="21"/>
        <v>0</v>
      </c>
      <c r="I55" s="356">
        <f t="shared" si="21"/>
        <v>0</v>
      </c>
      <c r="J55" s="356">
        <f t="shared" si="21"/>
        <v>1.7036294000000027</v>
      </c>
      <c r="K55" s="356">
        <f t="shared" si="21"/>
        <v>27.457818199999998</v>
      </c>
      <c r="L55" s="356">
        <f t="shared" si="21"/>
        <v>2.6785099999999886</v>
      </c>
      <c r="M55" s="356">
        <f t="shared" si="21"/>
        <v>0</v>
      </c>
      <c r="N55" s="356">
        <f t="shared" si="21"/>
        <v>0</v>
      </c>
      <c r="O55" s="356">
        <f t="shared" si="21"/>
        <v>8.1594801999999849</v>
      </c>
      <c r="P55" s="356">
        <f t="shared" si="21"/>
        <v>5.4297873999999879</v>
      </c>
      <c r="Q55" s="356">
        <f t="shared" si="21"/>
        <v>0</v>
      </c>
      <c r="R55" s="59">
        <f t="shared" si="3"/>
        <v>45.429225199999962</v>
      </c>
      <c r="S55" s="59">
        <f t="shared" si="4"/>
        <v>0</v>
      </c>
      <c r="T55" s="59">
        <f t="shared" si="5"/>
        <v>45.429225199999962</v>
      </c>
      <c r="U55" s="105">
        <f t="shared" si="11"/>
        <v>8.3871609815896492E-3</v>
      </c>
      <c r="V55" s="105" t="str">
        <f t="shared" si="12"/>
        <v/>
      </c>
      <c r="W55" s="105">
        <f t="shared" si="1"/>
        <v>8.3871609815896492E-3</v>
      </c>
      <c r="X55" s="105"/>
      <c r="Y55" s="105"/>
      <c r="Z55" s="59"/>
      <c r="AA55" s="59"/>
      <c r="AB55" s="59">
        <f>AB54*20%</f>
        <v>223.93079062111997</v>
      </c>
    </row>
    <row r="56" spans="2:28" x14ac:dyDescent="0.35">
      <c r="B56" s="89" t="s">
        <v>194</v>
      </c>
      <c r="C56" s="90"/>
      <c r="D56" s="90"/>
      <c r="E56" s="91"/>
      <c r="F56" s="92">
        <f>F54-F55</f>
        <v>-287.24014099999999</v>
      </c>
      <c r="G56" s="92">
        <f t="shared" ref="G56:Q56" si="22">G54-G55</f>
        <v>-141.02581599999996</v>
      </c>
      <c r="H56" s="92">
        <f t="shared" si="22"/>
        <v>-45.387259999999998</v>
      </c>
      <c r="I56" s="92">
        <f t="shared" si="22"/>
        <v>-17.305287000000003</v>
      </c>
      <c r="J56" s="92">
        <f t="shared" si="22"/>
        <v>6.8145176000000109</v>
      </c>
      <c r="K56" s="92">
        <f t="shared" si="22"/>
        <v>109.83127279999999</v>
      </c>
      <c r="L56" s="92">
        <f t="shared" si="22"/>
        <v>10.714039999999954</v>
      </c>
      <c r="M56" s="92">
        <f t="shared" si="22"/>
        <v>-15.229560000000063</v>
      </c>
      <c r="N56" s="92">
        <f t="shared" si="22"/>
        <v>-23.078618000000034</v>
      </c>
      <c r="O56" s="92">
        <f t="shared" si="22"/>
        <v>32.637920799999939</v>
      </c>
      <c r="P56" s="92">
        <f t="shared" si="22"/>
        <v>21.719149599999952</v>
      </c>
      <c r="Q56" s="92">
        <f t="shared" si="22"/>
        <v>-92.105517000000049</v>
      </c>
      <c r="R56" s="92">
        <f t="shared" si="3"/>
        <v>-439.65529820000029</v>
      </c>
      <c r="S56" s="92">
        <f t="shared" si="4"/>
        <v>0</v>
      </c>
      <c r="T56" s="92">
        <f t="shared" si="5"/>
        <v>-439.65529820000029</v>
      </c>
      <c r="U56" s="104">
        <f t="shared" si="11"/>
        <v>-8.1169329791083628E-2</v>
      </c>
      <c r="V56" s="104" t="str">
        <f t="shared" si="12"/>
        <v/>
      </c>
      <c r="W56" s="104">
        <f t="shared" si="1"/>
        <v>-8.1169329791083628E-2</v>
      </c>
      <c r="X56" s="92"/>
      <c r="Y56" s="92"/>
      <c r="Z56" s="92"/>
      <c r="AA56" s="92"/>
      <c r="AB56" s="92">
        <f>AB54-AB55</f>
        <v>895.72316248447987</v>
      </c>
    </row>
    <row r="57" spans="2:28" ht="13.15" thickBot="1" x14ac:dyDescent="0.4">
      <c r="C57" s="2" t="s">
        <v>204</v>
      </c>
      <c r="D57" s="55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>
        <f t="shared" si="3"/>
        <v>0</v>
      </c>
      <c r="S57" s="59">
        <f t="shared" si="4"/>
        <v>0</v>
      </c>
      <c r="T57" s="59">
        <f t="shared" si="5"/>
        <v>0</v>
      </c>
      <c r="U57" s="59">
        <f t="shared" si="11"/>
        <v>0</v>
      </c>
      <c r="V57" s="59" t="str">
        <f t="shared" si="12"/>
        <v/>
      </c>
      <c r="W57" s="59">
        <f t="shared" si="1"/>
        <v>0</v>
      </c>
      <c r="X57" s="59"/>
      <c r="Y57" s="59"/>
      <c r="Z57" s="108">
        <v>0.14963325200566288</v>
      </c>
      <c r="AA57" s="59"/>
      <c r="AB57" s="59">
        <f>AB56*Z57</f>
        <v>134.02996969934949</v>
      </c>
    </row>
    <row r="58" spans="2:28" ht="13.15" hidden="1" thickBot="1" x14ac:dyDescent="0.4">
      <c r="B58" s="28" t="s">
        <v>99</v>
      </c>
      <c r="R58" s="2">
        <f t="shared" si="3"/>
        <v>0</v>
      </c>
      <c r="S58" s="2">
        <f t="shared" si="4"/>
        <v>0</v>
      </c>
      <c r="T58" s="2">
        <f t="shared" si="5"/>
        <v>0</v>
      </c>
      <c r="U58" s="2">
        <f t="shared" si="11"/>
        <v>0</v>
      </c>
      <c r="V58" s="2" t="str">
        <f t="shared" si="12"/>
        <v/>
      </c>
      <c r="W58" s="2">
        <f t="shared" si="1"/>
        <v>0</v>
      </c>
    </row>
    <row r="59" spans="2:28" ht="13.15" hidden="1" thickBot="1" x14ac:dyDescent="0.4">
      <c r="C59" s="6" t="s">
        <v>137</v>
      </c>
      <c r="R59" s="2">
        <f t="shared" si="3"/>
        <v>0</v>
      </c>
      <c r="S59" s="2">
        <f t="shared" si="4"/>
        <v>0</v>
      </c>
      <c r="T59" s="2">
        <f t="shared" si="5"/>
        <v>0</v>
      </c>
      <c r="U59" s="2">
        <f t="shared" si="11"/>
        <v>0</v>
      </c>
      <c r="V59" s="2" t="str">
        <f t="shared" si="12"/>
        <v/>
      </c>
      <c r="W59" s="2">
        <f t="shared" si="1"/>
        <v>0</v>
      </c>
    </row>
    <row r="60" spans="2:28" ht="13.15" hidden="1" thickBot="1" x14ac:dyDescent="0.4">
      <c r="E60" s="2" t="s">
        <v>6</v>
      </c>
      <c r="F60" s="57">
        <v>257</v>
      </c>
      <c r="G60" s="57">
        <v>402</v>
      </c>
      <c r="H60" s="57">
        <v>460</v>
      </c>
      <c r="I60" s="57">
        <v>538</v>
      </c>
      <c r="J60" s="57">
        <v>463</v>
      </c>
      <c r="K60" s="57">
        <v>437</v>
      </c>
      <c r="L60" s="57">
        <v>449</v>
      </c>
      <c r="M60" s="57">
        <v>358</v>
      </c>
      <c r="N60" s="57">
        <v>373</v>
      </c>
      <c r="O60" s="57">
        <v>353</v>
      </c>
      <c r="P60" s="57">
        <v>327</v>
      </c>
      <c r="R60" s="2">
        <f t="shared" si="3"/>
        <v>4417</v>
      </c>
      <c r="S60" s="2">
        <f t="shared" si="4"/>
        <v>0</v>
      </c>
      <c r="T60" s="2">
        <f t="shared" si="5"/>
        <v>4417</v>
      </c>
      <c r="U60" s="2">
        <f t="shared" si="11"/>
        <v>0.81546823421680348</v>
      </c>
      <c r="V60" s="2" t="str">
        <f t="shared" si="12"/>
        <v/>
      </c>
      <c r="W60" s="2">
        <f t="shared" si="1"/>
        <v>0.81546823421680348</v>
      </c>
    </row>
    <row r="61" spans="2:28" ht="13.15" hidden="1" thickBot="1" x14ac:dyDescent="0.4">
      <c r="E61" s="2" t="s">
        <v>7</v>
      </c>
      <c r="F61" s="57">
        <v>7</v>
      </c>
      <c r="G61" s="57">
        <v>16</v>
      </c>
      <c r="H61" s="57">
        <v>17</v>
      </c>
      <c r="I61" s="57">
        <v>37</v>
      </c>
      <c r="J61" s="57">
        <v>22</v>
      </c>
      <c r="K61" s="57">
        <v>18</v>
      </c>
      <c r="L61" s="57">
        <v>21</v>
      </c>
      <c r="M61" s="57">
        <v>28</v>
      </c>
      <c r="N61" s="57">
        <v>20</v>
      </c>
      <c r="O61" s="57">
        <v>18</v>
      </c>
      <c r="P61" s="57">
        <v>17</v>
      </c>
      <c r="R61" s="2">
        <f t="shared" si="3"/>
        <v>221</v>
      </c>
      <c r="S61" s="2">
        <f t="shared" si="4"/>
        <v>0</v>
      </c>
      <c r="T61" s="2">
        <f t="shared" si="5"/>
        <v>221</v>
      </c>
      <c r="U61" s="2">
        <f t="shared" si="11"/>
        <v>4.0801104768375271E-2</v>
      </c>
      <c r="V61" s="2" t="str">
        <f t="shared" si="12"/>
        <v/>
      </c>
      <c r="W61" s="2">
        <f t="shared" si="1"/>
        <v>4.0801104768375271E-2</v>
      </c>
    </row>
    <row r="62" spans="2:28" ht="13.15" hidden="1" thickBot="1" x14ac:dyDescent="0.4">
      <c r="E62" s="2" t="s">
        <v>8</v>
      </c>
      <c r="F62" s="57">
        <v>108</v>
      </c>
      <c r="G62" s="57">
        <v>143</v>
      </c>
      <c r="H62" s="57">
        <v>166</v>
      </c>
      <c r="I62" s="57">
        <v>201</v>
      </c>
      <c r="J62" s="57">
        <v>134</v>
      </c>
      <c r="K62" s="57">
        <v>106</v>
      </c>
      <c r="L62" s="57">
        <v>81</v>
      </c>
      <c r="M62" s="57">
        <v>76</v>
      </c>
      <c r="N62" s="57">
        <v>82</v>
      </c>
      <c r="O62" s="57">
        <v>92</v>
      </c>
      <c r="P62" s="58">
        <v>83</v>
      </c>
      <c r="R62" s="2">
        <f t="shared" si="3"/>
        <v>1272</v>
      </c>
      <c r="S62" s="2">
        <f t="shared" si="4"/>
        <v>0</v>
      </c>
      <c r="T62" s="2">
        <f t="shared" si="5"/>
        <v>1272</v>
      </c>
      <c r="U62" s="2">
        <f t="shared" si="11"/>
        <v>0.23483712789761693</v>
      </c>
      <c r="V62" s="2" t="str">
        <f t="shared" si="12"/>
        <v/>
      </c>
      <c r="W62" s="2">
        <f t="shared" si="1"/>
        <v>0.23483712789761693</v>
      </c>
    </row>
    <row r="63" spans="2:28" ht="13.15" hidden="1" thickBot="1" x14ac:dyDescent="0.4">
      <c r="E63" s="2" t="s">
        <v>9</v>
      </c>
      <c r="F63" s="57">
        <v>58</v>
      </c>
      <c r="G63" s="57">
        <v>83</v>
      </c>
      <c r="H63" s="57">
        <v>147</v>
      </c>
      <c r="I63" s="57">
        <v>228</v>
      </c>
      <c r="J63" s="57">
        <v>168</v>
      </c>
      <c r="K63" s="57">
        <v>188</v>
      </c>
      <c r="L63" s="57">
        <v>203</v>
      </c>
      <c r="M63" s="57">
        <v>155</v>
      </c>
      <c r="N63" s="57">
        <v>167</v>
      </c>
      <c r="O63" s="57">
        <v>144</v>
      </c>
      <c r="P63" s="57">
        <v>187</v>
      </c>
      <c r="R63" s="2">
        <f t="shared" si="3"/>
        <v>1728</v>
      </c>
      <c r="S63" s="2">
        <f t="shared" si="4"/>
        <v>0</v>
      </c>
      <c r="T63" s="2">
        <f t="shared" si="5"/>
        <v>1728</v>
      </c>
      <c r="U63" s="2">
        <f t="shared" si="11"/>
        <v>0.3190240228043098</v>
      </c>
      <c r="V63" s="2" t="str">
        <f t="shared" si="12"/>
        <v/>
      </c>
      <c r="W63" s="2">
        <f t="shared" si="1"/>
        <v>0.3190240228043098</v>
      </c>
    </row>
    <row r="64" spans="2:28" ht="13.15" hidden="1" thickBot="1" x14ac:dyDescent="0.4">
      <c r="E64" s="2" t="s">
        <v>10</v>
      </c>
      <c r="F64" s="57">
        <v>36</v>
      </c>
      <c r="G64" s="57">
        <v>72</v>
      </c>
      <c r="H64" s="57">
        <v>67</v>
      </c>
      <c r="I64" s="57">
        <v>57</v>
      </c>
      <c r="J64" s="57">
        <v>42</v>
      </c>
      <c r="K64" s="57">
        <v>38</v>
      </c>
      <c r="L64" s="58">
        <v>85</v>
      </c>
      <c r="M64" s="57">
        <v>46</v>
      </c>
      <c r="N64" s="57">
        <v>79</v>
      </c>
      <c r="O64" s="57">
        <v>82</v>
      </c>
      <c r="P64" s="57">
        <v>44</v>
      </c>
      <c r="R64" s="2">
        <f t="shared" si="3"/>
        <v>648</v>
      </c>
      <c r="S64" s="2">
        <f t="shared" si="4"/>
        <v>0</v>
      </c>
      <c r="T64" s="2">
        <f t="shared" si="5"/>
        <v>648</v>
      </c>
      <c r="U64" s="2">
        <f t="shared" si="11"/>
        <v>0.11963400855161618</v>
      </c>
      <c r="V64" s="2" t="str">
        <f t="shared" si="12"/>
        <v/>
      </c>
      <c r="W64" s="2">
        <f t="shared" si="1"/>
        <v>0.11963400855161618</v>
      </c>
    </row>
    <row r="65" spans="3:23" ht="13.15" hidden="1" thickBot="1" x14ac:dyDescent="0.4">
      <c r="D65" s="55" t="s">
        <v>134</v>
      </c>
      <c r="F65" s="59">
        <f>SUM(F60:F64)</f>
        <v>466</v>
      </c>
      <c r="G65" s="59">
        <f t="shared" ref="G65:P65" si="23">SUM(G60:G64)</f>
        <v>716</v>
      </c>
      <c r="H65" s="59">
        <f t="shared" si="23"/>
        <v>857</v>
      </c>
      <c r="I65" s="59">
        <f t="shared" si="23"/>
        <v>1061</v>
      </c>
      <c r="J65" s="59">
        <f t="shared" si="23"/>
        <v>829</v>
      </c>
      <c r="K65" s="59">
        <f t="shared" si="23"/>
        <v>787</v>
      </c>
      <c r="L65" s="59">
        <f t="shared" si="23"/>
        <v>839</v>
      </c>
      <c r="M65" s="59">
        <f t="shared" si="23"/>
        <v>663</v>
      </c>
      <c r="N65" s="59">
        <f t="shared" si="23"/>
        <v>721</v>
      </c>
      <c r="O65" s="59">
        <f t="shared" si="23"/>
        <v>689</v>
      </c>
      <c r="P65" s="59">
        <f t="shared" si="23"/>
        <v>658</v>
      </c>
      <c r="R65" s="2">
        <f t="shared" si="3"/>
        <v>8286</v>
      </c>
      <c r="S65" s="2">
        <f t="shared" si="4"/>
        <v>0</v>
      </c>
      <c r="T65" s="2">
        <f t="shared" si="5"/>
        <v>8286</v>
      </c>
      <c r="U65" s="2">
        <f t="shared" si="11"/>
        <v>1.5297644982387217</v>
      </c>
      <c r="V65" s="2" t="str">
        <f t="shared" si="12"/>
        <v/>
      </c>
      <c r="W65" s="2">
        <f t="shared" si="1"/>
        <v>1.5297644982387217</v>
      </c>
    </row>
    <row r="66" spans="3:23" ht="13.15" hidden="1" thickBot="1" x14ac:dyDescent="0.4">
      <c r="D66" s="55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R66" s="2">
        <f t="shared" si="3"/>
        <v>0</v>
      </c>
      <c r="S66" s="2">
        <f t="shared" si="4"/>
        <v>0</v>
      </c>
      <c r="T66" s="2">
        <f t="shared" si="5"/>
        <v>0</v>
      </c>
      <c r="U66" s="2">
        <f t="shared" si="11"/>
        <v>0</v>
      </c>
      <c r="V66" s="2" t="str">
        <f t="shared" si="12"/>
        <v/>
      </c>
      <c r="W66" s="2">
        <f t="shared" si="1"/>
        <v>0</v>
      </c>
    </row>
    <row r="67" spans="3:23" ht="13.15" hidden="1" thickBot="1" x14ac:dyDescent="0.4">
      <c r="C67" s="6" t="s">
        <v>138</v>
      </c>
      <c r="D67" s="55"/>
      <c r="F67" s="59">
        <v>30</v>
      </c>
      <c r="G67" s="59">
        <f>28-7</f>
        <v>21</v>
      </c>
      <c r="H67" s="59">
        <v>31</v>
      </c>
      <c r="I67" s="59">
        <f>30-2</f>
        <v>28</v>
      </c>
      <c r="J67" s="59">
        <v>31</v>
      </c>
      <c r="K67" s="59">
        <v>30</v>
      </c>
      <c r="L67" s="59">
        <v>31</v>
      </c>
      <c r="M67" s="59">
        <v>31</v>
      </c>
      <c r="N67" s="59">
        <f>30-2</f>
        <v>28</v>
      </c>
      <c r="O67" s="59">
        <v>31</v>
      </c>
      <c r="P67" s="59">
        <v>30</v>
      </c>
      <c r="R67" s="2">
        <f t="shared" si="3"/>
        <v>322</v>
      </c>
      <c r="S67" s="2">
        <f t="shared" si="4"/>
        <v>0</v>
      </c>
      <c r="T67" s="2">
        <f t="shared" si="5"/>
        <v>322</v>
      </c>
      <c r="U67" s="2">
        <f t="shared" si="11"/>
        <v>5.9447763508673472E-2</v>
      </c>
      <c r="V67" s="2" t="str">
        <f t="shared" si="12"/>
        <v/>
      </c>
      <c r="W67" s="2">
        <f t="shared" si="1"/>
        <v>5.9447763508673472E-2</v>
      </c>
    </row>
    <row r="68" spans="3:23" ht="13.15" hidden="1" thickBot="1" x14ac:dyDescent="0.4">
      <c r="D68" s="55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R68" s="2">
        <f t="shared" si="3"/>
        <v>0</v>
      </c>
      <c r="S68" s="2">
        <f t="shared" si="4"/>
        <v>0</v>
      </c>
      <c r="T68" s="2">
        <f t="shared" si="5"/>
        <v>0</v>
      </c>
      <c r="U68" s="2">
        <f t="shared" si="11"/>
        <v>0</v>
      </c>
      <c r="V68" s="2" t="str">
        <f t="shared" si="12"/>
        <v/>
      </c>
      <c r="W68" s="2">
        <f t="shared" si="1"/>
        <v>0</v>
      </c>
    </row>
    <row r="69" spans="3:23" ht="13.15" hidden="1" thickBot="1" x14ac:dyDescent="0.4">
      <c r="C69" s="6" t="s">
        <v>133</v>
      </c>
      <c r="R69" s="2">
        <f t="shared" si="3"/>
        <v>0</v>
      </c>
      <c r="S69" s="2">
        <f t="shared" si="4"/>
        <v>0</v>
      </c>
      <c r="T69" s="2">
        <f t="shared" si="5"/>
        <v>0</v>
      </c>
      <c r="U69" s="2">
        <f t="shared" si="11"/>
        <v>0</v>
      </c>
      <c r="V69" s="2" t="str">
        <f t="shared" si="12"/>
        <v/>
      </c>
      <c r="W69" s="2">
        <f t="shared" si="1"/>
        <v>0</v>
      </c>
    </row>
    <row r="70" spans="3:23" ht="13.15" hidden="1" thickBot="1" x14ac:dyDescent="0.4">
      <c r="E70" s="2" t="s">
        <v>6</v>
      </c>
      <c r="R70" s="2">
        <f t="shared" si="3"/>
        <v>0</v>
      </c>
      <c r="S70" s="2">
        <f t="shared" si="4"/>
        <v>0</v>
      </c>
      <c r="T70" s="2">
        <f t="shared" si="5"/>
        <v>0</v>
      </c>
      <c r="U70" s="2">
        <f t="shared" si="11"/>
        <v>0</v>
      </c>
      <c r="V70" s="2" t="str">
        <f t="shared" si="12"/>
        <v/>
      </c>
      <c r="W70" s="2">
        <f t="shared" si="1"/>
        <v>0</v>
      </c>
    </row>
    <row r="71" spans="3:23" ht="13.15" hidden="1" thickBot="1" x14ac:dyDescent="0.4">
      <c r="E71" s="2" t="s">
        <v>7</v>
      </c>
      <c r="R71" s="2">
        <f t="shared" si="3"/>
        <v>0</v>
      </c>
      <c r="S71" s="2">
        <f t="shared" si="4"/>
        <v>0</v>
      </c>
      <c r="T71" s="2">
        <f t="shared" si="5"/>
        <v>0</v>
      </c>
      <c r="U71" s="2">
        <f t="shared" si="11"/>
        <v>0</v>
      </c>
      <c r="V71" s="2" t="str">
        <f t="shared" si="12"/>
        <v/>
      </c>
      <c r="W71" s="2">
        <f t="shared" si="1"/>
        <v>0</v>
      </c>
    </row>
    <row r="72" spans="3:23" ht="13.15" hidden="1" thickBot="1" x14ac:dyDescent="0.4">
      <c r="E72" s="2" t="s">
        <v>8</v>
      </c>
      <c r="R72" s="2">
        <f t="shared" si="3"/>
        <v>0</v>
      </c>
      <c r="S72" s="2">
        <f t="shared" si="4"/>
        <v>0</v>
      </c>
      <c r="T72" s="2">
        <f t="shared" si="5"/>
        <v>0</v>
      </c>
      <c r="U72" s="2">
        <f t="shared" si="11"/>
        <v>0</v>
      </c>
      <c r="V72" s="2" t="str">
        <f t="shared" si="12"/>
        <v/>
      </c>
      <c r="W72" s="2">
        <f t="shared" si="1"/>
        <v>0</v>
      </c>
    </row>
    <row r="73" spans="3:23" ht="13.15" hidden="1" thickBot="1" x14ac:dyDescent="0.4">
      <c r="E73" s="2" t="s">
        <v>9</v>
      </c>
      <c r="R73" s="2">
        <f t="shared" si="3"/>
        <v>0</v>
      </c>
      <c r="S73" s="2">
        <f t="shared" si="4"/>
        <v>0</v>
      </c>
      <c r="T73" s="2">
        <f t="shared" si="5"/>
        <v>0</v>
      </c>
      <c r="U73" s="2">
        <f t="shared" si="11"/>
        <v>0</v>
      </c>
      <c r="V73" s="2" t="str">
        <f t="shared" si="12"/>
        <v/>
      </c>
      <c r="W73" s="2">
        <f t="shared" si="1"/>
        <v>0</v>
      </c>
    </row>
    <row r="74" spans="3:23" ht="13.15" hidden="1" thickBot="1" x14ac:dyDescent="0.4">
      <c r="E74" s="2" t="s">
        <v>10</v>
      </c>
      <c r="R74" s="2">
        <f t="shared" si="3"/>
        <v>0</v>
      </c>
      <c r="S74" s="2">
        <f t="shared" si="4"/>
        <v>0</v>
      </c>
      <c r="T74" s="2">
        <f t="shared" si="5"/>
        <v>0</v>
      </c>
      <c r="U74" s="2">
        <f t="shared" si="11"/>
        <v>0</v>
      </c>
      <c r="V74" s="2" t="str">
        <f t="shared" si="12"/>
        <v/>
      </c>
      <c r="W74" s="2">
        <f t="shared" si="1"/>
        <v>0</v>
      </c>
    </row>
    <row r="75" spans="3:23" ht="13.15" hidden="1" thickBot="1" x14ac:dyDescent="0.4">
      <c r="D75" s="55" t="s">
        <v>134</v>
      </c>
      <c r="R75" s="2">
        <f t="shared" si="3"/>
        <v>0</v>
      </c>
      <c r="S75" s="2">
        <f t="shared" si="4"/>
        <v>0</v>
      </c>
      <c r="T75" s="2">
        <f t="shared" si="5"/>
        <v>0</v>
      </c>
      <c r="U75" s="2">
        <f t="shared" si="11"/>
        <v>0</v>
      </c>
      <c r="V75" s="2" t="str">
        <f t="shared" si="12"/>
        <v/>
      </c>
      <c r="W75" s="2">
        <f t="shared" si="1"/>
        <v>0</v>
      </c>
    </row>
    <row r="76" spans="3:23" ht="13.15" hidden="1" thickBot="1" x14ac:dyDescent="0.4">
      <c r="C76" s="6" t="s">
        <v>140</v>
      </c>
      <c r="D76" s="55"/>
      <c r="R76" s="2">
        <f t="shared" si="3"/>
        <v>0</v>
      </c>
      <c r="S76" s="2">
        <f t="shared" si="4"/>
        <v>0</v>
      </c>
      <c r="T76" s="2">
        <f t="shared" si="5"/>
        <v>0</v>
      </c>
      <c r="U76" s="2">
        <f t="shared" si="11"/>
        <v>0</v>
      </c>
      <c r="V76" s="2" t="str">
        <f t="shared" si="12"/>
        <v/>
      </c>
      <c r="W76" s="2">
        <f t="shared" si="1"/>
        <v>0</v>
      </c>
    </row>
    <row r="77" spans="3:23" ht="13.15" hidden="1" thickBot="1" x14ac:dyDescent="0.4">
      <c r="D77" s="55"/>
      <c r="E77" s="2" t="s">
        <v>6</v>
      </c>
      <c r="R77" s="2">
        <f t="shared" si="3"/>
        <v>0</v>
      </c>
      <c r="S77" s="2">
        <f t="shared" si="4"/>
        <v>0</v>
      </c>
      <c r="T77" s="2">
        <f t="shared" si="5"/>
        <v>0</v>
      </c>
      <c r="U77" s="2">
        <f t="shared" si="11"/>
        <v>0</v>
      </c>
      <c r="V77" s="2" t="str">
        <f t="shared" si="12"/>
        <v/>
      </c>
      <c r="W77" s="2">
        <f t="shared" ref="W77:W88" si="24">IFERROR(T77/T$17,"")</f>
        <v>0</v>
      </c>
    </row>
    <row r="78" spans="3:23" ht="13.15" hidden="1" thickBot="1" x14ac:dyDescent="0.4">
      <c r="D78" s="55"/>
      <c r="E78" s="2" t="s">
        <v>7</v>
      </c>
      <c r="R78" s="2">
        <f t="shared" si="3"/>
        <v>0</v>
      </c>
      <c r="S78" s="2">
        <f t="shared" si="4"/>
        <v>0</v>
      </c>
      <c r="T78" s="2">
        <f t="shared" si="5"/>
        <v>0</v>
      </c>
      <c r="U78" s="2">
        <f t="shared" si="11"/>
        <v>0</v>
      </c>
      <c r="V78" s="2" t="str">
        <f t="shared" si="12"/>
        <v/>
      </c>
      <c r="W78" s="2">
        <f t="shared" si="24"/>
        <v>0</v>
      </c>
    </row>
    <row r="79" spans="3:23" ht="13.15" hidden="1" thickBot="1" x14ac:dyDescent="0.4">
      <c r="D79" s="55"/>
      <c r="E79" s="2" t="s">
        <v>8</v>
      </c>
      <c r="R79" s="2">
        <f t="shared" si="3"/>
        <v>0</v>
      </c>
      <c r="S79" s="2">
        <f t="shared" si="4"/>
        <v>0</v>
      </c>
      <c r="T79" s="2">
        <f t="shared" si="5"/>
        <v>0</v>
      </c>
      <c r="U79" s="2">
        <f t="shared" si="11"/>
        <v>0</v>
      </c>
      <c r="V79" s="2" t="str">
        <f t="shared" si="12"/>
        <v/>
      </c>
      <c r="W79" s="2">
        <f t="shared" si="24"/>
        <v>0</v>
      </c>
    </row>
    <row r="80" spans="3:23" ht="13.15" hidden="1" thickBot="1" x14ac:dyDescent="0.4">
      <c r="D80" s="55"/>
      <c r="E80" s="2" t="s">
        <v>9</v>
      </c>
      <c r="R80" s="2">
        <f t="shared" si="3"/>
        <v>0</v>
      </c>
      <c r="S80" s="2">
        <f t="shared" si="4"/>
        <v>0</v>
      </c>
      <c r="T80" s="2">
        <f t="shared" si="5"/>
        <v>0</v>
      </c>
      <c r="U80" s="2">
        <f t="shared" si="11"/>
        <v>0</v>
      </c>
      <c r="V80" s="2" t="str">
        <f t="shared" si="12"/>
        <v/>
      </c>
      <c r="W80" s="2">
        <f t="shared" si="24"/>
        <v>0</v>
      </c>
    </row>
    <row r="81" spans="2:28" ht="13.15" hidden="1" thickBot="1" x14ac:dyDescent="0.4">
      <c r="D81" s="55"/>
      <c r="E81" s="2" t="s">
        <v>10</v>
      </c>
      <c r="R81" s="2">
        <f t="shared" si="3"/>
        <v>0</v>
      </c>
      <c r="S81" s="2">
        <f t="shared" si="4"/>
        <v>0</v>
      </c>
      <c r="T81" s="2">
        <f t="shared" si="5"/>
        <v>0</v>
      </c>
      <c r="U81" s="2">
        <f t="shared" si="11"/>
        <v>0</v>
      </c>
      <c r="V81" s="2" t="str">
        <f t="shared" si="12"/>
        <v/>
      </c>
      <c r="W81" s="2">
        <f t="shared" si="24"/>
        <v>0</v>
      </c>
    </row>
    <row r="82" spans="2:28" ht="13.15" hidden="1" thickBot="1" x14ac:dyDescent="0.4">
      <c r="C82" s="6" t="s">
        <v>139</v>
      </c>
      <c r="R82" s="2">
        <f t="shared" si="3"/>
        <v>0</v>
      </c>
      <c r="S82" s="2">
        <f t="shared" si="4"/>
        <v>0</v>
      </c>
      <c r="T82" s="2">
        <f t="shared" si="5"/>
        <v>0</v>
      </c>
      <c r="U82" s="2">
        <f t="shared" si="11"/>
        <v>0</v>
      </c>
      <c r="V82" s="2" t="str">
        <f t="shared" si="12"/>
        <v/>
      </c>
      <c r="W82" s="2">
        <f t="shared" si="24"/>
        <v>0</v>
      </c>
    </row>
    <row r="83" spans="2:28" ht="13.15" hidden="1" thickBot="1" x14ac:dyDescent="0.4">
      <c r="E83" s="2" t="s">
        <v>6</v>
      </c>
      <c r="R83" s="2">
        <f t="shared" si="3"/>
        <v>0</v>
      </c>
      <c r="S83" s="2">
        <f t="shared" si="4"/>
        <v>0</v>
      </c>
      <c r="T83" s="2">
        <f t="shared" si="5"/>
        <v>0</v>
      </c>
      <c r="U83" s="2">
        <f t="shared" si="11"/>
        <v>0</v>
      </c>
      <c r="V83" s="2" t="str">
        <f t="shared" si="12"/>
        <v/>
      </c>
      <c r="W83" s="2">
        <f t="shared" si="24"/>
        <v>0</v>
      </c>
    </row>
    <row r="84" spans="2:28" ht="13.15" hidden="1" thickBot="1" x14ac:dyDescent="0.4">
      <c r="E84" s="2" t="s">
        <v>7</v>
      </c>
      <c r="R84" s="2">
        <f t="shared" si="3"/>
        <v>0</v>
      </c>
      <c r="S84" s="2">
        <f t="shared" si="4"/>
        <v>0</v>
      </c>
      <c r="T84" s="2">
        <f t="shared" si="5"/>
        <v>0</v>
      </c>
      <c r="U84" s="2">
        <f t="shared" si="11"/>
        <v>0</v>
      </c>
      <c r="V84" s="2" t="str">
        <f t="shared" si="12"/>
        <v/>
      </c>
      <c r="W84" s="2">
        <f t="shared" si="24"/>
        <v>0</v>
      </c>
    </row>
    <row r="85" spans="2:28" ht="13.15" hidden="1" thickBot="1" x14ac:dyDescent="0.4">
      <c r="E85" s="2" t="s">
        <v>8</v>
      </c>
      <c r="R85" s="2">
        <f t="shared" si="3"/>
        <v>0</v>
      </c>
      <c r="S85" s="2">
        <f t="shared" si="4"/>
        <v>0</v>
      </c>
      <c r="T85" s="2">
        <f t="shared" si="5"/>
        <v>0</v>
      </c>
      <c r="U85" s="2">
        <f t="shared" si="11"/>
        <v>0</v>
      </c>
      <c r="V85" s="2" t="str">
        <f t="shared" si="12"/>
        <v/>
      </c>
      <c r="W85" s="2">
        <f t="shared" si="24"/>
        <v>0</v>
      </c>
    </row>
    <row r="86" spans="2:28" ht="13.15" hidden="1" thickBot="1" x14ac:dyDescent="0.4">
      <c r="E86" s="2" t="s">
        <v>9</v>
      </c>
      <c r="R86" s="2">
        <f t="shared" ref="R86:R88" si="25">SUMIFS($F86:$Q86,$F$7:$Q$7,"A")</f>
        <v>0</v>
      </c>
      <c r="S86" s="2">
        <f t="shared" ref="S86:S88" si="26">SUMIFS($F86:$Q86,$F$7:$Q$7,"B")</f>
        <v>0</v>
      </c>
      <c r="T86" s="2">
        <f t="shared" ref="T86:T88" si="27">SUM(R86:S86)</f>
        <v>0</v>
      </c>
      <c r="U86" s="2">
        <f t="shared" si="11"/>
        <v>0</v>
      </c>
      <c r="V86" s="2" t="str">
        <f t="shared" si="12"/>
        <v/>
      </c>
      <c r="W86" s="2">
        <f t="shared" si="24"/>
        <v>0</v>
      </c>
    </row>
    <row r="87" spans="2:28" ht="13.15" hidden="1" thickBot="1" x14ac:dyDescent="0.4">
      <c r="E87" s="2" t="s">
        <v>10</v>
      </c>
      <c r="R87" s="2">
        <f t="shared" si="25"/>
        <v>0</v>
      </c>
      <c r="S87" s="2">
        <f t="shared" si="26"/>
        <v>0</v>
      </c>
      <c r="T87" s="2">
        <f t="shared" si="27"/>
        <v>0</v>
      </c>
      <c r="U87" s="2">
        <f t="shared" si="11"/>
        <v>0</v>
      </c>
      <c r="V87" s="2" t="str">
        <f t="shared" si="12"/>
        <v/>
      </c>
      <c r="W87" s="2">
        <f t="shared" si="24"/>
        <v>0</v>
      </c>
    </row>
    <row r="88" spans="2:28" x14ac:dyDescent="0.35">
      <c r="B88" s="90" t="s">
        <v>205</v>
      </c>
      <c r="C88" s="90"/>
      <c r="D88" s="91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>
        <f t="shared" si="25"/>
        <v>0</v>
      </c>
      <c r="S88" s="92">
        <f t="shared" si="26"/>
        <v>0</v>
      </c>
      <c r="T88" s="92">
        <f t="shared" si="27"/>
        <v>0</v>
      </c>
      <c r="U88" s="92">
        <f t="shared" si="11"/>
        <v>0</v>
      </c>
      <c r="V88" s="92" t="str">
        <f t="shared" si="12"/>
        <v/>
      </c>
      <c r="W88" s="92">
        <f t="shared" si="24"/>
        <v>0</v>
      </c>
      <c r="X88" s="92"/>
      <c r="Y88" s="92"/>
      <c r="Z88" s="92"/>
      <c r="AA88" s="92"/>
      <c r="AB88" s="92">
        <f>AB56-AB57</f>
        <v>761.69319278513035</v>
      </c>
    </row>
    <row r="89" spans="2:28" x14ac:dyDescent="0.35">
      <c r="F89" s="60">
        <f>-288137174.579563/(10^6)</f>
        <v>-288.13717457956301</v>
      </c>
      <c r="G89" s="60">
        <f>-142597609.351801/(10^6)</f>
        <v>-142.597609351801</v>
      </c>
      <c r="H89" s="60">
        <f>-47522676.2203755/(10^6)</f>
        <v>-47.522676220375502</v>
      </c>
      <c r="I89" s="60">
        <f>-19662977.0277008/(10^6)</f>
        <v>-19.662977027700801</v>
      </c>
      <c r="J89" s="60">
        <f>6216025.4241305/(10^6)</f>
        <v>6.2160254241305006</v>
      </c>
      <c r="K89" s="60">
        <f>134034367.392736/(10^6)</f>
        <v>134.03436739273602</v>
      </c>
      <c r="L89" s="60">
        <f>11106305.1246537/(10^6)</f>
        <v>11.106305124653701</v>
      </c>
      <c r="M89" s="60">
        <f>-17603126.728224/(10^6)</f>
        <v>-17.603126728224002</v>
      </c>
      <c r="N89" s="60">
        <f>-25142589.0680209/(10^6)</f>
        <v>-25.1425890680209</v>
      </c>
      <c r="O89" s="60">
        <f>38447649.3225608/(10^6)</f>
        <v>38.4476493225608</v>
      </c>
      <c r="P89" s="60">
        <f>24664233.3681133/(10^6)</f>
        <v>24.664233368113301</v>
      </c>
      <c r="Q89" s="60">
        <f>-93772389.6565097/(10^6)</f>
        <v>-93.772389656509702</v>
      </c>
    </row>
    <row r="90" spans="2:28" hidden="1" x14ac:dyDescent="0.35">
      <c r="B90" s="6" t="s">
        <v>471</v>
      </c>
      <c r="F90" s="2">
        <f>VTB_CaMau!L7</f>
        <v>660</v>
      </c>
      <c r="I90" s="2">
        <f>F90</f>
        <v>660</v>
      </c>
      <c r="L90" s="2">
        <f>F90</f>
        <v>660</v>
      </c>
      <c r="O90" s="2">
        <f>F90</f>
        <v>660</v>
      </c>
      <c r="Z90" s="202">
        <f>'Site list'!G5</f>
        <v>10000</v>
      </c>
    </row>
    <row r="91" spans="2:28" hidden="1" x14ac:dyDescent="0.35">
      <c r="B91" s="6" t="s">
        <v>472</v>
      </c>
      <c r="F91" s="337">
        <f>F42+F53-F90</f>
        <v>-762.54423899999995</v>
      </c>
      <c r="G91" s="337">
        <f t="shared" ref="G91:Q91" si="28">G42+G53-G90</f>
        <v>43.670086000000026</v>
      </c>
      <c r="H91" s="337">
        <f t="shared" si="28"/>
        <v>139.30864200000002</v>
      </c>
      <c r="I91" s="337">
        <f t="shared" si="28"/>
        <v>-492.60938499999997</v>
      </c>
      <c r="J91" s="337">
        <f t="shared" si="28"/>
        <v>193.21404900000002</v>
      </c>
      <c r="K91" s="337">
        <f t="shared" si="28"/>
        <v>321.98499299999997</v>
      </c>
      <c r="L91" s="337">
        <f t="shared" si="28"/>
        <v>-461.91154800000004</v>
      </c>
      <c r="M91" s="337">
        <f t="shared" si="28"/>
        <v>169.46634199999994</v>
      </c>
      <c r="N91" s="337">
        <f t="shared" si="28"/>
        <v>161.61728399999998</v>
      </c>
      <c r="O91" s="337">
        <f t="shared" si="28"/>
        <v>-434.50669700000009</v>
      </c>
      <c r="P91" s="337">
        <f t="shared" si="28"/>
        <v>211.84483899999995</v>
      </c>
      <c r="Q91" s="337">
        <f t="shared" si="28"/>
        <v>92.590384999999955</v>
      </c>
      <c r="R91" s="85">
        <f>SUMIFS($F91:$Q91,$F$7:$Q$7,"A")</f>
        <v>-817.87524900000028</v>
      </c>
      <c r="S91" s="85">
        <f>SUMIFS($F91:$Q91,$F$7:$Q$7,"B")</f>
        <v>0</v>
      </c>
      <c r="T91" s="85">
        <f>SUM(R91:S91)</f>
        <v>-817.87524900000028</v>
      </c>
      <c r="U91" s="85"/>
      <c r="V91" s="85"/>
      <c r="Z91" s="201">
        <f>1-'Site list'!H5</f>
        <v>0.44999999999999996</v>
      </c>
      <c r="AB91" s="200">
        <f>Z90*Z91</f>
        <v>4500</v>
      </c>
    </row>
    <row r="92" spans="2:28" hidden="1" x14ac:dyDescent="0.35"/>
    <row r="93" spans="2:28" x14ac:dyDescent="0.35">
      <c r="B93" s="6" t="s">
        <v>301</v>
      </c>
    </row>
    <row r="94" spans="2:28" x14ac:dyDescent="0.35">
      <c r="E94" s="2" t="s">
        <v>6</v>
      </c>
      <c r="F94" s="84">
        <v>97</v>
      </c>
      <c r="G94" s="84">
        <v>182</v>
      </c>
      <c r="H94" s="84">
        <v>218</v>
      </c>
      <c r="I94" s="84">
        <v>266</v>
      </c>
      <c r="J94" s="84">
        <v>255</v>
      </c>
      <c r="K94" s="84">
        <v>321</v>
      </c>
      <c r="L94" s="84">
        <v>248</v>
      </c>
      <c r="M94" s="84">
        <v>250</v>
      </c>
      <c r="N94" s="84">
        <v>232</v>
      </c>
      <c r="O94" s="84">
        <v>273</v>
      </c>
      <c r="P94" s="84">
        <v>255</v>
      </c>
      <c r="Q94" s="2">
        <v>189</v>
      </c>
      <c r="R94" s="57">
        <f t="shared" ref="R94:R95" si="29">SUMIFS($F94:$Q94,$F$7:$Q$7,"A")</f>
        <v>2786</v>
      </c>
      <c r="S94" s="57">
        <f t="shared" ref="S94:S95" si="30">SUMIFS($F94:$Q94,$F$7:$Q$7,"B")</f>
        <v>0</v>
      </c>
      <c r="T94" s="57">
        <f t="shared" ref="T94:T95" si="31">SUM(R94:S94)</f>
        <v>2786</v>
      </c>
      <c r="U94" s="84"/>
      <c r="V94" s="84"/>
      <c r="AB94" s="84">
        <f>AB102*T98</f>
        <v>3440</v>
      </c>
    </row>
    <row r="95" spans="2:28" x14ac:dyDescent="0.35">
      <c r="E95" s="2" t="s">
        <v>7</v>
      </c>
      <c r="F95" s="84">
        <v>16</v>
      </c>
      <c r="G95" s="84">
        <v>16</v>
      </c>
      <c r="H95" s="84">
        <v>51</v>
      </c>
      <c r="I95" s="84">
        <v>31</v>
      </c>
      <c r="J95" s="84">
        <v>35</v>
      </c>
      <c r="K95" s="84">
        <v>89</v>
      </c>
      <c r="L95" s="84">
        <v>40</v>
      </c>
      <c r="M95" s="84">
        <v>49</v>
      </c>
      <c r="N95" s="84">
        <v>28</v>
      </c>
      <c r="O95" s="84">
        <v>23</v>
      </c>
      <c r="P95" s="84">
        <v>58</v>
      </c>
      <c r="Q95" s="2">
        <v>27</v>
      </c>
      <c r="R95" s="57">
        <f t="shared" si="29"/>
        <v>463</v>
      </c>
      <c r="S95" s="57">
        <f t="shared" si="30"/>
        <v>0</v>
      </c>
      <c r="T95" s="57">
        <f t="shared" si="31"/>
        <v>463</v>
      </c>
      <c r="U95" s="84"/>
      <c r="V95" s="84"/>
      <c r="AB95" s="84">
        <f>AB103*T99</f>
        <v>783.99999999999989</v>
      </c>
    </row>
    <row r="96" spans="2:28" x14ac:dyDescent="0.35">
      <c r="F96" s="84">
        <f>SUM(F94:F95)</f>
        <v>113</v>
      </c>
      <c r="G96" s="84">
        <f t="shared" ref="G96:Q96" si="32">SUM(G94:G95)</f>
        <v>198</v>
      </c>
      <c r="H96" s="84">
        <f t="shared" si="32"/>
        <v>269</v>
      </c>
      <c r="I96" s="84">
        <f t="shared" si="32"/>
        <v>297</v>
      </c>
      <c r="J96" s="84">
        <f t="shared" si="32"/>
        <v>290</v>
      </c>
      <c r="K96" s="84">
        <f t="shared" si="32"/>
        <v>410</v>
      </c>
      <c r="L96" s="84">
        <f t="shared" si="32"/>
        <v>288</v>
      </c>
      <c r="M96" s="84">
        <f t="shared" si="32"/>
        <v>299</v>
      </c>
      <c r="N96" s="84">
        <f t="shared" si="32"/>
        <v>260</v>
      </c>
      <c r="O96" s="84">
        <f t="shared" si="32"/>
        <v>296</v>
      </c>
      <c r="P96" s="84">
        <f t="shared" si="32"/>
        <v>313</v>
      </c>
      <c r="Q96" s="84">
        <f t="shared" si="32"/>
        <v>216</v>
      </c>
    </row>
    <row r="97" spans="2:28" x14ac:dyDescent="0.35">
      <c r="B97" s="6" t="s">
        <v>438</v>
      </c>
    </row>
    <row r="98" spans="2:28" x14ac:dyDescent="0.35">
      <c r="E98" s="2" t="s">
        <v>6</v>
      </c>
      <c r="F98" s="2">
        <f>30*9*60/20</f>
        <v>810</v>
      </c>
      <c r="G98" s="2">
        <f t="shared" ref="G98:Q98" si="33">30*9*60/20</f>
        <v>810</v>
      </c>
      <c r="H98" s="2">
        <f t="shared" si="33"/>
        <v>810</v>
      </c>
      <c r="I98" s="2">
        <f t="shared" si="33"/>
        <v>810</v>
      </c>
      <c r="J98" s="2">
        <f t="shared" si="33"/>
        <v>810</v>
      </c>
      <c r="K98" s="2">
        <f t="shared" si="33"/>
        <v>810</v>
      </c>
      <c r="L98" s="2">
        <f t="shared" si="33"/>
        <v>810</v>
      </c>
      <c r="M98" s="2">
        <f t="shared" si="33"/>
        <v>810</v>
      </c>
      <c r="N98" s="2">
        <f t="shared" si="33"/>
        <v>810</v>
      </c>
      <c r="O98" s="2">
        <f t="shared" si="33"/>
        <v>810</v>
      </c>
      <c r="P98" s="2">
        <f t="shared" si="33"/>
        <v>810</v>
      </c>
      <c r="Q98" s="2">
        <f t="shared" si="33"/>
        <v>810</v>
      </c>
      <c r="R98" s="57">
        <f t="shared" ref="R98:R99" si="34">SUMIFS($F98:$Q98,$F$7:$Q$7,"A")</f>
        <v>9720</v>
      </c>
      <c r="S98" s="57">
        <f t="shared" ref="S98:S99" si="35">SUMIFS($F98:$Q98,$F$7:$Q$7,"B")</f>
        <v>0</v>
      </c>
      <c r="T98" s="57">
        <f t="shared" ref="T98:T99" si="36">SUM(R98:S98)</f>
        <v>9720</v>
      </c>
      <c r="U98" s="84"/>
      <c r="V98" s="84"/>
    </row>
    <row r="99" spans="2:28" x14ac:dyDescent="0.35">
      <c r="E99" s="2" t="s">
        <v>7</v>
      </c>
      <c r="F99" s="2">
        <f>30*9*60/15</f>
        <v>1080</v>
      </c>
      <c r="G99" s="2">
        <f t="shared" ref="G99:Q99" si="37">30*9*60/15</f>
        <v>1080</v>
      </c>
      <c r="H99" s="2">
        <f t="shared" si="37"/>
        <v>1080</v>
      </c>
      <c r="I99" s="2">
        <f t="shared" si="37"/>
        <v>1080</v>
      </c>
      <c r="J99" s="2">
        <f t="shared" si="37"/>
        <v>1080</v>
      </c>
      <c r="K99" s="2">
        <f t="shared" si="37"/>
        <v>1080</v>
      </c>
      <c r="L99" s="2">
        <f t="shared" si="37"/>
        <v>1080</v>
      </c>
      <c r="M99" s="2">
        <f t="shared" si="37"/>
        <v>1080</v>
      </c>
      <c r="N99" s="2">
        <f t="shared" si="37"/>
        <v>1080</v>
      </c>
      <c r="O99" s="2">
        <f t="shared" si="37"/>
        <v>1080</v>
      </c>
      <c r="P99" s="2">
        <f t="shared" si="37"/>
        <v>1080</v>
      </c>
      <c r="Q99" s="2">
        <f t="shared" si="37"/>
        <v>1080</v>
      </c>
      <c r="R99" s="57">
        <f t="shared" si="34"/>
        <v>12960</v>
      </c>
      <c r="S99" s="57">
        <f t="shared" si="35"/>
        <v>0</v>
      </c>
      <c r="T99" s="57">
        <f t="shared" si="36"/>
        <v>12960</v>
      </c>
      <c r="U99" s="84"/>
      <c r="V99" s="84"/>
    </row>
    <row r="101" spans="2:28" x14ac:dyDescent="0.35">
      <c r="B101" s="6" t="s">
        <v>442</v>
      </c>
    </row>
    <row r="102" spans="2:28" x14ac:dyDescent="0.35">
      <c r="E102" s="2" t="s">
        <v>6</v>
      </c>
      <c r="F102" s="201">
        <f>F94/F98</f>
        <v>0.11975308641975309</v>
      </c>
      <c r="G102" s="201">
        <f t="shared" ref="G102:Q102" si="38">G94/G98</f>
        <v>0.22469135802469137</v>
      </c>
      <c r="H102" s="201">
        <f t="shared" si="38"/>
        <v>0.26913580246913582</v>
      </c>
      <c r="I102" s="201">
        <f t="shared" si="38"/>
        <v>0.32839506172839505</v>
      </c>
      <c r="J102" s="201">
        <f t="shared" si="38"/>
        <v>0.31481481481481483</v>
      </c>
      <c r="K102" s="201">
        <f t="shared" si="38"/>
        <v>0.39629629629629631</v>
      </c>
      <c r="L102" s="201">
        <f t="shared" si="38"/>
        <v>0.30617283950617286</v>
      </c>
      <c r="M102" s="201">
        <f t="shared" si="38"/>
        <v>0.30864197530864196</v>
      </c>
      <c r="N102" s="201">
        <f t="shared" si="38"/>
        <v>0.28641975308641976</v>
      </c>
      <c r="O102" s="201">
        <f t="shared" si="38"/>
        <v>0.33703703703703702</v>
      </c>
      <c r="P102" s="201">
        <f t="shared" si="38"/>
        <v>0.31481481481481483</v>
      </c>
      <c r="Q102" s="201">
        <f t="shared" si="38"/>
        <v>0.23333333333333334</v>
      </c>
      <c r="R102" s="201">
        <f t="shared" ref="R102" si="39">R94/R98</f>
        <v>0.2866255144032922</v>
      </c>
      <c r="S102" s="201"/>
      <c r="T102" s="201">
        <f>T94/T98</f>
        <v>0.2866255144032922</v>
      </c>
      <c r="U102" s="201"/>
      <c r="V102" s="201"/>
      <c r="AB102" s="97">
        <f>AVERAGE(I102,K102,O102)</f>
        <v>0.35390946502057613</v>
      </c>
    </row>
    <row r="103" spans="2:28" x14ac:dyDescent="0.35">
      <c r="E103" s="2" t="s">
        <v>7</v>
      </c>
      <c r="F103" s="201">
        <f>F95/F99</f>
        <v>1.4814814814814815E-2</v>
      </c>
      <c r="G103" s="201">
        <f t="shared" ref="G103:Q103" si="40">G95/G99</f>
        <v>1.4814814814814815E-2</v>
      </c>
      <c r="H103" s="201">
        <f t="shared" si="40"/>
        <v>4.7222222222222221E-2</v>
      </c>
      <c r="I103" s="201">
        <f t="shared" si="40"/>
        <v>2.8703703703703703E-2</v>
      </c>
      <c r="J103" s="201">
        <f t="shared" si="40"/>
        <v>3.2407407407407406E-2</v>
      </c>
      <c r="K103" s="201">
        <f t="shared" si="40"/>
        <v>8.2407407407407401E-2</v>
      </c>
      <c r="L103" s="201">
        <f t="shared" si="40"/>
        <v>3.7037037037037035E-2</v>
      </c>
      <c r="M103" s="201">
        <f t="shared" si="40"/>
        <v>4.5370370370370373E-2</v>
      </c>
      <c r="N103" s="201">
        <f t="shared" si="40"/>
        <v>2.5925925925925925E-2</v>
      </c>
      <c r="O103" s="201">
        <f t="shared" si="40"/>
        <v>2.1296296296296296E-2</v>
      </c>
      <c r="P103" s="201">
        <f t="shared" si="40"/>
        <v>5.3703703703703705E-2</v>
      </c>
      <c r="Q103" s="201">
        <f t="shared" si="40"/>
        <v>2.5000000000000001E-2</v>
      </c>
      <c r="R103" s="201">
        <f t="shared" ref="R103" si="41">R95/R99</f>
        <v>3.572530864197531E-2</v>
      </c>
      <c r="S103" s="201"/>
      <c r="T103" s="201">
        <f>T95/T99</f>
        <v>3.572530864197531E-2</v>
      </c>
      <c r="U103" s="201"/>
      <c r="V103" s="201"/>
      <c r="AB103" s="97">
        <f>AVERAGE(K103,M103,P103)</f>
        <v>6.049382716049382E-2</v>
      </c>
    </row>
    <row r="104" spans="2:28" x14ac:dyDescent="0.35">
      <c r="B104" s="6" t="s">
        <v>444</v>
      </c>
    </row>
    <row r="105" spans="2:28" x14ac:dyDescent="0.35">
      <c r="E105" s="2" t="s">
        <v>6</v>
      </c>
      <c r="F105" s="62">
        <f t="shared" ref="F105:Q105" si="42">F12*10^6/F94</f>
        <v>1913195.8762886599</v>
      </c>
      <c r="G105" s="62">
        <f t="shared" si="42"/>
        <v>1864285.7142857143</v>
      </c>
      <c r="H105" s="62">
        <f t="shared" si="42"/>
        <v>1870183.486238532</v>
      </c>
      <c r="I105" s="62">
        <f t="shared" si="42"/>
        <v>1881203.0075187969</v>
      </c>
      <c r="J105" s="62">
        <f t="shared" si="42"/>
        <v>1870588.2352941176</v>
      </c>
      <c r="K105" s="62">
        <f t="shared" si="42"/>
        <v>1846822.4299065419</v>
      </c>
      <c r="L105" s="62">
        <f t="shared" si="42"/>
        <v>1845362.9032258065</v>
      </c>
      <c r="M105" s="62">
        <f t="shared" si="42"/>
        <v>1854000</v>
      </c>
      <c r="N105" s="62">
        <f t="shared" si="42"/>
        <v>1881594.8275862068</v>
      </c>
      <c r="O105" s="62">
        <f t="shared" si="42"/>
        <v>1855604.3956043955</v>
      </c>
      <c r="P105" s="62">
        <f t="shared" si="42"/>
        <v>1857647.0588235294</v>
      </c>
      <c r="Q105" s="62">
        <f t="shared" si="42"/>
        <v>1871164.0211640212</v>
      </c>
      <c r="T105" s="62">
        <f>T12*10^6/T94</f>
        <v>1864472.3618090448</v>
      </c>
      <c r="U105" s="62"/>
      <c r="V105" s="62"/>
    </row>
    <row r="106" spans="2:28" x14ac:dyDescent="0.35">
      <c r="E106" s="2" t="s">
        <v>7</v>
      </c>
      <c r="F106" s="62">
        <f t="shared" ref="F106:Q106" si="43">F13*10^6/F95</f>
        <v>500000</v>
      </c>
      <c r="G106" s="62">
        <f t="shared" si="43"/>
        <v>500000</v>
      </c>
      <c r="H106" s="62">
        <f t="shared" si="43"/>
        <v>500000</v>
      </c>
      <c r="I106" s="62">
        <f t="shared" si="43"/>
        <v>500000</v>
      </c>
      <c r="J106" s="62">
        <f t="shared" si="43"/>
        <v>480000</v>
      </c>
      <c r="K106" s="62">
        <f t="shared" si="43"/>
        <v>441573.03370786516</v>
      </c>
      <c r="L106" s="62">
        <f t="shared" si="43"/>
        <v>485000</v>
      </c>
      <c r="M106" s="62">
        <f t="shared" si="43"/>
        <v>500000</v>
      </c>
      <c r="N106" s="62">
        <f t="shared" si="43"/>
        <v>500000</v>
      </c>
      <c r="O106" s="62">
        <f t="shared" si="43"/>
        <v>500000</v>
      </c>
      <c r="P106" s="62">
        <f t="shared" si="43"/>
        <v>451724.13793103449</v>
      </c>
      <c r="Q106" s="62">
        <f t="shared" si="43"/>
        <v>496296.29629629629</v>
      </c>
      <c r="T106" s="62">
        <f>T13*10^6/T95</f>
        <v>479697.62419006479</v>
      </c>
      <c r="U106" s="62"/>
      <c r="V106" s="62"/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0A9B2-A729-4758-940E-C6EA07B58AD4}">
  <dimension ref="B2:AF119"/>
  <sheetViews>
    <sheetView zoomScaleNormal="100" workbookViewId="0">
      <pane xSplit="5" ySplit="9" topLeftCell="F13" activePane="bottomRight" state="frozen"/>
      <selection activeCell="H24" sqref="H24"/>
      <selection pane="topRight" activeCell="H24" sqref="H24"/>
      <selection pane="bottomLeft" activeCell="H24" sqref="H24"/>
      <selection pane="bottomRight" activeCell="R96" sqref="R96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45.1328125" style="2" customWidth="1"/>
    <col min="6" max="6" width="10.73046875" style="2" customWidth="1" outlineLevel="1"/>
    <col min="7" max="16" width="10" style="2" customWidth="1" outlineLevel="1"/>
    <col min="17" max="17" width="10.265625" style="2" bestFit="1" customWidth="1"/>
    <col min="18" max="18" width="12.1328125" style="2" customWidth="1"/>
    <col min="19" max="19" width="10.59765625" style="2" customWidth="1"/>
    <col min="20" max="20" width="8.265625" style="2" customWidth="1"/>
    <col min="21" max="22" width="9" style="2" customWidth="1"/>
    <col min="23" max="26" width="11.3984375" style="2" customWidth="1"/>
    <col min="27" max="27" width="12.86328125" style="2" customWidth="1"/>
    <col min="28" max="28" width="13.1328125" style="2" customWidth="1"/>
    <col min="29" max="29" width="13.265625" style="2" bestFit="1" customWidth="1"/>
    <col min="30" max="16384" width="9.1328125" style="2"/>
  </cols>
  <sheetData>
    <row r="2" spans="2:29" x14ac:dyDescent="0.35">
      <c r="G2" s="2">
        <f>10^6</f>
        <v>1000000</v>
      </c>
    </row>
    <row r="3" spans="2:29" x14ac:dyDescent="0.35">
      <c r="H3" s="60"/>
    </row>
    <row r="4" spans="2:29" x14ac:dyDescent="0.35">
      <c r="B4" s="2" t="s">
        <v>25</v>
      </c>
    </row>
    <row r="6" spans="2:29" x14ac:dyDescent="0.35">
      <c r="B6" s="27" t="s">
        <v>282</v>
      </c>
    </row>
    <row r="7" spans="2:29" s="6" customFormat="1" x14ac:dyDescent="0.35">
      <c r="B7" s="6" t="s">
        <v>210</v>
      </c>
      <c r="F7" s="74" t="s">
        <v>141</v>
      </c>
      <c r="G7" s="74" t="s">
        <v>141</v>
      </c>
      <c r="H7" s="74" t="s">
        <v>141</v>
      </c>
      <c r="I7" s="74" t="s">
        <v>141</v>
      </c>
      <c r="J7" s="74" t="s">
        <v>141</v>
      </c>
      <c r="K7" s="74" t="s">
        <v>141</v>
      </c>
      <c r="L7" s="74" t="s">
        <v>141</v>
      </c>
      <c r="M7" s="74" t="s">
        <v>141</v>
      </c>
      <c r="N7" s="74" t="s">
        <v>141</v>
      </c>
      <c r="O7" s="74" t="s">
        <v>141</v>
      </c>
      <c r="P7" s="74" t="s">
        <v>141</v>
      </c>
      <c r="Q7" s="74" t="s">
        <v>141</v>
      </c>
    </row>
    <row r="8" spans="2:29" x14ac:dyDescent="0.35">
      <c r="B8" s="32" t="s">
        <v>55</v>
      </c>
      <c r="F8" s="32" t="s">
        <v>52</v>
      </c>
      <c r="R8" s="381" t="s">
        <v>622</v>
      </c>
      <c r="S8" s="380"/>
      <c r="T8" s="380"/>
      <c r="U8" s="381" t="s">
        <v>487</v>
      </c>
      <c r="V8" s="380"/>
      <c r="W8" s="380"/>
      <c r="X8" s="381" t="s">
        <v>505</v>
      </c>
      <c r="Y8" s="380"/>
    </row>
    <row r="9" spans="2:29" ht="13.5" x14ac:dyDescent="0.35">
      <c r="B9" s="45" t="s">
        <v>101</v>
      </c>
      <c r="F9" s="61">
        <v>1</v>
      </c>
      <c r="G9" s="61">
        <v>2</v>
      </c>
      <c r="H9" s="61">
        <v>3</v>
      </c>
      <c r="I9" s="61">
        <v>4</v>
      </c>
      <c r="J9" s="61">
        <v>5</v>
      </c>
      <c r="K9" s="61">
        <v>6</v>
      </c>
      <c r="L9" s="61">
        <v>7</v>
      </c>
      <c r="M9" s="61">
        <v>8</v>
      </c>
      <c r="N9" s="61">
        <v>9</v>
      </c>
      <c r="O9" s="61">
        <v>10</v>
      </c>
      <c r="P9" s="61">
        <v>11</v>
      </c>
      <c r="Q9" s="61">
        <v>12</v>
      </c>
      <c r="R9" s="32" t="s">
        <v>4</v>
      </c>
      <c r="S9" s="32" t="s">
        <v>5</v>
      </c>
      <c r="T9" s="32" t="s">
        <v>3</v>
      </c>
      <c r="U9" s="114" t="s">
        <v>484</v>
      </c>
      <c r="V9" s="113" t="s">
        <v>485</v>
      </c>
      <c r="W9" s="113" t="s">
        <v>486</v>
      </c>
      <c r="X9" s="113" t="s">
        <v>498</v>
      </c>
      <c r="Y9" s="113" t="s">
        <v>499</v>
      </c>
      <c r="Z9" s="32"/>
      <c r="AA9" s="32" t="s">
        <v>196</v>
      </c>
      <c r="AB9" s="6" t="s">
        <v>197</v>
      </c>
      <c r="AC9" s="73" t="s">
        <v>198</v>
      </c>
    </row>
    <row r="10" spans="2:29" x14ac:dyDescent="0.35">
      <c r="B10" s="27" t="s">
        <v>11</v>
      </c>
      <c r="D10" s="6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</row>
    <row r="11" spans="2:29" x14ac:dyDescent="0.35">
      <c r="D11" s="6" t="s">
        <v>12</v>
      </c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</row>
    <row r="12" spans="2:29" outlineLevel="1" x14ac:dyDescent="0.35">
      <c r="E12" s="2" t="s">
        <v>6</v>
      </c>
      <c r="F12" s="62">
        <f>177800000/(-10^6)</f>
        <v>177.8</v>
      </c>
      <c r="G12" s="62">
        <f>333200000/(-10^6)</f>
        <v>333.2</v>
      </c>
      <c r="H12" s="62">
        <f>304672000/(-10^6)</f>
        <v>304.67200000000003</v>
      </c>
      <c r="I12" s="62">
        <f>403271600/(-10^6)</f>
        <v>403.27159999999998</v>
      </c>
      <c r="J12" s="62">
        <f>537330100/(-10^6)</f>
        <v>537.33010000000002</v>
      </c>
      <c r="K12" s="62">
        <f>256166800/(-10^6)</f>
        <v>256.16680000000002</v>
      </c>
      <c r="L12" s="62">
        <f>296200000/(-10^6)</f>
        <v>296.2</v>
      </c>
      <c r="M12" s="62">
        <f>376500000/(-10^6)</f>
        <v>376.5</v>
      </c>
      <c r="N12" s="62">
        <f>304624300/(-10^6)</f>
        <v>304.62430000000001</v>
      </c>
      <c r="O12" s="62">
        <f>185900000/(-10^6)</f>
        <v>185.9</v>
      </c>
      <c r="P12" s="62">
        <f>174200000/(-10^6)</f>
        <v>174.2</v>
      </c>
      <c r="Q12" s="238">
        <v>155.5</v>
      </c>
      <c r="R12" s="62">
        <f>SUMIFS($F12:$Q12,$F$7:$Q$7,"A")</f>
        <v>3505.3647999999998</v>
      </c>
      <c r="S12" s="62">
        <f>SUMIFS($F12:$Q12,$F$7:$Q$7,"B")</f>
        <v>0</v>
      </c>
      <c r="T12" s="57">
        <f>SUM(R12:S12)</f>
        <v>3505.3647999999998</v>
      </c>
      <c r="U12" s="96">
        <f>IFERROR(R12/R$17,"")</f>
        <v>0.32123677859893113</v>
      </c>
      <c r="V12" s="96" t="str">
        <f>IFERROR(S12/S$17,"")</f>
        <v/>
      </c>
      <c r="W12" s="96">
        <f t="shared" ref="W12:W17" si="0">T12/$T$17</f>
        <v>0.32123677859893113</v>
      </c>
      <c r="X12" s="96"/>
      <c r="Y12" s="96"/>
      <c r="Z12" s="96"/>
      <c r="AA12" s="97">
        <v>0.1</v>
      </c>
      <c r="AB12" s="2" t="s">
        <v>200</v>
      </c>
      <c r="AC12" s="57">
        <f>AC94*AC102/10^6</f>
        <v>9360</v>
      </c>
    </row>
    <row r="13" spans="2:29" outlineLevel="1" x14ac:dyDescent="0.35">
      <c r="E13" s="2" t="s">
        <v>7</v>
      </c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57">
        <f>P13</f>
        <v>0</v>
      </c>
      <c r="R13" s="62">
        <f>SUMIFS($F13:$Q13,$F$7:$Q$7,"A")</f>
        <v>0</v>
      </c>
      <c r="S13" s="62">
        <f>SUMIFS($F13:$Q13,$F$7:$Q$7,"B")</f>
        <v>0</v>
      </c>
      <c r="T13" s="57">
        <f t="shared" ref="T13:T76" si="1">SUM(R13:S13)</f>
        <v>0</v>
      </c>
      <c r="U13" s="96">
        <f t="shared" ref="U13:V20" si="2">IFERROR(R13/R$17,"")</f>
        <v>0</v>
      </c>
      <c r="V13" s="96" t="str">
        <f t="shared" si="2"/>
        <v/>
      </c>
      <c r="W13" s="96">
        <f t="shared" si="0"/>
        <v>0</v>
      </c>
      <c r="X13" s="96"/>
      <c r="Y13" s="96"/>
      <c r="Z13" s="96"/>
      <c r="AA13" s="97">
        <v>0.1</v>
      </c>
      <c r="AB13" s="2" t="s">
        <v>200</v>
      </c>
      <c r="AC13" s="57">
        <f>T13*(1+AA13)</f>
        <v>0</v>
      </c>
    </row>
    <row r="14" spans="2:29" outlineLevel="1" x14ac:dyDescent="0.35">
      <c r="E14" s="2" t="s">
        <v>8</v>
      </c>
      <c r="F14" s="62">
        <f>54600000/(-10^6)</f>
        <v>54.6</v>
      </c>
      <c r="G14" s="62">
        <f>690000000/(-10^6)</f>
        <v>690</v>
      </c>
      <c r="H14" s="62">
        <f>1059200000/(-10^6)</f>
        <v>1059.2</v>
      </c>
      <c r="I14" s="62">
        <f>810238800/(-10^6)</f>
        <v>810.23879999999997</v>
      </c>
      <c r="J14" s="62">
        <f>1010743600/(-10^6)</f>
        <v>1010.7436</v>
      </c>
      <c r="K14" s="62">
        <f>1263131000/(-10^6)</f>
        <v>1263.1310000000001</v>
      </c>
      <c r="L14" s="62">
        <f>862961000/(-10^6)</f>
        <v>862.96100000000001</v>
      </c>
      <c r="M14" s="62">
        <f>342006000/(-10^6)</f>
        <v>342.00599999999997</v>
      </c>
      <c r="N14" s="62">
        <f>1206845300/(-10^6)</f>
        <v>1206.8453</v>
      </c>
      <c r="O14" s="62">
        <f>33600000/(-10^6)</f>
        <v>33.6</v>
      </c>
      <c r="P14" s="62">
        <f>35000000/(-10^6)</f>
        <v>35</v>
      </c>
      <c r="Q14" s="238">
        <v>38.4</v>
      </c>
      <c r="R14" s="62">
        <f>SUMIFS($F14:$Q14,$F$7:$Q$7,"A")</f>
        <v>7406.7257000000009</v>
      </c>
      <c r="S14" s="62">
        <f>SUMIFS($F14:$Q14,$F$7:$Q$7,"B")</f>
        <v>0</v>
      </c>
      <c r="T14" s="57">
        <f t="shared" si="1"/>
        <v>7406.7257000000009</v>
      </c>
      <c r="U14" s="96">
        <f t="shared" si="2"/>
        <v>0.67876322140106893</v>
      </c>
      <c r="V14" s="96" t="str">
        <f t="shared" si="2"/>
        <v/>
      </c>
      <c r="W14" s="96">
        <f t="shared" si="0"/>
        <v>0.67876322140106893</v>
      </c>
      <c r="X14" s="96"/>
      <c r="Y14" s="96"/>
      <c r="Z14" s="96"/>
      <c r="AA14" s="97">
        <v>0.1</v>
      </c>
      <c r="AB14" s="2" t="s">
        <v>200</v>
      </c>
      <c r="AC14" s="57">
        <f>AC96*AC104/10^6</f>
        <v>2005.7142857142858</v>
      </c>
    </row>
    <row r="15" spans="2:29" outlineLevel="1" x14ac:dyDescent="0.35">
      <c r="E15" s="2" t="s">
        <v>9</v>
      </c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57">
        <f>P15</f>
        <v>0</v>
      </c>
      <c r="R15" s="62">
        <f>SUMIFS($F15:$Q15,$F$7:$Q$7,"A")</f>
        <v>0</v>
      </c>
      <c r="S15" s="62">
        <f>SUMIFS($F15:$Q15,$F$7:$Q$7,"B")</f>
        <v>0</v>
      </c>
      <c r="T15" s="57">
        <f t="shared" si="1"/>
        <v>0</v>
      </c>
      <c r="U15" s="96">
        <f t="shared" si="2"/>
        <v>0</v>
      </c>
      <c r="V15" s="96" t="str">
        <f t="shared" si="2"/>
        <v/>
      </c>
      <c r="W15" s="96">
        <f t="shared" si="0"/>
        <v>0</v>
      </c>
      <c r="X15" s="96"/>
      <c r="Y15" s="96"/>
      <c r="Z15" s="96"/>
      <c r="AA15" s="97">
        <v>0.1</v>
      </c>
      <c r="AB15" s="2" t="s">
        <v>200</v>
      </c>
      <c r="AC15" s="57">
        <f>T15*(1+AA15)</f>
        <v>0</v>
      </c>
    </row>
    <row r="16" spans="2:29" outlineLevel="1" x14ac:dyDescent="0.35">
      <c r="E16" s="2" t="s">
        <v>10</v>
      </c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57">
        <f>P16</f>
        <v>0</v>
      </c>
      <c r="R16" s="62">
        <f>SUMIFS($F16:$Q16,$F$7:$Q$7,"A")</f>
        <v>0</v>
      </c>
      <c r="S16" s="62">
        <f>SUMIFS($F16:$Q16,$F$7:$Q$7,"B")</f>
        <v>0</v>
      </c>
      <c r="T16" s="57">
        <f t="shared" si="1"/>
        <v>0</v>
      </c>
      <c r="U16" s="96">
        <f t="shared" si="2"/>
        <v>0</v>
      </c>
      <c r="V16" s="96" t="str">
        <f t="shared" si="2"/>
        <v/>
      </c>
      <c r="W16" s="96">
        <f t="shared" si="0"/>
        <v>0</v>
      </c>
      <c r="X16" s="96"/>
      <c r="Y16" s="96"/>
      <c r="Z16" s="96"/>
      <c r="AA16" s="97">
        <v>0.1</v>
      </c>
      <c r="AB16" s="2" t="s">
        <v>200</v>
      </c>
      <c r="AC16" s="57">
        <f>T16*(1+AA16)</f>
        <v>0</v>
      </c>
    </row>
    <row r="17" spans="2:29" x14ac:dyDescent="0.35">
      <c r="D17" s="65" t="s">
        <v>13</v>
      </c>
      <c r="E17" s="66"/>
      <c r="F17" s="112">
        <f>SUM(F12:F16)</f>
        <v>232.4</v>
      </c>
      <c r="G17" s="112">
        <f t="shared" ref="G17:P17" si="3">SUM(G12:G16)</f>
        <v>1023.2</v>
      </c>
      <c r="H17" s="112">
        <f t="shared" si="3"/>
        <v>1363.8720000000001</v>
      </c>
      <c r="I17" s="112">
        <f t="shared" si="3"/>
        <v>1213.5103999999999</v>
      </c>
      <c r="J17" s="112">
        <f t="shared" si="3"/>
        <v>1548.0736999999999</v>
      </c>
      <c r="K17" s="112">
        <f t="shared" si="3"/>
        <v>1519.2978000000001</v>
      </c>
      <c r="L17" s="112">
        <f t="shared" si="3"/>
        <v>1159.1610000000001</v>
      </c>
      <c r="M17" s="112">
        <f t="shared" si="3"/>
        <v>718.50599999999997</v>
      </c>
      <c r="N17" s="112">
        <f t="shared" si="3"/>
        <v>1511.4695999999999</v>
      </c>
      <c r="O17" s="112">
        <f t="shared" si="3"/>
        <v>219.5</v>
      </c>
      <c r="P17" s="112">
        <f t="shared" si="3"/>
        <v>209.2</v>
      </c>
      <c r="Q17" s="67">
        <f>SUM(Q12:Q16)</f>
        <v>193.9</v>
      </c>
      <c r="R17" s="67">
        <f t="shared" ref="R17:R20" si="4">SUMIFS($F17:$Q17,$F$7:$Q$7,"A")</f>
        <v>10912.0905</v>
      </c>
      <c r="S17" s="67">
        <f t="shared" ref="S17:S19" si="5">SUMIFS($F17:$Q17,$F$7:$Q$7,"B")</f>
        <v>0</v>
      </c>
      <c r="T17" s="72">
        <f t="shared" si="1"/>
        <v>10912.0905</v>
      </c>
      <c r="U17" s="98">
        <f t="shared" si="2"/>
        <v>1</v>
      </c>
      <c r="V17" s="98" t="str">
        <f t="shared" si="2"/>
        <v/>
      </c>
      <c r="W17" s="98">
        <f t="shared" si="0"/>
        <v>1</v>
      </c>
      <c r="X17" s="98"/>
      <c r="Y17" s="98"/>
      <c r="Z17" s="98"/>
      <c r="AA17" s="70"/>
      <c r="AB17" s="70"/>
      <c r="AC17" s="72">
        <f>SUM(AC12:AC16)</f>
        <v>11365.714285714286</v>
      </c>
    </row>
    <row r="18" spans="2:29" ht="13.15" thickBot="1" x14ac:dyDescent="0.4">
      <c r="B18" s="29"/>
      <c r="C18" s="29"/>
      <c r="D18" s="68" t="s">
        <v>19</v>
      </c>
      <c r="E18" s="68"/>
      <c r="F18" s="69">
        <v>0</v>
      </c>
      <c r="G18" s="69">
        <v>0</v>
      </c>
      <c r="H18" s="69">
        <v>0</v>
      </c>
      <c r="I18" s="69">
        <v>0</v>
      </c>
      <c r="J18" s="69">
        <v>0</v>
      </c>
      <c r="K18" s="69">
        <v>0</v>
      </c>
      <c r="L18" s="69">
        <v>0</v>
      </c>
      <c r="M18" s="69">
        <v>0</v>
      </c>
      <c r="N18" s="69">
        <v>0</v>
      </c>
      <c r="O18" s="69">
        <v>0</v>
      </c>
      <c r="P18" s="69">
        <v>0</v>
      </c>
      <c r="Q18" s="69">
        <v>0</v>
      </c>
      <c r="R18" s="69">
        <f t="shared" si="4"/>
        <v>0</v>
      </c>
      <c r="S18" s="69">
        <f t="shared" si="5"/>
        <v>0</v>
      </c>
      <c r="T18" s="69">
        <f t="shared" si="1"/>
        <v>0</v>
      </c>
      <c r="U18" s="99">
        <f t="shared" si="2"/>
        <v>0</v>
      </c>
      <c r="V18" s="99" t="str">
        <f t="shared" si="2"/>
        <v/>
      </c>
      <c r="W18" s="99"/>
      <c r="X18" s="99"/>
      <c r="Y18" s="99"/>
      <c r="Z18" s="99"/>
      <c r="AA18" s="100"/>
      <c r="AB18" s="100"/>
      <c r="AC18" s="106">
        <v>0</v>
      </c>
    </row>
    <row r="19" spans="2:29" x14ac:dyDescent="0.35">
      <c r="B19" s="27" t="s">
        <v>20</v>
      </c>
      <c r="F19" s="71">
        <f t="shared" ref="F19:Q19" si="6">SUM(F17,F18)</f>
        <v>232.4</v>
      </c>
      <c r="G19" s="71">
        <f t="shared" si="6"/>
        <v>1023.2</v>
      </c>
      <c r="H19" s="71">
        <f t="shared" si="6"/>
        <v>1363.8720000000001</v>
      </c>
      <c r="I19" s="71">
        <f t="shared" si="6"/>
        <v>1213.5103999999999</v>
      </c>
      <c r="J19" s="71">
        <f t="shared" si="6"/>
        <v>1548.0736999999999</v>
      </c>
      <c r="K19" s="71">
        <f t="shared" si="6"/>
        <v>1519.2978000000001</v>
      </c>
      <c r="L19" s="71">
        <f t="shared" si="6"/>
        <v>1159.1610000000001</v>
      </c>
      <c r="M19" s="71">
        <f t="shared" si="6"/>
        <v>718.50599999999997</v>
      </c>
      <c r="N19" s="71">
        <f t="shared" si="6"/>
        <v>1511.4695999999999</v>
      </c>
      <c r="O19" s="71">
        <f t="shared" si="6"/>
        <v>219.5</v>
      </c>
      <c r="P19" s="71">
        <f t="shared" si="6"/>
        <v>209.2</v>
      </c>
      <c r="Q19" s="71">
        <f t="shared" si="6"/>
        <v>193.9</v>
      </c>
      <c r="R19" s="71">
        <f t="shared" si="4"/>
        <v>10912.0905</v>
      </c>
      <c r="S19" s="71">
        <f t="shared" si="5"/>
        <v>0</v>
      </c>
      <c r="T19" s="71">
        <f t="shared" si="1"/>
        <v>10912.0905</v>
      </c>
      <c r="U19" s="96">
        <f t="shared" si="2"/>
        <v>1</v>
      </c>
      <c r="V19" s="96" t="str">
        <f t="shared" si="2"/>
        <v/>
      </c>
      <c r="W19" s="96">
        <f>T19/$T$17</f>
        <v>1</v>
      </c>
      <c r="X19" s="96"/>
      <c r="Y19" s="96"/>
      <c r="Z19" s="96"/>
      <c r="AC19" s="71">
        <f>SUM(AC17,AC18)</f>
        <v>11365.714285714286</v>
      </c>
    </row>
    <row r="20" spans="2:29" x14ac:dyDescent="0.35">
      <c r="B20" s="2" t="s">
        <v>21</v>
      </c>
      <c r="F20" s="62">
        <f>SUBTOTAL(9,F21:F24)</f>
        <v>0.1</v>
      </c>
      <c r="G20" s="62">
        <f t="shared" ref="G20:Q20" si="7">SUBTOTAL(9,G21:G24)</f>
        <v>0.78</v>
      </c>
      <c r="H20" s="62">
        <f t="shared" si="7"/>
        <v>2.46</v>
      </c>
      <c r="I20" s="62">
        <f t="shared" si="7"/>
        <v>0.78</v>
      </c>
      <c r="J20" s="62">
        <f t="shared" si="7"/>
        <v>0</v>
      </c>
      <c r="K20" s="62">
        <f t="shared" si="7"/>
        <v>0.56999999999999995</v>
      </c>
      <c r="L20" s="62">
        <f t="shared" si="7"/>
        <v>0</v>
      </c>
      <c r="M20" s="62">
        <f t="shared" si="7"/>
        <v>0</v>
      </c>
      <c r="N20" s="62">
        <f t="shared" si="7"/>
        <v>0</v>
      </c>
      <c r="O20" s="62">
        <f t="shared" si="7"/>
        <v>0</v>
      </c>
      <c r="P20" s="62">
        <f t="shared" si="7"/>
        <v>3.63</v>
      </c>
      <c r="Q20" s="62">
        <f t="shared" si="7"/>
        <v>0</v>
      </c>
      <c r="R20" s="62">
        <f t="shared" si="4"/>
        <v>8.32</v>
      </c>
      <c r="S20" s="62">
        <f>SUMIFS($F20:$Q20,$F$7:$Q$7,"B")</f>
        <v>0</v>
      </c>
      <c r="T20" s="57">
        <f t="shared" si="1"/>
        <v>8.32</v>
      </c>
      <c r="U20" s="201">
        <f t="shared" si="2"/>
        <v>7.6245701957842083E-4</v>
      </c>
      <c r="V20" s="201" t="str">
        <f t="shared" si="2"/>
        <v/>
      </c>
      <c r="AC20" s="62">
        <v>0</v>
      </c>
    </row>
    <row r="21" spans="2:29" x14ac:dyDescent="0.35">
      <c r="D21" s="493"/>
      <c r="E21" s="494" t="s">
        <v>6</v>
      </c>
      <c r="F21" s="495">
        <v>0.1</v>
      </c>
      <c r="G21" s="495">
        <v>0.78</v>
      </c>
      <c r="H21" s="495">
        <v>2.46</v>
      </c>
      <c r="I21" s="495">
        <v>0.78</v>
      </c>
      <c r="J21" s="495">
        <v>0</v>
      </c>
      <c r="K21" s="495">
        <v>0.56999999999999995</v>
      </c>
      <c r="L21" s="495">
        <v>0</v>
      </c>
      <c r="M21" s="495">
        <v>0</v>
      </c>
      <c r="N21" s="495">
        <v>0</v>
      </c>
      <c r="O21" s="495">
        <v>0</v>
      </c>
      <c r="P21" s="495">
        <v>3.63</v>
      </c>
      <c r="Q21" s="496">
        <v>0</v>
      </c>
      <c r="R21" s="495"/>
      <c r="S21" s="495"/>
      <c r="T21" s="497">
        <f t="shared" si="1"/>
        <v>0</v>
      </c>
      <c r="U21" s="498">
        <f>IFERROR(R21/R12,"")</f>
        <v>0</v>
      </c>
      <c r="V21" s="498" t="str">
        <f>IFERROR(S21/S12,"")</f>
        <v/>
      </c>
      <c r="W21" s="498">
        <f t="shared" ref="W21:W24" si="8">IFERROR(T21/T12,"")</f>
        <v>0</v>
      </c>
      <c r="X21" s="494"/>
      <c r="Y21" s="499"/>
      <c r="AC21" s="62"/>
    </row>
    <row r="22" spans="2:29" x14ac:dyDescent="0.35">
      <c r="D22" s="500"/>
      <c r="E22" s="442" t="s">
        <v>7</v>
      </c>
      <c r="F22" s="501"/>
      <c r="G22" s="501"/>
      <c r="H22" s="501"/>
      <c r="I22" s="501"/>
      <c r="J22" s="501"/>
      <c r="K22" s="501"/>
      <c r="L22" s="501"/>
      <c r="M22" s="501"/>
      <c r="N22" s="501"/>
      <c r="O22" s="501"/>
      <c r="P22" s="501"/>
      <c r="Q22" s="502"/>
      <c r="R22" s="501"/>
      <c r="S22" s="501"/>
      <c r="T22" s="503">
        <f t="shared" si="1"/>
        <v>0</v>
      </c>
      <c r="U22" s="504" t="str">
        <f t="shared" ref="U22:V24" si="9">IFERROR(R22/R13,"")</f>
        <v/>
      </c>
      <c r="V22" s="504" t="str">
        <f t="shared" si="9"/>
        <v/>
      </c>
      <c r="W22" s="504" t="str">
        <f t="shared" si="8"/>
        <v/>
      </c>
      <c r="X22" s="442"/>
      <c r="Y22" s="505"/>
      <c r="AC22" s="62"/>
    </row>
    <row r="23" spans="2:29" x14ac:dyDescent="0.35">
      <c r="D23" s="500"/>
      <c r="E23" s="442" t="s">
        <v>8</v>
      </c>
      <c r="F23" s="501"/>
      <c r="G23" s="501"/>
      <c r="H23" s="501"/>
      <c r="I23" s="501"/>
      <c r="J23" s="501"/>
      <c r="K23" s="501"/>
      <c r="L23" s="501"/>
      <c r="M23" s="501"/>
      <c r="N23" s="501"/>
      <c r="O23" s="501"/>
      <c r="P23" s="501"/>
      <c r="Q23" s="502"/>
      <c r="R23" s="501"/>
      <c r="S23" s="501"/>
      <c r="T23" s="503">
        <f t="shared" si="1"/>
        <v>0</v>
      </c>
      <c r="U23" s="504">
        <f t="shared" si="9"/>
        <v>0</v>
      </c>
      <c r="V23" s="504" t="str">
        <f t="shared" si="9"/>
        <v/>
      </c>
      <c r="W23" s="504">
        <f t="shared" si="8"/>
        <v>0</v>
      </c>
      <c r="X23" s="442"/>
      <c r="Y23" s="505"/>
      <c r="AC23" s="62"/>
    </row>
    <row r="24" spans="2:29" x14ac:dyDescent="0.35">
      <c r="D24" s="506"/>
      <c r="E24" s="507" t="s">
        <v>9</v>
      </c>
      <c r="F24" s="508"/>
      <c r="G24" s="508"/>
      <c r="H24" s="508"/>
      <c r="I24" s="508"/>
      <c r="J24" s="508"/>
      <c r="K24" s="508"/>
      <c r="L24" s="508"/>
      <c r="M24" s="508"/>
      <c r="N24" s="508"/>
      <c r="O24" s="508"/>
      <c r="P24" s="508"/>
      <c r="Q24" s="509"/>
      <c r="R24" s="508"/>
      <c r="S24" s="508"/>
      <c r="T24" s="510">
        <f t="shared" si="1"/>
        <v>0</v>
      </c>
      <c r="U24" s="511" t="str">
        <f t="shared" si="9"/>
        <v/>
      </c>
      <c r="V24" s="511" t="str">
        <f t="shared" si="9"/>
        <v/>
      </c>
      <c r="W24" s="511" t="str">
        <f t="shared" si="8"/>
        <v/>
      </c>
      <c r="X24" s="507"/>
      <c r="Y24" s="512"/>
      <c r="AC24" s="62"/>
    </row>
    <row r="25" spans="2:29" x14ac:dyDescent="0.35">
      <c r="B25" s="27" t="s">
        <v>177</v>
      </c>
      <c r="T25" s="2">
        <f t="shared" si="1"/>
        <v>0</v>
      </c>
    </row>
    <row r="26" spans="2:29" x14ac:dyDescent="0.35">
      <c r="C26" s="2" t="s">
        <v>23</v>
      </c>
      <c r="F26" s="62">
        <f>3982581/(10^6)</f>
        <v>3.9825810000000001</v>
      </c>
      <c r="G26" s="62">
        <f>34967991/(10^6)</f>
        <v>34.967990999999998</v>
      </c>
      <c r="H26" s="62">
        <f>43656483/(10^6)</f>
        <v>43.656483000000001</v>
      </c>
      <c r="I26" s="62">
        <f>38436353/(10^6)</f>
        <v>38.436352999999997</v>
      </c>
      <c r="J26" s="62">
        <f>55687973/(10^6)</f>
        <v>55.687973</v>
      </c>
      <c r="K26" s="62">
        <f>38616177/(10^6)</f>
        <v>38.616177</v>
      </c>
      <c r="L26" s="62">
        <f>31979000/(10^6)</f>
        <v>31.978999999999999</v>
      </c>
      <c r="M26" s="62">
        <f>19227959/(10^6)</f>
        <v>19.227958999999998</v>
      </c>
      <c r="N26" s="62">
        <f>43976479/(10^6)</f>
        <v>43.976478999999998</v>
      </c>
      <c r="O26" s="62">
        <f>1966107/(10^6)</f>
        <v>1.966107</v>
      </c>
      <c r="P26" s="62">
        <f>2486989/(10^6)</f>
        <v>2.4869889999999999</v>
      </c>
      <c r="Q26" s="240">
        <v>1.350152</v>
      </c>
      <c r="R26" s="62">
        <f t="shared" ref="R26:R31" si="10">SUMIFS($F26:$Q26,$F$7:$Q$7,"A")</f>
        <v>316.33424399999996</v>
      </c>
      <c r="S26" s="62">
        <f t="shared" ref="S26:S31" si="11">SUMIFS($F26:$Q26,$F$7:$Q$7,"B")</f>
        <v>0</v>
      </c>
      <c r="T26" s="57">
        <f t="shared" si="1"/>
        <v>316.33424399999996</v>
      </c>
      <c r="U26" s="96">
        <f t="shared" ref="U26:V87" si="12">IFERROR(R26/R$17,"")</f>
        <v>2.8989334720052034E-2</v>
      </c>
      <c r="V26" s="96" t="str">
        <f t="shared" si="12"/>
        <v/>
      </c>
      <c r="W26" s="96">
        <f t="shared" ref="W26:W32" si="13">T26/$T$17</f>
        <v>2.8989334720052034E-2</v>
      </c>
      <c r="X26" s="96"/>
      <c r="Y26" s="96"/>
      <c r="Z26" s="96"/>
      <c r="AA26" s="97">
        <f>W26</f>
        <v>2.8989334720052034E-2</v>
      </c>
      <c r="AB26" s="2" t="s">
        <v>199</v>
      </c>
      <c r="AC26" s="57">
        <f t="shared" ref="AC26:AC31" si="14">AA26*$AC$17</f>
        <v>329.48449576104855</v>
      </c>
    </row>
    <row r="27" spans="2:29" x14ac:dyDescent="0.35">
      <c r="C27" s="2" t="s">
        <v>143</v>
      </c>
      <c r="D27" s="6"/>
      <c r="F27" s="62">
        <f>15410000/(10^6)</f>
        <v>15.41</v>
      </c>
      <c r="G27" s="62">
        <f>75555000/(10^6)</f>
        <v>75.555000000000007</v>
      </c>
      <c r="H27" s="62">
        <f>108790000/(10^6)</f>
        <v>108.79</v>
      </c>
      <c r="I27" s="62">
        <f>88535000/(10^6)</f>
        <v>88.534999999999997</v>
      </c>
      <c r="J27" s="62">
        <f>176320000/(10^6)</f>
        <v>176.32</v>
      </c>
      <c r="K27" s="62">
        <f>136370000/(10^6)</f>
        <v>136.37</v>
      </c>
      <c r="L27" s="62">
        <f>100830000/(10^6)</f>
        <v>100.83</v>
      </c>
      <c r="M27" s="62">
        <f>50930000/(10^6)</f>
        <v>50.93</v>
      </c>
      <c r="N27" s="62">
        <f>133300000/(10^6)</f>
        <v>133.30000000000001</v>
      </c>
      <c r="O27" s="62">
        <f>15065000/(10^6)</f>
        <v>15.065</v>
      </c>
      <c r="P27" s="62">
        <f>14330000/(10^6)</f>
        <v>14.33</v>
      </c>
      <c r="Q27" s="240">
        <v>13.685</v>
      </c>
      <c r="R27" s="62">
        <f t="shared" si="10"/>
        <v>929.12</v>
      </c>
      <c r="S27" s="62">
        <f t="shared" si="11"/>
        <v>0</v>
      </c>
      <c r="T27" s="57">
        <f t="shared" si="1"/>
        <v>929.12</v>
      </c>
      <c r="U27" s="96">
        <f t="shared" si="12"/>
        <v>8.5145921397920959E-2</v>
      </c>
      <c r="V27" s="96" t="str">
        <f t="shared" si="12"/>
        <v/>
      </c>
      <c r="W27" s="96">
        <f t="shared" si="13"/>
        <v>8.5145921397920959E-2</v>
      </c>
      <c r="X27" s="96"/>
      <c r="Y27" s="96"/>
      <c r="Z27" s="96"/>
      <c r="AA27" s="97">
        <f>W27</f>
        <v>8.5145921397920959E-2</v>
      </c>
      <c r="AB27" s="2" t="s">
        <v>199</v>
      </c>
      <c r="AC27" s="57">
        <f t="shared" si="14"/>
        <v>967.74421520265594</v>
      </c>
    </row>
    <row r="28" spans="2:29" x14ac:dyDescent="0.35">
      <c r="C28" s="2" t="s">
        <v>24</v>
      </c>
      <c r="D28" s="6"/>
      <c r="F28" s="62">
        <f>15364000/(10^6)</f>
        <v>15.364000000000001</v>
      </c>
      <c r="G28" s="62">
        <f>141608000/(10^6)</f>
        <v>141.608</v>
      </c>
      <c r="H28" s="62">
        <f>196816000/(10^6)</f>
        <v>196.816</v>
      </c>
      <c r="I28" s="62">
        <f>116270000/(10^6)</f>
        <v>116.27</v>
      </c>
      <c r="J28" s="62">
        <f>16290000/(10^6)</f>
        <v>16.29</v>
      </c>
      <c r="K28" s="62">
        <f>20020000/(10^6)</f>
        <v>20.02</v>
      </c>
      <c r="L28" s="62">
        <f>21704000/(10^6)</f>
        <v>21.704000000000001</v>
      </c>
      <c r="M28" s="62">
        <f>75218000/(10^6)</f>
        <v>75.218000000000004</v>
      </c>
      <c r="N28" s="62">
        <f>4420000/(10^6)</f>
        <v>4.42</v>
      </c>
      <c r="O28" s="62">
        <f>8190000/(10^6)</f>
        <v>8.19</v>
      </c>
      <c r="P28" s="62">
        <f>3042000/(10^6)</f>
        <v>3.0419999999999998</v>
      </c>
      <c r="Q28" s="240">
        <v>4.1079999999999997</v>
      </c>
      <c r="R28" s="62">
        <f t="shared" si="10"/>
        <v>623.04999999999995</v>
      </c>
      <c r="S28" s="62">
        <f t="shared" si="11"/>
        <v>0</v>
      </c>
      <c r="T28" s="57">
        <f t="shared" si="1"/>
        <v>623.04999999999995</v>
      </c>
      <c r="U28" s="96">
        <f t="shared" si="12"/>
        <v>5.7097217073117192E-2</v>
      </c>
      <c r="V28" s="96" t="str">
        <f t="shared" si="12"/>
        <v/>
      </c>
      <c r="W28" s="96">
        <f t="shared" si="13"/>
        <v>5.7097217073117192E-2</v>
      </c>
      <c r="X28" s="96"/>
      <c r="Y28" s="96"/>
      <c r="Z28" s="96"/>
      <c r="AA28" s="97">
        <f>W28</f>
        <v>5.7097217073117192E-2</v>
      </c>
      <c r="AB28" s="2" t="s">
        <v>199</v>
      </c>
      <c r="AC28" s="57">
        <f t="shared" si="14"/>
        <v>648.9506557624577</v>
      </c>
    </row>
    <row r="29" spans="2:29" x14ac:dyDescent="0.35">
      <c r="C29" s="2" t="s">
        <v>612</v>
      </c>
      <c r="D29" s="6"/>
      <c r="F29" s="62">
        <f>34800000/(10^6)</f>
        <v>34.799999999999997</v>
      </c>
      <c r="G29" s="62">
        <f>142300000/(10^6)</f>
        <v>142.30000000000001</v>
      </c>
      <c r="H29" s="62">
        <f>193400000/(10^6)</f>
        <v>193.4</v>
      </c>
      <c r="I29" s="62">
        <f>165010000/(10^6)</f>
        <v>165.01</v>
      </c>
      <c r="J29" s="62">
        <f>123725000/(10^6)</f>
        <v>123.72499999999999</v>
      </c>
      <c r="K29" s="62">
        <f>71170000/(10^6)</f>
        <v>71.17</v>
      </c>
      <c r="L29" s="62">
        <f>112580000/(10^6)</f>
        <v>112.58</v>
      </c>
      <c r="M29" s="62">
        <f>90600000/(10^6)</f>
        <v>90.6</v>
      </c>
      <c r="N29" s="62">
        <f>98210000/(10^6)</f>
        <v>98.21</v>
      </c>
      <c r="O29" s="62">
        <f>28800000/(10^6)</f>
        <v>28.8</v>
      </c>
      <c r="P29" s="62">
        <f>24600000/(10^6)</f>
        <v>24.6</v>
      </c>
      <c r="Q29" s="240">
        <v>27.5</v>
      </c>
      <c r="R29" s="62">
        <f t="shared" si="10"/>
        <v>1112.6949999999999</v>
      </c>
      <c r="S29" s="62">
        <f t="shared" si="11"/>
        <v>0</v>
      </c>
      <c r="T29" s="57">
        <f t="shared" si="1"/>
        <v>1112.6949999999999</v>
      </c>
      <c r="U29" s="96">
        <f t="shared" si="12"/>
        <v>0.10196900401440034</v>
      </c>
      <c r="V29" s="96" t="str">
        <f t="shared" si="12"/>
        <v/>
      </c>
      <c r="W29" s="96">
        <f t="shared" si="13"/>
        <v>0.10196900401440034</v>
      </c>
      <c r="X29" s="96"/>
      <c r="Y29" s="96"/>
      <c r="Z29" s="96"/>
      <c r="AA29" s="97">
        <f>W29</f>
        <v>0.10196900401440034</v>
      </c>
      <c r="AB29" s="2" t="s">
        <v>199</v>
      </c>
      <c r="AC29" s="57">
        <f t="shared" si="14"/>
        <v>1158.9505656265274</v>
      </c>
    </row>
    <row r="30" spans="2:29" x14ac:dyDescent="0.35">
      <c r="C30" s="2" t="s">
        <v>209</v>
      </c>
      <c r="D30" s="6"/>
      <c r="F30" s="62">
        <f>4340000/(10^6)</f>
        <v>4.34</v>
      </c>
      <c r="G30" s="62">
        <f>8160000/(10^6)</f>
        <v>8.16</v>
      </c>
      <c r="H30" s="62">
        <f>20480000/(10^6)</f>
        <v>20.48</v>
      </c>
      <c r="I30" s="62">
        <f>39964400/(10^6)</f>
        <v>39.964399999999998</v>
      </c>
      <c r="J30" s="62">
        <f>16490000/(10^6)</f>
        <v>16.489999999999998</v>
      </c>
      <c r="K30" s="62">
        <f>113316000/(10^6)</f>
        <v>113.316</v>
      </c>
      <c r="L30" s="62">
        <f>53000000/(10^6)</f>
        <v>53</v>
      </c>
      <c r="M30" s="62">
        <f>17660000/(10^6)</f>
        <v>17.66</v>
      </c>
      <c r="N30" s="62">
        <f>45196000/(10^6)</f>
        <v>45.195999999999998</v>
      </c>
      <c r="O30" s="62">
        <f>4440000/(10^6)</f>
        <v>4.4400000000000004</v>
      </c>
      <c r="P30" s="62">
        <f>4300000/(10^6)</f>
        <v>4.3</v>
      </c>
      <c r="Q30" s="240">
        <v>4.08</v>
      </c>
      <c r="R30" s="62">
        <f t="shared" si="10"/>
        <v>331.4264</v>
      </c>
      <c r="S30" s="62">
        <f t="shared" si="11"/>
        <v>0</v>
      </c>
      <c r="T30" s="57">
        <f t="shared" si="1"/>
        <v>331.4264</v>
      </c>
      <c r="U30" s="96">
        <f t="shared" si="12"/>
        <v>3.0372402061731432E-2</v>
      </c>
      <c r="V30" s="96" t="str">
        <f t="shared" si="12"/>
        <v/>
      </c>
      <c r="W30" s="96">
        <f t="shared" si="13"/>
        <v>3.0372402061731432E-2</v>
      </c>
      <c r="X30" s="96"/>
      <c r="Y30" s="96"/>
      <c r="Z30" s="96"/>
      <c r="AA30" s="97">
        <f>W30</f>
        <v>3.0372402061731432E-2</v>
      </c>
      <c r="AB30" s="2" t="s">
        <v>199</v>
      </c>
      <c r="AC30" s="57">
        <f t="shared" si="14"/>
        <v>345.20404400447899</v>
      </c>
    </row>
    <row r="31" spans="2:29" x14ac:dyDescent="0.35">
      <c r="C31" s="2" t="s">
        <v>183</v>
      </c>
      <c r="D31" s="6"/>
      <c r="F31" s="62">
        <f>17886282/(10^6)</f>
        <v>17.886282000000001</v>
      </c>
      <c r="G31" s="62">
        <f>14938282/(10^6)</f>
        <v>14.938281999999999</v>
      </c>
      <c r="H31" s="62">
        <f>13227556/(10^6)</f>
        <v>13.227556</v>
      </c>
      <c r="I31" s="62">
        <f>12788278/(10^6)</f>
        <v>12.788278</v>
      </c>
      <c r="J31" s="62">
        <f>0/(10^6)</f>
        <v>0</v>
      </c>
      <c r="K31" s="62">
        <f>0/(10^6)</f>
        <v>0</v>
      </c>
      <c r="L31" s="62">
        <f>2900000/(10^6)</f>
        <v>2.9</v>
      </c>
      <c r="M31" s="62">
        <f>2100000/(10^6)</f>
        <v>2.1</v>
      </c>
      <c r="N31" s="62">
        <f>7682219/(10^6)</f>
        <v>7.6822189999999999</v>
      </c>
      <c r="O31" s="62">
        <f>8739103/(10^6)</f>
        <v>8.7391030000000001</v>
      </c>
      <c r="P31" s="62">
        <f>4573495/(10^6)</f>
        <v>4.5734950000000003</v>
      </c>
      <c r="Q31" s="240">
        <v>7.8360000000000003</v>
      </c>
      <c r="R31" s="62">
        <f t="shared" si="10"/>
        <v>92.671214999999989</v>
      </c>
      <c r="S31" s="62">
        <f t="shared" si="11"/>
        <v>0</v>
      </c>
      <c r="T31" s="57">
        <f t="shared" si="1"/>
        <v>92.671214999999989</v>
      </c>
      <c r="U31" s="96">
        <f t="shared" si="12"/>
        <v>8.4925262487513271E-3</v>
      </c>
      <c r="V31" s="96" t="str">
        <f t="shared" si="12"/>
        <v/>
      </c>
      <c r="W31" s="96">
        <f t="shared" si="13"/>
        <v>8.4925262487513271E-3</v>
      </c>
      <c r="X31" s="96"/>
      <c r="Y31" s="96"/>
      <c r="Z31" s="96"/>
      <c r="AA31" s="97">
        <v>0.01</v>
      </c>
      <c r="AB31" s="2" t="s">
        <v>199</v>
      </c>
      <c r="AC31" s="57">
        <f t="shared" si="14"/>
        <v>113.65714285714286</v>
      </c>
    </row>
    <row r="32" spans="2:29" ht="13.15" thickBot="1" x14ac:dyDescent="0.4">
      <c r="B32" s="86" t="s">
        <v>180</v>
      </c>
      <c r="C32" s="87"/>
      <c r="D32" s="87"/>
      <c r="E32" s="70"/>
      <c r="F32" s="88">
        <f>SUM(F26:F31)</f>
        <v>91.782862999999992</v>
      </c>
      <c r="G32" s="88">
        <f t="shared" ref="G32:Q32" si="15">SUM(G26:G31)</f>
        <v>417.52927300000005</v>
      </c>
      <c r="H32" s="88">
        <f t="shared" si="15"/>
        <v>576.37003900000002</v>
      </c>
      <c r="I32" s="88">
        <f t="shared" si="15"/>
        <v>461.004031</v>
      </c>
      <c r="J32" s="88">
        <f t="shared" si="15"/>
        <v>388.51297299999999</v>
      </c>
      <c r="K32" s="88">
        <f t="shared" si="15"/>
        <v>379.49217699999997</v>
      </c>
      <c r="L32" s="88">
        <f t="shared" si="15"/>
        <v>322.99299999999999</v>
      </c>
      <c r="M32" s="88">
        <f t="shared" si="15"/>
        <v>255.73595900000001</v>
      </c>
      <c r="N32" s="88">
        <f t="shared" si="15"/>
        <v>332.78469799999999</v>
      </c>
      <c r="O32" s="88">
        <f t="shared" si="15"/>
        <v>67.200209999999998</v>
      </c>
      <c r="P32" s="88">
        <f t="shared" si="15"/>
        <v>53.332484000000001</v>
      </c>
      <c r="Q32" s="88">
        <f t="shared" si="15"/>
        <v>58.559151999999997</v>
      </c>
      <c r="R32" s="88">
        <f>SUM(R26:R31)</f>
        <v>3405.2968589999996</v>
      </c>
      <c r="S32" s="88">
        <f>SUM(S26:S31)</f>
        <v>0</v>
      </c>
      <c r="T32" s="88">
        <f t="shared" si="1"/>
        <v>3405.2968589999996</v>
      </c>
      <c r="U32" s="101">
        <f t="shared" si="12"/>
        <v>0.31206640551597326</v>
      </c>
      <c r="V32" s="101" t="str">
        <f t="shared" si="12"/>
        <v/>
      </c>
      <c r="W32" s="101">
        <f t="shared" si="13"/>
        <v>0.31206640551597326</v>
      </c>
      <c r="X32" s="101"/>
      <c r="Y32" s="101"/>
      <c r="Z32" s="101"/>
      <c r="AA32" s="101"/>
      <c r="AB32" s="88"/>
      <c r="AC32" s="88">
        <f>SUM(AC26:AC31)</f>
        <v>3563.9911192143113</v>
      </c>
    </row>
    <row r="33" spans="2:31" x14ac:dyDescent="0.35">
      <c r="B33" s="89" t="s">
        <v>187</v>
      </c>
      <c r="C33" s="90"/>
      <c r="D33" s="90"/>
      <c r="E33" s="91"/>
      <c r="F33" s="92">
        <f>F19-F32-F20</f>
        <v>140.51713700000002</v>
      </c>
      <c r="G33" s="92">
        <f t="shared" ref="G33:S33" si="16">G19-G32-G20</f>
        <v>604.89072699999997</v>
      </c>
      <c r="H33" s="92">
        <f t="shared" si="16"/>
        <v>785.04196100000001</v>
      </c>
      <c r="I33" s="92">
        <f t="shared" si="16"/>
        <v>751.72636899999998</v>
      </c>
      <c r="J33" s="92">
        <f t="shared" si="16"/>
        <v>1159.560727</v>
      </c>
      <c r="K33" s="92">
        <f t="shared" si="16"/>
        <v>1139.2356230000003</v>
      </c>
      <c r="L33" s="92">
        <f t="shared" si="16"/>
        <v>836.16800000000012</v>
      </c>
      <c r="M33" s="92">
        <f t="shared" si="16"/>
        <v>462.77004099999999</v>
      </c>
      <c r="N33" s="92">
        <f t="shared" si="16"/>
        <v>1178.684902</v>
      </c>
      <c r="O33" s="92">
        <f t="shared" si="16"/>
        <v>152.29979</v>
      </c>
      <c r="P33" s="92">
        <f t="shared" si="16"/>
        <v>152.237516</v>
      </c>
      <c r="Q33" s="92">
        <f t="shared" si="16"/>
        <v>135.34084799999999</v>
      </c>
      <c r="R33" s="92">
        <f t="shared" si="16"/>
        <v>7498.4736410000005</v>
      </c>
      <c r="S33" s="92">
        <f t="shared" si="16"/>
        <v>0</v>
      </c>
      <c r="T33" s="92">
        <f t="shared" si="1"/>
        <v>7498.4736410000005</v>
      </c>
      <c r="U33" s="104">
        <f t="shared" si="12"/>
        <v>0.68717113746444825</v>
      </c>
      <c r="V33" s="104" t="str">
        <f t="shared" si="12"/>
        <v/>
      </c>
      <c r="W33" s="104">
        <f>T33/$T$17</f>
        <v>0.68717113746444825</v>
      </c>
      <c r="X33" s="104"/>
      <c r="Y33" s="104"/>
      <c r="Z33" s="104"/>
      <c r="AA33" s="92"/>
      <c r="AB33" s="92"/>
      <c r="AC33" s="92">
        <f>AC19-AC32-AC20</f>
        <v>7801.7231664999745</v>
      </c>
    </row>
    <row r="34" spans="2:31" x14ac:dyDescent="0.35">
      <c r="B34" s="27" t="s">
        <v>181</v>
      </c>
      <c r="C34" s="6"/>
      <c r="D34" s="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>
        <f t="shared" si="1"/>
        <v>0</v>
      </c>
      <c r="U34" s="85">
        <f t="shared" si="12"/>
        <v>0</v>
      </c>
      <c r="V34" s="85" t="str">
        <f t="shared" si="12"/>
        <v/>
      </c>
      <c r="W34" s="85"/>
      <c r="X34" s="85"/>
      <c r="Y34" s="85"/>
      <c r="Z34" s="85"/>
      <c r="AA34" s="85"/>
      <c r="AB34" s="85"/>
      <c r="AC34" s="85"/>
    </row>
    <row r="35" spans="2:31" x14ac:dyDescent="0.35">
      <c r="C35" s="2" t="s">
        <v>186</v>
      </c>
      <c r="F35" s="62">
        <v>125.66380700000001</v>
      </c>
      <c r="G35" s="62">
        <v>183.02883299999999</v>
      </c>
      <c r="H35" s="62">
        <v>221.00856899999999</v>
      </c>
      <c r="I35" s="62">
        <v>178.68849599999999</v>
      </c>
      <c r="J35" s="62">
        <v>125.033691</v>
      </c>
      <c r="K35" s="62">
        <v>160.044838</v>
      </c>
      <c r="L35" s="62">
        <v>132.816754</v>
      </c>
      <c r="M35" s="62">
        <v>111.344615</v>
      </c>
      <c r="N35" s="62">
        <v>223.11170300000001</v>
      </c>
      <c r="O35" s="62">
        <v>84.022000000000006</v>
      </c>
      <c r="P35" s="62">
        <v>95.734999999999999</v>
      </c>
      <c r="Q35" s="238">
        <v>111.85</v>
      </c>
      <c r="R35" s="62">
        <f>SUMIFS($F35:$Q35,$F$7:$Q$7,"A")</f>
        <v>1752.3483059999996</v>
      </c>
      <c r="S35" s="62">
        <f>SUMIFS($F35:$Q35,$F$7:$Q$7,"B")</f>
        <v>0</v>
      </c>
      <c r="T35" s="57">
        <f t="shared" si="1"/>
        <v>1752.3483059999996</v>
      </c>
      <c r="U35" s="96">
        <f t="shared" si="12"/>
        <v>0.16058777243462191</v>
      </c>
      <c r="V35" s="96" t="str">
        <f t="shared" si="12"/>
        <v/>
      </c>
      <c r="W35" s="96">
        <f t="shared" ref="W35:W40" si="17">T35/$T$17</f>
        <v>0.16058777243462191</v>
      </c>
      <c r="X35" s="96"/>
      <c r="Y35" s="96"/>
      <c r="Z35" s="96"/>
      <c r="AA35" s="97">
        <v>0.02</v>
      </c>
      <c r="AB35" s="2" t="s">
        <v>200</v>
      </c>
      <c r="AC35" s="57">
        <f>T35*(1+AA35)</f>
        <v>1787.3952721199996</v>
      </c>
    </row>
    <row r="36" spans="2:31" x14ac:dyDescent="0.35">
      <c r="C36" s="2" t="s">
        <v>408</v>
      </c>
      <c r="F36" s="62">
        <f>95083333/(10^6)</f>
        <v>95.083332999999996</v>
      </c>
      <c r="G36" s="62">
        <f t="shared" ref="G36:P36" si="18">58333333/(10^6)</f>
        <v>58.333333000000003</v>
      </c>
      <c r="H36" s="62">
        <f t="shared" si="18"/>
        <v>58.333333000000003</v>
      </c>
      <c r="I36" s="62">
        <f t="shared" si="18"/>
        <v>58.333333000000003</v>
      </c>
      <c r="J36" s="62">
        <f t="shared" si="18"/>
        <v>58.333333000000003</v>
      </c>
      <c r="K36" s="62">
        <f t="shared" si="18"/>
        <v>58.333333000000003</v>
      </c>
      <c r="L36" s="62">
        <f t="shared" si="18"/>
        <v>58.333333000000003</v>
      </c>
      <c r="M36" s="62">
        <f t="shared" si="18"/>
        <v>58.333333000000003</v>
      </c>
      <c r="N36" s="62">
        <f t="shared" si="18"/>
        <v>58.333333000000003</v>
      </c>
      <c r="O36" s="62">
        <f t="shared" si="18"/>
        <v>58.333333000000003</v>
      </c>
      <c r="P36" s="62">
        <f t="shared" si="18"/>
        <v>58.333333000000003</v>
      </c>
      <c r="Q36" s="62">
        <f>60000000/(10^6)</f>
        <v>60</v>
      </c>
      <c r="R36" s="62">
        <f>SUMIFS($F36:$Q36,$F$7:$Q$7,"A")</f>
        <v>738.41666299999997</v>
      </c>
      <c r="S36" s="62">
        <f>SUMIFS($F36:$Q36,$F$7:$Q$7,"B")</f>
        <v>0</v>
      </c>
      <c r="T36" s="57">
        <f t="shared" si="1"/>
        <v>738.41666299999997</v>
      </c>
      <c r="U36" s="96">
        <f t="shared" si="12"/>
        <v>6.7669587509377779E-2</v>
      </c>
      <c r="V36" s="96" t="str">
        <f t="shared" si="12"/>
        <v/>
      </c>
      <c r="W36" s="96">
        <f t="shared" si="17"/>
        <v>6.7669587509377779E-2</v>
      </c>
      <c r="X36" s="96"/>
      <c r="Y36" s="96"/>
      <c r="Z36" s="96"/>
      <c r="AA36" s="97">
        <v>0.02</v>
      </c>
      <c r="AB36" s="2" t="s">
        <v>200</v>
      </c>
      <c r="AC36" s="57">
        <f>T36*(1+AA36)</f>
        <v>753.18499625999993</v>
      </c>
    </row>
    <row r="37" spans="2:31" x14ac:dyDescent="0.35">
      <c r="B37" s="27"/>
      <c r="C37" s="2" t="s">
        <v>182</v>
      </c>
      <c r="D37" s="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62">
        <f>SUMIFS($F37:$Q37,$F$7:$Q$7,"A")</f>
        <v>0</v>
      </c>
      <c r="S37" s="62">
        <f>SUMIFS($F37:$Q37,$F$7:$Q$7,"B")</f>
        <v>0</v>
      </c>
      <c r="T37" s="57">
        <f t="shared" si="1"/>
        <v>0</v>
      </c>
      <c r="U37" s="96">
        <f t="shared" si="12"/>
        <v>0</v>
      </c>
      <c r="V37" s="96" t="str">
        <f t="shared" si="12"/>
        <v/>
      </c>
      <c r="W37" s="96">
        <f t="shared" si="17"/>
        <v>0</v>
      </c>
      <c r="X37" s="96"/>
      <c r="Y37" s="96"/>
      <c r="Z37" s="96"/>
      <c r="AA37" s="85"/>
      <c r="AB37" s="57" t="s">
        <v>201</v>
      </c>
      <c r="AC37" s="102">
        <f>'Site list'!Q6</f>
        <v>320.30124999999998</v>
      </c>
    </row>
    <row r="38" spans="2:31" x14ac:dyDescent="0.35">
      <c r="B38" s="27"/>
      <c r="C38" s="2" t="s">
        <v>631</v>
      </c>
      <c r="D38" s="6"/>
      <c r="F38" s="62">
        <v>44.706397000000003</v>
      </c>
      <c r="G38" s="62">
        <v>47.038601999999997</v>
      </c>
      <c r="H38" s="62">
        <v>52.666004000000001</v>
      </c>
      <c r="I38" s="62">
        <v>59.304651</v>
      </c>
      <c r="J38" s="62">
        <v>68.375146999999998</v>
      </c>
      <c r="K38" s="62">
        <v>64.192198000000005</v>
      </c>
      <c r="L38" s="62">
        <v>67.200168000000005</v>
      </c>
      <c r="M38" s="62">
        <v>54.267249</v>
      </c>
      <c r="N38" s="62">
        <v>69.980061000000006</v>
      </c>
      <c r="O38" s="62">
        <v>58.741334000000002</v>
      </c>
      <c r="P38" s="62">
        <v>48.469529000000001</v>
      </c>
      <c r="Q38" s="57">
        <v>49.922794000000003</v>
      </c>
      <c r="R38" s="62">
        <f>SUMIFS($F38:$Q38,$F$7:$Q$7,"A")</f>
        <v>684.86413400000004</v>
      </c>
      <c r="S38" s="62">
        <f>SUMIFS($F38:$Q38,$F$7:$Q$7,"B")</f>
        <v>0</v>
      </c>
      <c r="T38" s="57">
        <f t="shared" si="1"/>
        <v>684.86413400000004</v>
      </c>
      <c r="U38" s="96">
        <f t="shared" si="12"/>
        <v>6.2761955099254363E-2</v>
      </c>
      <c r="V38" s="96" t="str">
        <f t="shared" si="12"/>
        <v/>
      </c>
      <c r="W38" s="96">
        <f t="shared" si="17"/>
        <v>6.2761955099254363E-2</v>
      </c>
      <c r="X38" s="96"/>
      <c r="Y38" s="96"/>
      <c r="Z38" s="96"/>
      <c r="AA38" s="85"/>
      <c r="AB38" s="57" t="s">
        <v>202</v>
      </c>
      <c r="AC38" s="57">
        <f>T38</f>
        <v>684.86413400000004</v>
      </c>
    </row>
    <row r="39" spans="2:31" x14ac:dyDescent="0.35">
      <c r="C39" s="2" t="s">
        <v>188</v>
      </c>
      <c r="F39" s="62">
        <v>3.1111689999999999</v>
      </c>
      <c r="G39" s="62">
        <v>0</v>
      </c>
      <c r="H39" s="62">
        <v>8.0351999999999997</v>
      </c>
      <c r="I39" s="62">
        <v>6.29</v>
      </c>
      <c r="J39" s="62">
        <v>2.742</v>
      </c>
      <c r="K39" s="62">
        <v>87.044006999999993</v>
      </c>
      <c r="L39" s="62">
        <v>66.225623999999996</v>
      </c>
      <c r="M39" s="62">
        <v>10.788</v>
      </c>
      <c r="N39" s="62">
        <v>125.42306000000001</v>
      </c>
      <c r="O39" s="62">
        <v>5.359</v>
      </c>
      <c r="P39" s="62">
        <v>3.6326999999999998</v>
      </c>
      <c r="Q39" s="57">
        <v>0</v>
      </c>
      <c r="R39" s="62">
        <f>SUMIFS($F39:$Q39,$F$7:$Q$7,"A")</f>
        <v>318.65075999999999</v>
      </c>
      <c r="S39" s="62">
        <f>SUMIFS($F39:$Q39,$F$7:$Q$7,"B")</f>
        <v>0</v>
      </c>
      <c r="T39" s="57">
        <f t="shared" si="1"/>
        <v>318.65075999999999</v>
      </c>
      <c r="U39" s="96">
        <f t="shared" si="12"/>
        <v>2.9201623648557534E-2</v>
      </c>
      <c r="V39" s="96" t="str">
        <f t="shared" si="12"/>
        <v/>
      </c>
      <c r="W39" s="96">
        <f t="shared" si="17"/>
        <v>2.9201623648557534E-2</v>
      </c>
      <c r="X39" s="96"/>
      <c r="Y39" s="96"/>
      <c r="Z39" s="96"/>
      <c r="AB39" s="57" t="s">
        <v>202</v>
      </c>
      <c r="AC39" s="57">
        <f>T39</f>
        <v>318.65075999999999</v>
      </c>
    </row>
    <row r="40" spans="2:31" ht="13.15" thickBot="1" x14ac:dyDescent="0.4">
      <c r="B40" s="86" t="s">
        <v>189</v>
      </c>
      <c r="C40" s="87"/>
      <c r="D40" s="87"/>
      <c r="E40" s="70"/>
      <c r="F40" s="88">
        <f>SUM(F35:F39)</f>
        <v>268.564706</v>
      </c>
      <c r="G40" s="88">
        <f t="shared" ref="G40:S40" si="19">SUM(G35:G39)</f>
        <v>288.40076799999997</v>
      </c>
      <c r="H40" s="88">
        <f t="shared" si="19"/>
        <v>340.04310599999997</v>
      </c>
      <c r="I40" s="88">
        <f t="shared" si="19"/>
        <v>302.61648000000002</v>
      </c>
      <c r="J40" s="88">
        <f t="shared" si="19"/>
        <v>254.484171</v>
      </c>
      <c r="K40" s="88">
        <f t="shared" si="19"/>
        <v>369.61437599999999</v>
      </c>
      <c r="L40" s="88">
        <f t="shared" si="19"/>
        <v>324.57587899999999</v>
      </c>
      <c r="M40" s="88">
        <f t="shared" si="19"/>
        <v>234.73319700000002</v>
      </c>
      <c r="N40" s="88">
        <f t="shared" si="19"/>
        <v>476.84815700000007</v>
      </c>
      <c r="O40" s="88">
        <f t="shared" si="19"/>
        <v>206.45566700000001</v>
      </c>
      <c r="P40" s="88">
        <f t="shared" si="19"/>
        <v>206.17056199999999</v>
      </c>
      <c r="Q40" s="88">
        <f t="shared" si="19"/>
        <v>221.772794</v>
      </c>
      <c r="R40" s="88">
        <f t="shared" si="19"/>
        <v>3494.2798629999998</v>
      </c>
      <c r="S40" s="88">
        <f t="shared" si="19"/>
        <v>0</v>
      </c>
      <c r="T40" s="88">
        <f t="shared" si="1"/>
        <v>3494.2798629999998</v>
      </c>
      <c r="U40" s="101">
        <f t="shared" si="12"/>
        <v>0.32022093869181156</v>
      </c>
      <c r="V40" s="101" t="str">
        <f t="shared" si="12"/>
        <v/>
      </c>
      <c r="W40" s="101">
        <f t="shared" si="17"/>
        <v>0.32022093869181156</v>
      </c>
      <c r="X40" s="101"/>
      <c r="Y40" s="101"/>
      <c r="Z40" s="101"/>
      <c r="AA40" s="88"/>
      <c r="AB40" s="88"/>
      <c r="AC40" s="88">
        <f>SUM(AC35:AC39)</f>
        <v>3864.3964123799992</v>
      </c>
      <c r="AE40" s="84">
        <f>T40/12</f>
        <v>291.18998858333333</v>
      </c>
    </row>
    <row r="41" spans="2:31" x14ac:dyDescent="0.35">
      <c r="B41" s="89" t="s">
        <v>190</v>
      </c>
      <c r="C41" s="90"/>
      <c r="D41" s="90"/>
      <c r="E41" s="91"/>
      <c r="F41" s="92">
        <f>F33-F40</f>
        <v>-128.04756899999998</v>
      </c>
      <c r="G41" s="92">
        <f t="shared" ref="G41:S41" si="20">G33-G40</f>
        <v>316.489959</v>
      </c>
      <c r="H41" s="92">
        <f t="shared" si="20"/>
        <v>444.99885500000005</v>
      </c>
      <c r="I41" s="92">
        <f t="shared" si="20"/>
        <v>449.10988899999995</v>
      </c>
      <c r="J41" s="92">
        <f t="shared" si="20"/>
        <v>905.07655599999998</v>
      </c>
      <c r="K41" s="92">
        <f t="shared" si="20"/>
        <v>769.62124700000027</v>
      </c>
      <c r="L41" s="92">
        <f t="shared" si="20"/>
        <v>511.59212100000013</v>
      </c>
      <c r="M41" s="92">
        <f t="shared" si="20"/>
        <v>228.03684399999997</v>
      </c>
      <c r="N41" s="92">
        <f t="shared" si="20"/>
        <v>701.83674499999984</v>
      </c>
      <c r="O41" s="92">
        <f t="shared" si="20"/>
        <v>-54.155877000000004</v>
      </c>
      <c r="P41" s="92">
        <f t="shared" si="20"/>
        <v>-53.93304599999999</v>
      </c>
      <c r="Q41" s="92">
        <f t="shared" si="20"/>
        <v>-86.431946000000011</v>
      </c>
      <c r="R41" s="92">
        <f t="shared" si="20"/>
        <v>4004.1937780000007</v>
      </c>
      <c r="S41" s="92">
        <f t="shared" si="20"/>
        <v>0</v>
      </c>
      <c r="T41" s="92">
        <f t="shared" si="1"/>
        <v>4004.1937780000007</v>
      </c>
      <c r="U41" s="104">
        <f t="shared" si="12"/>
        <v>0.36695019877263668</v>
      </c>
      <c r="V41" s="104" t="str">
        <f t="shared" si="12"/>
        <v/>
      </c>
      <c r="W41" s="104">
        <f>T41/$T$17</f>
        <v>0.36695019877263668</v>
      </c>
      <c r="X41" s="104"/>
      <c r="Y41" s="104"/>
      <c r="Z41" s="104"/>
      <c r="AA41" s="92"/>
      <c r="AB41" s="92"/>
      <c r="AC41" s="92">
        <f>AC33-AC40</f>
        <v>3937.3267541199752</v>
      </c>
    </row>
    <row r="42" spans="2:31" x14ac:dyDescent="0.35">
      <c r="B42" s="27" t="s">
        <v>278</v>
      </c>
      <c r="C42" s="6"/>
      <c r="D42" s="6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>
        <f t="shared" si="1"/>
        <v>0</v>
      </c>
      <c r="U42" s="105">
        <f t="shared" si="12"/>
        <v>0</v>
      </c>
      <c r="V42" s="105" t="str">
        <f t="shared" si="12"/>
        <v/>
      </c>
      <c r="W42" s="105"/>
      <c r="X42" s="105"/>
      <c r="Y42" s="105"/>
      <c r="Z42" s="105"/>
      <c r="AA42" s="105">
        <f>'Site list'!H6</f>
        <v>0.6</v>
      </c>
      <c r="AB42" s="85"/>
      <c r="AC42" s="85">
        <f>AC41*AA42</f>
        <v>2362.3960524719851</v>
      </c>
    </row>
    <row r="43" spans="2:31" ht="3" customHeight="1" x14ac:dyDescent="0.35">
      <c r="B43" s="27"/>
      <c r="C43" s="6"/>
      <c r="D43" s="6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>
        <f t="shared" si="1"/>
        <v>0</v>
      </c>
      <c r="U43" s="105">
        <f t="shared" si="12"/>
        <v>0</v>
      </c>
      <c r="V43" s="105" t="str">
        <f t="shared" si="12"/>
        <v/>
      </c>
      <c r="W43" s="105"/>
      <c r="X43" s="105"/>
      <c r="Y43" s="105"/>
      <c r="Z43" s="105"/>
      <c r="AA43" s="85"/>
      <c r="AB43" s="85"/>
      <c r="AC43" s="85"/>
    </row>
    <row r="44" spans="2:31" x14ac:dyDescent="0.35">
      <c r="B44" s="27"/>
      <c r="C44" s="2" t="s">
        <v>185</v>
      </c>
      <c r="D44" s="6"/>
      <c r="F44" s="57">
        <f>SUM(F45:F49)</f>
        <v>177.76985525000001</v>
      </c>
      <c r="G44" s="57">
        <f t="shared" ref="G44:P44" si="21">SUM(G45:G49)</f>
        <v>177.76985525000001</v>
      </c>
      <c r="H44" s="57">
        <f t="shared" si="21"/>
        <v>177.76985525000001</v>
      </c>
      <c r="I44" s="57">
        <f t="shared" si="21"/>
        <v>177.76985525000001</v>
      </c>
      <c r="J44" s="57">
        <f t="shared" si="21"/>
        <v>177.76985525000001</v>
      </c>
      <c r="K44" s="57">
        <f t="shared" si="21"/>
        <v>177.76985525000001</v>
      </c>
      <c r="L44" s="57">
        <f t="shared" si="21"/>
        <v>177.76985525000001</v>
      </c>
      <c r="M44" s="57">
        <f t="shared" si="21"/>
        <v>177.76985525000001</v>
      </c>
      <c r="N44" s="57">
        <f t="shared" si="21"/>
        <v>177.76985525000001</v>
      </c>
      <c r="O44" s="57">
        <f t="shared" si="21"/>
        <v>177.76985525000001</v>
      </c>
      <c r="P44" s="57">
        <f t="shared" si="21"/>
        <v>177.76985525000001</v>
      </c>
      <c r="Q44" s="57">
        <f t="shared" ref="Q44:Q50" si="22">P44</f>
        <v>177.76985525000001</v>
      </c>
      <c r="R44" s="57">
        <f>SUM(R45:R49)</f>
        <v>2133.2382630000002</v>
      </c>
      <c r="S44" s="57">
        <f>SUM(S45:S49)</f>
        <v>0</v>
      </c>
      <c r="T44" s="57">
        <f t="shared" si="1"/>
        <v>2133.2382630000002</v>
      </c>
      <c r="U44" s="96">
        <f t="shared" si="12"/>
        <v>0.1954930875069264</v>
      </c>
      <c r="V44" s="96" t="str">
        <f t="shared" si="12"/>
        <v/>
      </c>
      <c r="W44" s="96">
        <f t="shared" ref="W44:W87" si="23">T44/$T$17</f>
        <v>0.1954930875069264</v>
      </c>
      <c r="X44" s="96"/>
      <c r="Y44" s="96"/>
      <c r="Z44" s="96"/>
      <c r="AA44" s="57"/>
      <c r="AB44" s="57" t="s">
        <v>202</v>
      </c>
      <c r="AC44" s="57">
        <f>T44</f>
        <v>2133.2382630000002</v>
      </c>
      <c r="AE44" s="84">
        <f>Q44+Q50</f>
        <v>207.78477724999999</v>
      </c>
    </row>
    <row r="45" spans="2:31" outlineLevel="1" x14ac:dyDescent="0.35">
      <c r="B45" s="27"/>
      <c r="C45" s="479"/>
      <c r="D45" s="480"/>
      <c r="E45" s="481" t="s">
        <v>6</v>
      </c>
      <c r="F45" s="482">
        <f t="shared" ref="F45:P45" si="24">145269855.25/(10^6)</f>
        <v>145.26985525000001</v>
      </c>
      <c r="G45" s="482">
        <f t="shared" si="24"/>
        <v>145.26985525000001</v>
      </c>
      <c r="H45" s="482">
        <f t="shared" si="24"/>
        <v>145.26985525000001</v>
      </c>
      <c r="I45" s="482">
        <f t="shared" si="24"/>
        <v>145.26985525000001</v>
      </c>
      <c r="J45" s="482">
        <f t="shared" si="24"/>
        <v>145.26985525000001</v>
      </c>
      <c r="K45" s="482">
        <f t="shared" si="24"/>
        <v>145.26985525000001</v>
      </c>
      <c r="L45" s="482">
        <f t="shared" si="24"/>
        <v>145.26985525000001</v>
      </c>
      <c r="M45" s="482">
        <f t="shared" si="24"/>
        <v>145.26985525000001</v>
      </c>
      <c r="N45" s="482">
        <f t="shared" si="24"/>
        <v>145.26985525000001</v>
      </c>
      <c r="O45" s="482">
        <f t="shared" si="24"/>
        <v>145.26985525000001</v>
      </c>
      <c r="P45" s="482">
        <f t="shared" si="24"/>
        <v>145.26985525000001</v>
      </c>
      <c r="Q45" s="483">
        <f t="shared" si="22"/>
        <v>145.26985525000001</v>
      </c>
      <c r="R45" s="483">
        <f t="shared" ref="R45:R56" si="25">SUMIFS($F45:$Q45,$F$7:$Q$7,"A")</f>
        <v>1743.2382630000004</v>
      </c>
      <c r="S45" s="483">
        <f t="shared" ref="S45:S56" si="26">SUMIFS($F45:$Q45,$F$7:$Q$7,"B")</f>
        <v>0</v>
      </c>
      <c r="T45" s="484">
        <f t="shared" si="1"/>
        <v>1743.2382630000004</v>
      </c>
      <c r="U45" s="96">
        <f t="shared" si="12"/>
        <v>0.15975291471418793</v>
      </c>
      <c r="V45" s="96" t="str">
        <f t="shared" si="12"/>
        <v/>
      </c>
      <c r="W45" s="96">
        <f t="shared" si="23"/>
        <v>0.15975291471418793</v>
      </c>
      <c r="X45" s="96"/>
      <c r="Y45" s="96"/>
      <c r="Z45" s="96"/>
      <c r="AA45" s="94"/>
      <c r="AB45" s="57" t="s">
        <v>202</v>
      </c>
      <c r="AC45" s="95">
        <f t="shared" ref="AC45:AC50" si="27">T45</f>
        <v>1743.2382630000004</v>
      </c>
      <c r="AE45" s="84">
        <f>T52/12</f>
        <v>76.810557166666669</v>
      </c>
    </row>
    <row r="46" spans="2:31" outlineLevel="1" x14ac:dyDescent="0.35">
      <c r="B46" s="27"/>
      <c r="C46" s="485"/>
      <c r="D46" s="6"/>
      <c r="E46" s="93" t="s">
        <v>7</v>
      </c>
      <c r="F46" s="195">
        <f t="shared" ref="F46:P46" si="28">0/(10^6)</f>
        <v>0</v>
      </c>
      <c r="G46" s="195">
        <f t="shared" si="28"/>
        <v>0</v>
      </c>
      <c r="H46" s="195">
        <f t="shared" si="28"/>
        <v>0</v>
      </c>
      <c r="I46" s="195">
        <f t="shared" si="28"/>
        <v>0</v>
      </c>
      <c r="J46" s="195">
        <f t="shared" si="28"/>
        <v>0</v>
      </c>
      <c r="K46" s="195">
        <f t="shared" si="28"/>
        <v>0</v>
      </c>
      <c r="L46" s="195">
        <f t="shared" si="28"/>
        <v>0</v>
      </c>
      <c r="M46" s="195">
        <f t="shared" si="28"/>
        <v>0</v>
      </c>
      <c r="N46" s="195">
        <f t="shared" si="28"/>
        <v>0</v>
      </c>
      <c r="O46" s="195">
        <f t="shared" si="28"/>
        <v>0</v>
      </c>
      <c r="P46" s="195">
        <f t="shared" si="28"/>
        <v>0</v>
      </c>
      <c r="Q46" s="400">
        <f t="shared" si="22"/>
        <v>0</v>
      </c>
      <c r="R46" s="400">
        <f t="shared" si="25"/>
        <v>0</v>
      </c>
      <c r="S46" s="400">
        <f t="shared" si="26"/>
        <v>0</v>
      </c>
      <c r="T46" s="486">
        <f t="shared" si="1"/>
        <v>0</v>
      </c>
      <c r="U46" s="96">
        <f t="shared" si="12"/>
        <v>0</v>
      </c>
      <c r="V46" s="96" t="str">
        <f t="shared" si="12"/>
        <v/>
      </c>
      <c r="W46" s="96">
        <f t="shared" si="23"/>
        <v>0</v>
      </c>
      <c r="X46" s="96"/>
      <c r="Y46" s="96"/>
      <c r="Z46" s="96"/>
      <c r="AA46" s="94"/>
      <c r="AB46" s="57" t="s">
        <v>202</v>
      </c>
      <c r="AC46" s="95">
        <f t="shared" si="27"/>
        <v>0</v>
      </c>
      <c r="AE46" s="84">
        <f>AE40+AE44+AE45</f>
        <v>575.78532299999995</v>
      </c>
    </row>
    <row r="47" spans="2:31" outlineLevel="1" x14ac:dyDescent="0.35">
      <c r="B47" s="27"/>
      <c r="C47" s="485"/>
      <c r="D47" s="6"/>
      <c r="E47" s="93" t="s">
        <v>8</v>
      </c>
      <c r="F47" s="195">
        <f t="shared" ref="F47:P47" si="29">32500000/(10^6)</f>
        <v>32.5</v>
      </c>
      <c r="G47" s="195">
        <f t="shared" si="29"/>
        <v>32.5</v>
      </c>
      <c r="H47" s="195">
        <f t="shared" si="29"/>
        <v>32.5</v>
      </c>
      <c r="I47" s="195">
        <f t="shared" si="29"/>
        <v>32.5</v>
      </c>
      <c r="J47" s="195">
        <f t="shared" si="29"/>
        <v>32.5</v>
      </c>
      <c r="K47" s="195">
        <f t="shared" si="29"/>
        <v>32.5</v>
      </c>
      <c r="L47" s="195">
        <f t="shared" si="29"/>
        <v>32.5</v>
      </c>
      <c r="M47" s="195">
        <f t="shared" si="29"/>
        <v>32.5</v>
      </c>
      <c r="N47" s="195">
        <f t="shared" si="29"/>
        <v>32.5</v>
      </c>
      <c r="O47" s="195">
        <f t="shared" si="29"/>
        <v>32.5</v>
      </c>
      <c r="P47" s="195">
        <f t="shared" si="29"/>
        <v>32.5</v>
      </c>
      <c r="Q47" s="400">
        <f t="shared" si="22"/>
        <v>32.5</v>
      </c>
      <c r="R47" s="400">
        <f t="shared" si="25"/>
        <v>390</v>
      </c>
      <c r="S47" s="400">
        <f t="shared" si="26"/>
        <v>0</v>
      </c>
      <c r="T47" s="486">
        <f t="shared" si="1"/>
        <v>390</v>
      </c>
      <c r="U47" s="96">
        <f t="shared" si="12"/>
        <v>3.5740172792738473E-2</v>
      </c>
      <c r="V47" s="96" t="str">
        <f t="shared" si="12"/>
        <v/>
      </c>
      <c r="W47" s="96">
        <f t="shared" si="23"/>
        <v>3.5740172792738473E-2</v>
      </c>
      <c r="X47" s="96"/>
      <c r="Y47" s="96"/>
      <c r="Z47" s="96"/>
      <c r="AA47" s="94"/>
      <c r="AB47" s="57" t="s">
        <v>202</v>
      </c>
      <c r="AC47" s="95">
        <f t="shared" si="27"/>
        <v>390</v>
      </c>
    </row>
    <row r="48" spans="2:31" outlineLevel="1" x14ac:dyDescent="0.35">
      <c r="B48" s="27"/>
      <c r="C48" s="485"/>
      <c r="D48" s="6"/>
      <c r="E48" s="93" t="s">
        <v>9</v>
      </c>
      <c r="F48" s="195">
        <f t="shared" ref="F48:P49" si="30">0/(10^6)</f>
        <v>0</v>
      </c>
      <c r="G48" s="195">
        <f t="shared" si="30"/>
        <v>0</v>
      </c>
      <c r="H48" s="195">
        <f t="shared" si="30"/>
        <v>0</v>
      </c>
      <c r="I48" s="195">
        <f t="shared" si="30"/>
        <v>0</v>
      </c>
      <c r="J48" s="195">
        <f t="shared" si="30"/>
        <v>0</v>
      </c>
      <c r="K48" s="195">
        <f t="shared" si="30"/>
        <v>0</v>
      </c>
      <c r="L48" s="195">
        <f t="shared" si="30"/>
        <v>0</v>
      </c>
      <c r="M48" s="195">
        <f t="shared" si="30"/>
        <v>0</v>
      </c>
      <c r="N48" s="195">
        <f t="shared" si="30"/>
        <v>0</v>
      </c>
      <c r="O48" s="195">
        <f t="shared" si="30"/>
        <v>0</v>
      </c>
      <c r="P48" s="195">
        <f t="shared" si="30"/>
        <v>0</v>
      </c>
      <c r="Q48" s="400">
        <f t="shared" si="22"/>
        <v>0</v>
      </c>
      <c r="R48" s="400">
        <f t="shared" si="25"/>
        <v>0</v>
      </c>
      <c r="S48" s="400">
        <f t="shared" si="26"/>
        <v>0</v>
      </c>
      <c r="T48" s="486">
        <f t="shared" si="1"/>
        <v>0</v>
      </c>
      <c r="U48" s="96">
        <f t="shared" si="12"/>
        <v>0</v>
      </c>
      <c r="V48" s="96" t="str">
        <f t="shared" si="12"/>
        <v/>
      </c>
      <c r="W48" s="96">
        <f t="shared" si="23"/>
        <v>0</v>
      </c>
      <c r="X48" s="96"/>
      <c r="Y48" s="96"/>
      <c r="Z48" s="96"/>
      <c r="AA48" s="94"/>
      <c r="AB48" s="57" t="s">
        <v>202</v>
      </c>
      <c r="AC48" s="95">
        <f t="shared" si="27"/>
        <v>0</v>
      </c>
    </row>
    <row r="49" spans="2:29" outlineLevel="1" x14ac:dyDescent="0.35">
      <c r="B49" s="27"/>
      <c r="C49" s="487"/>
      <c r="D49" s="488"/>
      <c r="E49" s="489" t="s">
        <v>10</v>
      </c>
      <c r="F49" s="490">
        <f t="shared" si="30"/>
        <v>0</v>
      </c>
      <c r="G49" s="490">
        <f t="shared" si="30"/>
        <v>0</v>
      </c>
      <c r="H49" s="490">
        <f t="shared" si="30"/>
        <v>0</v>
      </c>
      <c r="I49" s="490">
        <f t="shared" si="30"/>
        <v>0</v>
      </c>
      <c r="J49" s="490">
        <f t="shared" si="30"/>
        <v>0</v>
      </c>
      <c r="K49" s="490">
        <f t="shared" si="30"/>
        <v>0</v>
      </c>
      <c r="L49" s="490">
        <f t="shared" si="30"/>
        <v>0</v>
      </c>
      <c r="M49" s="490">
        <f t="shared" si="30"/>
        <v>0</v>
      </c>
      <c r="N49" s="490">
        <f t="shared" si="30"/>
        <v>0</v>
      </c>
      <c r="O49" s="490">
        <f t="shared" si="30"/>
        <v>0</v>
      </c>
      <c r="P49" s="490">
        <f t="shared" si="30"/>
        <v>0</v>
      </c>
      <c r="Q49" s="491">
        <f t="shared" si="22"/>
        <v>0</v>
      </c>
      <c r="R49" s="491">
        <f t="shared" si="25"/>
        <v>0</v>
      </c>
      <c r="S49" s="491">
        <f t="shared" si="26"/>
        <v>0</v>
      </c>
      <c r="T49" s="492">
        <f t="shared" si="1"/>
        <v>0</v>
      </c>
      <c r="U49" s="96">
        <f t="shared" si="12"/>
        <v>0</v>
      </c>
      <c r="V49" s="96" t="str">
        <f t="shared" si="12"/>
        <v/>
      </c>
      <c r="W49" s="96">
        <f t="shared" si="23"/>
        <v>0</v>
      </c>
      <c r="X49" s="96"/>
      <c r="Y49" s="96"/>
      <c r="Z49" s="96"/>
      <c r="AA49" s="94"/>
      <c r="AB49" s="57" t="s">
        <v>202</v>
      </c>
      <c r="AC49" s="95">
        <f t="shared" si="27"/>
        <v>0</v>
      </c>
    </row>
    <row r="50" spans="2:29" x14ac:dyDescent="0.35">
      <c r="B50" s="27"/>
      <c r="C50" s="2" t="s">
        <v>195</v>
      </c>
      <c r="D50" s="6"/>
      <c r="E50" s="93"/>
      <c r="F50" s="62">
        <f t="shared" ref="F50:P50" si="31">30014922/(10^6)</f>
        <v>30.014921999999999</v>
      </c>
      <c r="G50" s="62">
        <f t="shared" si="31"/>
        <v>30.014921999999999</v>
      </c>
      <c r="H50" s="62">
        <f t="shared" si="31"/>
        <v>30.014921999999999</v>
      </c>
      <c r="I50" s="62">
        <f t="shared" si="31"/>
        <v>30.014921999999999</v>
      </c>
      <c r="J50" s="62">
        <f t="shared" si="31"/>
        <v>30.014921999999999</v>
      </c>
      <c r="K50" s="62">
        <f t="shared" si="31"/>
        <v>30.014921999999999</v>
      </c>
      <c r="L50" s="62">
        <f t="shared" si="31"/>
        <v>30.014921999999999</v>
      </c>
      <c r="M50" s="62">
        <f t="shared" si="31"/>
        <v>30.014921999999999</v>
      </c>
      <c r="N50" s="62">
        <f t="shared" si="31"/>
        <v>30.014921999999999</v>
      </c>
      <c r="O50" s="62">
        <f t="shared" si="31"/>
        <v>30.014921999999999</v>
      </c>
      <c r="P50" s="62">
        <f t="shared" si="31"/>
        <v>30.014921999999999</v>
      </c>
      <c r="Q50" s="109">
        <f t="shared" si="22"/>
        <v>30.014921999999999</v>
      </c>
      <c r="R50" s="57">
        <f t="shared" si="25"/>
        <v>360.1790640000001</v>
      </c>
      <c r="S50" s="57">
        <f t="shared" si="26"/>
        <v>0</v>
      </c>
      <c r="T50" s="57">
        <f t="shared" si="1"/>
        <v>360.1790640000001</v>
      </c>
      <c r="U50" s="96">
        <f t="shared" si="12"/>
        <v>3.3007338419709778E-2</v>
      </c>
      <c r="V50" s="96" t="str">
        <f t="shared" si="12"/>
        <v/>
      </c>
      <c r="W50" s="96">
        <f t="shared" si="23"/>
        <v>3.3007338419709778E-2</v>
      </c>
      <c r="X50" s="96"/>
      <c r="Y50" s="96"/>
      <c r="Z50" s="96"/>
      <c r="AA50" s="94"/>
      <c r="AB50" s="57" t="s">
        <v>202</v>
      </c>
      <c r="AC50" s="57">
        <f t="shared" si="27"/>
        <v>360.1790640000001</v>
      </c>
    </row>
    <row r="51" spans="2:29" x14ac:dyDescent="0.35">
      <c r="C51" s="2" t="s">
        <v>191</v>
      </c>
      <c r="D51" s="55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>
        <v>0</v>
      </c>
      <c r="R51" s="57">
        <f t="shared" si="25"/>
        <v>0</v>
      </c>
      <c r="S51" s="57">
        <f t="shared" si="26"/>
        <v>0</v>
      </c>
      <c r="T51" s="57">
        <f t="shared" si="1"/>
        <v>0</v>
      </c>
      <c r="U51" s="96">
        <f t="shared" si="12"/>
        <v>0</v>
      </c>
      <c r="V51" s="96" t="str">
        <f t="shared" si="12"/>
        <v/>
      </c>
      <c r="W51" s="96">
        <f t="shared" si="23"/>
        <v>0</v>
      </c>
      <c r="X51" s="96"/>
      <c r="Y51" s="96"/>
      <c r="Z51" s="96"/>
      <c r="AA51" s="59"/>
      <c r="AB51" s="59"/>
      <c r="AC51" s="59">
        <v>0</v>
      </c>
    </row>
    <row r="52" spans="2:29" x14ac:dyDescent="0.35">
      <c r="C52" s="2" t="s">
        <v>208</v>
      </c>
      <c r="D52" s="55"/>
      <c r="F52" s="62">
        <v>96.866731000000001</v>
      </c>
      <c r="G52" s="62">
        <v>76.222117999999995</v>
      </c>
      <c r="H52" s="62">
        <v>84.382036999999997</v>
      </c>
      <c r="I52" s="62">
        <v>81.602151000000006</v>
      </c>
      <c r="J52" s="62">
        <v>80.443156999999999</v>
      </c>
      <c r="K52" s="62">
        <v>81.492800000000003</v>
      </c>
      <c r="L52" s="62">
        <v>62.798800999999997</v>
      </c>
      <c r="M52" s="62">
        <v>72.688445999999999</v>
      </c>
      <c r="N52" s="62">
        <v>67.499210000000005</v>
      </c>
      <c r="O52" s="62">
        <v>82.726337999999998</v>
      </c>
      <c r="P52" s="62">
        <v>67.501841999999996</v>
      </c>
      <c r="Q52" s="62">
        <v>67.503055000000003</v>
      </c>
      <c r="R52" s="57">
        <f t="shared" si="25"/>
        <v>921.72668599999997</v>
      </c>
      <c r="S52" s="57">
        <f t="shared" si="26"/>
        <v>0</v>
      </c>
      <c r="T52" s="57">
        <f t="shared" si="1"/>
        <v>921.72668599999997</v>
      </c>
      <c r="U52" s="96">
        <f t="shared" si="12"/>
        <v>8.4468387244405641E-2</v>
      </c>
      <c r="V52" s="96" t="str">
        <f t="shared" si="12"/>
        <v/>
      </c>
      <c r="W52" s="96">
        <f t="shared" si="23"/>
        <v>8.4468387244405641E-2</v>
      </c>
      <c r="X52" s="96"/>
      <c r="Y52" s="96"/>
      <c r="Z52" s="96"/>
      <c r="AA52" s="110"/>
      <c r="AB52" s="111"/>
      <c r="AC52" s="111">
        <f>SUM('BIDV-THH'!I10:I13)/10^6</f>
        <v>814.07402191780818</v>
      </c>
    </row>
    <row r="53" spans="2:29" x14ac:dyDescent="0.35">
      <c r="B53" s="86" t="s">
        <v>48</v>
      </c>
      <c r="C53" s="87"/>
      <c r="D53" s="87"/>
      <c r="E53" s="70"/>
      <c r="F53" s="88">
        <f>F41-F44-F50+F51-F52</f>
        <v>-432.69907725000002</v>
      </c>
      <c r="G53" s="88">
        <f t="shared" ref="G53:Q53" si="32">G41-G44-G50+G51-G52</f>
        <v>32.483063749999999</v>
      </c>
      <c r="H53" s="88">
        <f t="shared" si="32"/>
        <v>152.83204075000006</v>
      </c>
      <c r="I53" s="88">
        <f t="shared" si="32"/>
        <v>159.72296074999997</v>
      </c>
      <c r="J53" s="88">
        <f t="shared" si="32"/>
        <v>616.84862175000001</v>
      </c>
      <c r="K53" s="88">
        <f t="shared" si="32"/>
        <v>480.34366975000034</v>
      </c>
      <c r="L53" s="88">
        <f t="shared" si="32"/>
        <v>241.00854275000015</v>
      </c>
      <c r="M53" s="88">
        <f t="shared" si="32"/>
        <v>-52.43637925000003</v>
      </c>
      <c r="N53" s="88">
        <f t="shared" si="32"/>
        <v>426.55275774999984</v>
      </c>
      <c r="O53" s="88">
        <f t="shared" si="32"/>
        <v>-344.66699225000002</v>
      </c>
      <c r="P53" s="88">
        <f t="shared" si="32"/>
        <v>-329.21966524999999</v>
      </c>
      <c r="Q53" s="88">
        <f t="shared" si="32"/>
        <v>-361.71977825000005</v>
      </c>
      <c r="R53" s="88">
        <f t="shared" si="25"/>
        <v>589.04976500000021</v>
      </c>
      <c r="S53" s="88">
        <f t="shared" si="26"/>
        <v>0</v>
      </c>
      <c r="T53" s="88">
        <f t="shared" si="1"/>
        <v>589.04976500000021</v>
      </c>
      <c r="U53" s="101">
        <f t="shared" si="12"/>
        <v>5.3981385601594871E-2</v>
      </c>
      <c r="V53" s="101" t="str">
        <f t="shared" si="12"/>
        <v/>
      </c>
      <c r="W53" s="101">
        <f t="shared" si="23"/>
        <v>5.3981385601594871E-2</v>
      </c>
      <c r="X53" s="101"/>
      <c r="Y53" s="101"/>
      <c r="Z53" s="101"/>
      <c r="AA53" s="88"/>
      <c r="AB53" s="88"/>
      <c r="AC53" s="88">
        <f>AC41-AC44-AC50+SUM(AC51:AC52)</f>
        <v>2257.983449037783</v>
      </c>
    </row>
    <row r="54" spans="2:29" ht="13.15" thickBot="1" x14ac:dyDescent="0.4">
      <c r="C54" s="2" t="s">
        <v>638</v>
      </c>
      <c r="D54" s="55"/>
      <c r="F54" s="59">
        <f>IF(F53&lt;0,0,F53*20%)</f>
        <v>0</v>
      </c>
      <c r="G54" s="59">
        <f t="shared" ref="G54:Q54" si="33">IF(G53&lt;0,0,G53*20%)</f>
        <v>6.4966127500000006</v>
      </c>
      <c r="H54" s="59">
        <f t="shared" si="33"/>
        <v>30.566408150000015</v>
      </c>
      <c r="I54" s="59">
        <f t="shared" si="33"/>
        <v>31.944592149999995</v>
      </c>
      <c r="J54" s="59">
        <f t="shared" si="33"/>
        <v>123.36972435000001</v>
      </c>
      <c r="K54" s="59">
        <f t="shared" si="33"/>
        <v>96.06873395000008</v>
      </c>
      <c r="L54" s="59">
        <f t="shared" si="33"/>
        <v>48.201708550000035</v>
      </c>
      <c r="M54" s="59">
        <f t="shared" si="33"/>
        <v>0</v>
      </c>
      <c r="N54" s="59">
        <f t="shared" si="33"/>
        <v>85.310551549999971</v>
      </c>
      <c r="O54" s="59">
        <f t="shared" si="33"/>
        <v>0</v>
      </c>
      <c r="P54" s="59">
        <f t="shared" si="33"/>
        <v>0</v>
      </c>
      <c r="Q54" s="59">
        <f t="shared" si="33"/>
        <v>0</v>
      </c>
      <c r="R54" s="59">
        <f t="shared" si="25"/>
        <v>421.95833145000012</v>
      </c>
      <c r="S54" s="59">
        <f t="shared" si="26"/>
        <v>0</v>
      </c>
      <c r="T54" s="59">
        <f t="shared" si="1"/>
        <v>421.95833145000012</v>
      </c>
      <c r="U54" s="105">
        <f t="shared" si="12"/>
        <v>3.8668881223996455E-2</v>
      </c>
      <c r="V54" s="105" t="str">
        <f t="shared" si="12"/>
        <v/>
      </c>
      <c r="W54" s="105">
        <f t="shared" si="23"/>
        <v>3.8668881223996455E-2</v>
      </c>
      <c r="X54" s="105"/>
      <c r="Y54" s="105"/>
      <c r="Z54" s="105"/>
      <c r="AA54" s="59"/>
      <c r="AB54" s="59"/>
      <c r="AC54" s="59">
        <f>AC53*20%</f>
        <v>451.59668980755663</v>
      </c>
    </row>
    <row r="55" spans="2:29" x14ac:dyDescent="0.35">
      <c r="B55" s="89" t="s">
        <v>194</v>
      </c>
      <c r="C55" s="90"/>
      <c r="D55" s="90"/>
      <c r="E55" s="91"/>
      <c r="F55" s="92">
        <f>F53-F54</f>
        <v>-432.69907725000002</v>
      </c>
      <c r="G55" s="92">
        <f t="shared" ref="G55:Q55" si="34">G53-G54</f>
        <v>25.986450999999999</v>
      </c>
      <c r="H55" s="92">
        <f t="shared" si="34"/>
        <v>122.26563260000005</v>
      </c>
      <c r="I55" s="92">
        <f t="shared" si="34"/>
        <v>127.77836859999998</v>
      </c>
      <c r="J55" s="92">
        <f t="shared" si="34"/>
        <v>493.47889739999999</v>
      </c>
      <c r="K55" s="92">
        <f t="shared" si="34"/>
        <v>384.27493580000026</v>
      </c>
      <c r="L55" s="92">
        <f t="shared" si="34"/>
        <v>192.80683420000011</v>
      </c>
      <c r="M55" s="92">
        <f t="shared" si="34"/>
        <v>-52.43637925000003</v>
      </c>
      <c r="N55" s="92">
        <f t="shared" si="34"/>
        <v>341.24220619999988</v>
      </c>
      <c r="O55" s="92">
        <f t="shared" si="34"/>
        <v>-344.66699225000002</v>
      </c>
      <c r="P55" s="92">
        <f t="shared" si="34"/>
        <v>-329.21966524999999</v>
      </c>
      <c r="Q55" s="92">
        <f t="shared" si="34"/>
        <v>-361.71977825000005</v>
      </c>
      <c r="R55" s="92">
        <f t="shared" si="25"/>
        <v>167.09143355000009</v>
      </c>
      <c r="S55" s="92">
        <f t="shared" si="26"/>
        <v>0</v>
      </c>
      <c r="T55" s="92">
        <f t="shared" si="1"/>
        <v>167.09143355000009</v>
      </c>
      <c r="U55" s="104">
        <f t="shared" si="12"/>
        <v>1.5312504377598415E-2</v>
      </c>
      <c r="V55" s="104" t="str">
        <f t="shared" si="12"/>
        <v/>
      </c>
      <c r="W55" s="104">
        <f t="shared" si="23"/>
        <v>1.5312504377598415E-2</v>
      </c>
      <c r="X55" s="92"/>
      <c r="Y55" s="92"/>
      <c r="Z55" s="92"/>
      <c r="AA55" s="92"/>
      <c r="AB55" s="92"/>
      <c r="AC55" s="92">
        <f>AC53-AC54</f>
        <v>1806.3867592302263</v>
      </c>
    </row>
    <row r="56" spans="2:29" ht="13.15" thickBot="1" x14ac:dyDescent="0.4">
      <c r="C56" s="2" t="s">
        <v>639</v>
      </c>
      <c r="D56" s="55"/>
      <c r="F56" s="356">
        <v>-134.32749250000001</v>
      </c>
      <c r="G56" s="356">
        <v>33.051721396000005</v>
      </c>
      <c r="H56" s="356">
        <v>72.121046564000011</v>
      </c>
      <c r="I56" s="356">
        <v>73.388140755999999</v>
      </c>
      <c r="J56" s="356">
        <v>211.98924104400001</v>
      </c>
      <c r="K56" s="356">
        <v>170.809112852</v>
      </c>
      <c r="L56" s="356">
        <v>92.363503988000005</v>
      </c>
      <c r="M56" s="356">
        <v>4.6197744750000007</v>
      </c>
      <c r="N56" s="356">
        <v>112.64607141899999</v>
      </c>
      <c r="O56" s="356">
        <v>-78.579685275000003</v>
      </c>
      <c r="P56" s="356">
        <v>-78.51321187500001</v>
      </c>
      <c r="Q56" s="356">
        <v>-88.263245775000001</v>
      </c>
      <c r="R56" s="59">
        <f t="shared" si="25"/>
        <v>391.30497706900007</v>
      </c>
      <c r="S56" s="59">
        <f t="shared" si="26"/>
        <v>0</v>
      </c>
      <c r="T56" s="59">
        <f t="shared" si="1"/>
        <v>391.30497706900007</v>
      </c>
      <c r="U56" s="424">
        <f t="shared" si="12"/>
        <v>3.5859762807960591E-2</v>
      </c>
      <c r="V56" s="424" t="str">
        <f t="shared" si="12"/>
        <v/>
      </c>
      <c r="W56" s="424">
        <f t="shared" si="23"/>
        <v>3.5859762807960591E-2</v>
      </c>
      <c r="X56" s="59"/>
      <c r="Y56" s="59"/>
      <c r="Z56" s="59"/>
      <c r="AA56" s="108">
        <f>1-'Site list'!H6</f>
        <v>0.4</v>
      </c>
      <c r="AB56" s="59"/>
      <c r="AC56" s="59">
        <f>AC55*AA56</f>
        <v>722.55470369209058</v>
      </c>
    </row>
    <row r="57" spans="2:29" ht="13.15" hidden="1" thickBot="1" x14ac:dyDescent="0.4">
      <c r="B57" s="28" t="s">
        <v>99</v>
      </c>
      <c r="T57" s="2">
        <f t="shared" si="1"/>
        <v>0</v>
      </c>
      <c r="U57" s="201">
        <f t="shared" si="12"/>
        <v>0</v>
      </c>
      <c r="V57" s="201" t="str">
        <f t="shared" si="12"/>
        <v/>
      </c>
      <c r="W57" s="201">
        <f t="shared" si="23"/>
        <v>0</v>
      </c>
    </row>
    <row r="58" spans="2:29" ht="13.15" hidden="1" thickBot="1" x14ac:dyDescent="0.4">
      <c r="C58" s="6" t="s">
        <v>137</v>
      </c>
      <c r="T58" s="2">
        <f t="shared" si="1"/>
        <v>0</v>
      </c>
      <c r="U58" s="201">
        <f t="shared" si="12"/>
        <v>0</v>
      </c>
      <c r="V58" s="201" t="str">
        <f t="shared" si="12"/>
        <v/>
      </c>
      <c r="W58" s="201">
        <f t="shared" si="23"/>
        <v>0</v>
      </c>
    </row>
    <row r="59" spans="2:29" ht="13.15" hidden="1" thickBot="1" x14ac:dyDescent="0.4">
      <c r="E59" s="2" t="s">
        <v>6</v>
      </c>
      <c r="F59" s="57">
        <v>257</v>
      </c>
      <c r="G59" s="57">
        <v>402</v>
      </c>
      <c r="H59" s="57">
        <v>460</v>
      </c>
      <c r="I59" s="57">
        <v>538</v>
      </c>
      <c r="J59" s="57">
        <v>463</v>
      </c>
      <c r="K59" s="57">
        <v>437</v>
      </c>
      <c r="L59" s="57">
        <v>449</v>
      </c>
      <c r="M59" s="57">
        <v>358</v>
      </c>
      <c r="N59" s="57">
        <v>373</v>
      </c>
      <c r="O59" s="57">
        <v>353</v>
      </c>
      <c r="P59" s="57">
        <v>327</v>
      </c>
      <c r="T59" s="2">
        <f t="shared" si="1"/>
        <v>0</v>
      </c>
      <c r="U59" s="201">
        <f t="shared" si="12"/>
        <v>0</v>
      </c>
      <c r="V59" s="201" t="str">
        <f t="shared" si="12"/>
        <v/>
      </c>
      <c r="W59" s="201">
        <f t="shared" si="23"/>
        <v>0</v>
      </c>
    </row>
    <row r="60" spans="2:29" ht="13.15" hidden="1" thickBot="1" x14ac:dyDescent="0.4">
      <c r="E60" s="2" t="s">
        <v>7</v>
      </c>
      <c r="F60" s="57">
        <v>7</v>
      </c>
      <c r="G60" s="57">
        <v>16</v>
      </c>
      <c r="H60" s="57">
        <v>17</v>
      </c>
      <c r="I60" s="57">
        <v>37</v>
      </c>
      <c r="J60" s="57">
        <v>22</v>
      </c>
      <c r="K60" s="57">
        <v>18</v>
      </c>
      <c r="L60" s="57">
        <v>21</v>
      </c>
      <c r="M60" s="57">
        <v>28</v>
      </c>
      <c r="N60" s="57">
        <v>20</v>
      </c>
      <c r="O60" s="57">
        <v>18</v>
      </c>
      <c r="P60" s="57">
        <v>17</v>
      </c>
      <c r="T60" s="2">
        <f t="shared" si="1"/>
        <v>0</v>
      </c>
      <c r="U60" s="201">
        <f t="shared" si="12"/>
        <v>0</v>
      </c>
      <c r="V60" s="201" t="str">
        <f t="shared" si="12"/>
        <v/>
      </c>
      <c r="W60" s="201">
        <f t="shared" si="23"/>
        <v>0</v>
      </c>
    </row>
    <row r="61" spans="2:29" ht="13.15" hidden="1" thickBot="1" x14ac:dyDescent="0.4">
      <c r="E61" s="2" t="s">
        <v>8</v>
      </c>
      <c r="F61" s="57">
        <v>108</v>
      </c>
      <c r="G61" s="57">
        <v>143</v>
      </c>
      <c r="H61" s="57">
        <v>166</v>
      </c>
      <c r="I61" s="57">
        <v>201</v>
      </c>
      <c r="J61" s="57">
        <v>134</v>
      </c>
      <c r="K61" s="57">
        <v>106</v>
      </c>
      <c r="L61" s="57">
        <v>81</v>
      </c>
      <c r="M61" s="57">
        <v>76</v>
      </c>
      <c r="N61" s="57">
        <v>82</v>
      </c>
      <c r="O61" s="57">
        <v>92</v>
      </c>
      <c r="P61" s="58">
        <v>83</v>
      </c>
      <c r="T61" s="2">
        <f t="shared" si="1"/>
        <v>0</v>
      </c>
      <c r="U61" s="201">
        <f t="shared" si="12"/>
        <v>0</v>
      </c>
      <c r="V61" s="201" t="str">
        <f t="shared" si="12"/>
        <v/>
      </c>
      <c r="W61" s="201">
        <f t="shared" si="23"/>
        <v>0</v>
      </c>
    </row>
    <row r="62" spans="2:29" ht="13.15" hidden="1" thickBot="1" x14ac:dyDescent="0.4">
      <c r="E62" s="2" t="s">
        <v>9</v>
      </c>
      <c r="F62" s="57">
        <v>58</v>
      </c>
      <c r="G62" s="57">
        <v>83</v>
      </c>
      <c r="H62" s="57">
        <v>147</v>
      </c>
      <c r="I62" s="57">
        <v>228</v>
      </c>
      <c r="J62" s="57">
        <v>168</v>
      </c>
      <c r="K62" s="57">
        <v>188</v>
      </c>
      <c r="L62" s="57">
        <v>203</v>
      </c>
      <c r="M62" s="57">
        <v>155</v>
      </c>
      <c r="N62" s="57">
        <v>167</v>
      </c>
      <c r="O62" s="57">
        <v>144</v>
      </c>
      <c r="P62" s="57">
        <v>187</v>
      </c>
      <c r="T62" s="2">
        <f t="shared" si="1"/>
        <v>0</v>
      </c>
      <c r="U62" s="201">
        <f t="shared" si="12"/>
        <v>0</v>
      </c>
      <c r="V62" s="201" t="str">
        <f t="shared" si="12"/>
        <v/>
      </c>
      <c r="W62" s="201">
        <f t="shared" si="23"/>
        <v>0</v>
      </c>
    </row>
    <row r="63" spans="2:29" ht="13.15" hidden="1" thickBot="1" x14ac:dyDescent="0.4">
      <c r="E63" s="2" t="s">
        <v>10</v>
      </c>
      <c r="F63" s="57">
        <v>36</v>
      </c>
      <c r="G63" s="57">
        <v>72</v>
      </c>
      <c r="H63" s="57">
        <v>67</v>
      </c>
      <c r="I63" s="57">
        <v>57</v>
      </c>
      <c r="J63" s="57">
        <v>42</v>
      </c>
      <c r="K63" s="57">
        <v>38</v>
      </c>
      <c r="L63" s="58">
        <v>85</v>
      </c>
      <c r="M63" s="57">
        <v>46</v>
      </c>
      <c r="N63" s="57">
        <v>79</v>
      </c>
      <c r="O63" s="57">
        <v>82</v>
      </c>
      <c r="P63" s="57">
        <v>44</v>
      </c>
      <c r="T63" s="2">
        <f t="shared" si="1"/>
        <v>0</v>
      </c>
      <c r="U63" s="201">
        <f t="shared" si="12"/>
        <v>0</v>
      </c>
      <c r="V63" s="201" t="str">
        <f t="shared" si="12"/>
        <v/>
      </c>
      <c r="W63" s="201">
        <f t="shared" si="23"/>
        <v>0</v>
      </c>
    </row>
    <row r="64" spans="2:29" ht="13.15" hidden="1" thickBot="1" x14ac:dyDescent="0.4">
      <c r="D64" s="55" t="s">
        <v>134</v>
      </c>
      <c r="F64" s="59">
        <f>SUM(F59:F63)</f>
        <v>466</v>
      </c>
      <c r="G64" s="59">
        <f t="shared" ref="G64:P64" si="35">SUM(G59:G63)</f>
        <v>716</v>
      </c>
      <c r="H64" s="59">
        <f t="shared" si="35"/>
        <v>857</v>
      </c>
      <c r="I64" s="59">
        <f t="shared" si="35"/>
        <v>1061</v>
      </c>
      <c r="J64" s="59">
        <f t="shared" si="35"/>
        <v>829</v>
      </c>
      <c r="K64" s="59">
        <f t="shared" si="35"/>
        <v>787</v>
      </c>
      <c r="L64" s="59">
        <f t="shared" si="35"/>
        <v>839</v>
      </c>
      <c r="M64" s="59">
        <f t="shared" si="35"/>
        <v>663</v>
      </c>
      <c r="N64" s="59">
        <f t="shared" si="35"/>
        <v>721</v>
      </c>
      <c r="O64" s="59">
        <f t="shared" si="35"/>
        <v>689</v>
      </c>
      <c r="P64" s="59">
        <f t="shared" si="35"/>
        <v>658</v>
      </c>
      <c r="T64" s="2">
        <f t="shared" si="1"/>
        <v>0</v>
      </c>
      <c r="U64" s="201">
        <f t="shared" si="12"/>
        <v>0</v>
      </c>
      <c r="V64" s="201" t="str">
        <f t="shared" si="12"/>
        <v/>
      </c>
      <c r="W64" s="201">
        <f t="shared" si="23"/>
        <v>0</v>
      </c>
    </row>
    <row r="65" spans="3:23" ht="13.15" hidden="1" thickBot="1" x14ac:dyDescent="0.4">
      <c r="D65" s="55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T65" s="2">
        <f t="shared" si="1"/>
        <v>0</v>
      </c>
      <c r="U65" s="201">
        <f t="shared" si="12"/>
        <v>0</v>
      </c>
      <c r="V65" s="201" t="str">
        <f t="shared" si="12"/>
        <v/>
      </c>
      <c r="W65" s="201">
        <f t="shared" si="23"/>
        <v>0</v>
      </c>
    </row>
    <row r="66" spans="3:23" ht="13.15" hidden="1" thickBot="1" x14ac:dyDescent="0.4">
      <c r="C66" s="6" t="s">
        <v>138</v>
      </c>
      <c r="D66" s="55"/>
      <c r="F66" s="59">
        <v>30</v>
      </c>
      <c r="G66" s="59">
        <f>28-7</f>
        <v>21</v>
      </c>
      <c r="H66" s="59">
        <v>31</v>
      </c>
      <c r="I66" s="59">
        <f>30-2</f>
        <v>28</v>
      </c>
      <c r="J66" s="59">
        <v>31</v>
      </c>
      <c r="K66" s="59">
        <v>30</v>
      </c>
      <c r="L66" s="59">
        <v>31</v>
      </c>
      <c r="M66" s="59">
        <v>31</v>
      </c>
      <c r="N66" s="59">
        <f>30-2</f>
        <v>28</v>
      </c>
      <c r="O66" s="59">
        <v>31</v>
      </c>
      <c r="P66" s="59">
        <v>30</v>
      </c>
      <c r="T66" s="2">
        <f t="shared" si="1"/>
        <v>0</v>
      </c>
      <c r="U66" s="201">
        <f t="shared" si="12"/>
        <v>0</v>
      </c>
      <c r="V66" s="201" t="str">
        <f t="shared" si="12"/>
        <v/>
      </c>
      <c r="W66" s="201">
        <f t="shared" si="23"/>
        <v>0</v>
      </c>
    </row>
    <row r="67" spans="3:23" ht="13.15" hidden="1" thickBot="1" x14ac:dyDescent="0.4">
      <c r="D67" s="55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T67" s="2">
        <f t="shared" si="1"/>
        <v>0</v>
      </c>
      <c r="U67" s="201">
        <f t="shared" si="12"/>
        <v>0</v>
      </c>
      <c r="V67" s="201" t="str">
        <f t="shared" si="12"/>
        <v/>
      </c>
      <c r="W67" s="201">
        <f t="shared" si="23"/>
        <v>0</v>
      </c>
    </row>
    <row r="68" spans="3:23" ht="13.15" hidden="1" thickBot="1" x14ac:dyDescent="0.4">
      <c r="C68" s="6" t="s">
        <v>133</v>
      </c>
      <c r="T68" s="2">
        <f t="shared" si="1"/>
        <v>0</v>
      </c>
      <c r="U68" s="201">
        <f t="shared" si="12"/>
        <v>0</v>
      </c>
      <c r="V68" s="201" t="str">
        <f t="shared" si="12"/>
        <v/>
      </c>
      <c r="W68" s="201">
        <f t="shared" si="23"/>
        <v>0</v>
      </c>
    </row>
    <row r="69" spans="3:23" ht="13.15" hidden="1" thickBot="1" x14ac:dyDescent="0.4">
      <c r="E69" s="2" t="s">
        <v>6</v>
      </c>
      <c r="T69" s="2">
        <f t="shared" si="1"/>
        <v>0</v>
      </c>
      <c r="U69" s="201">
        <f t="shared" si="12"/>
        <v>0</v>
      </c>
      <c r="V69" s="201" t="str">
        <f t="shared" si="12"/>
        <v/>
      </c>
      <c r="W69" s="201">
        <f t="shared" si="23"/>
        <v>0</v>
      </c>
    </row>
    <row r="70" spans="3:23" ht="13.15" hidden="1" thickBot="1" x14ac:dyDescent="0.4">
      <c r="E70" s="2" t="s">
        <v>7</v>
      </c>
      <c r="T70" s="2">
        <f t="shared" si="1"/>
        <v>0</v>
      </c>
      <c r="U70" s="201">
        <f t="shared" si="12"/>
        <v>0</v>
      </c>
      <c r="V70" s="201" t="str">
        <f t="shared" si="12"/>
        <v/>
      </c>
      <c r="W70" s="201">
        <f t="shared" si="23"/>
        <v>0</v>
      </c>
    </row>
    <row r="71" spans="3:23" ht="13.15" hidden="1" thickBot="1" x14ac:dyDescent="0.4">
      <c r="E71" s="2" t="s">
        <v>8</v>
      </c>
      <c r="T71" s="2">
        <f t="shared" si="1"/>
        <v>0</v>
      </c>
      <c r="U71" s="201">
        <f t="shared" si="12"/>
        <v>0</v>
      </c>
      <c r="V71" s="201" t="str">
        <f t="shared" si="12"/>
        <v/>
      </c>
      <c r="W71" s="201">
        <f t="shared" si="23"/>
        <v>0</v>
      </c>
    </row>
    <row r="72" spans="3:23" ht="13.15" hidden="1" thickBot="1" x14ac:dyDescent="0.4">
      <c r="E72" s="2" t="s">
        <v>9</v>
      </c>
      <c r="T72" s="2">
        <f t="shared" si="1"/>
        <v>0</v>
      </c>
      <c r="U72" s="201">
        <f t="shared" si="12"/>
        <v>0</v>
      </c>
      <c r="V72" s="201" t="str">
        <f t="shared" si="12"/>
        <v/>
      </c>
      <c r="W72" s="201">
        <f t="shared" si="23"/>
        <v>0</v>
      </c>
    </row>
    <row r="73" spans="3:23" ht="13.15" hidden="1" thickBot="1" x14ac:dyDescent="0.4">
      <c r="E73" s="2" t="s">
        <v>10</v>
      </c>
      <c r="T73" s="2">
        <f t="shared" si="1"/>
        <v>0</v>
      </c>
      <c r="U73" s="201">
        <f t="shared" si="12"/>
        <v>0</v>
      </c>
      <c r="V73" s="201" t="str">
        <f t="shared" si="12"/>
        <v/>
      </c>
      <c r="W73" s="201">
        <f t="shared" si="23"/>
        <v>0</v>
      </c>
    </row>
    <row r="74" spans="3:23" ht="13.15" hidden="1" thickBot="1" x14ac:dyDescent="0.4">
      <c r="D74" s="55" t="s">
        <v>134</v>
      </c>
      <c r="T74" s="2">
        <f t="shared" si="1"/>
        <v>0</v>
      </c>
      <c r="U74" s="201">
        <f t="shared" si="12"/>
        <v>0</v>
      </c>
      <c r="V74" s="201" t="str">
        <f t="shared" si="12"/>
        <v/>
      </c>
      <c r="W74" s="201">
        <f t="shared" si="23"/>
        <v>0</v>
      </c>
    </row>
    <row r="75" spans="3:23" ht="13.15" hidden="1" thickBot="1" x14ac:dyDescent="0.4">
      <c r="C75" s="6" t="s">
        <v>140</v>
      </c>
      <c r="D75" s="55"/>
      <c r="T75" s="2">
        <f t="shared" si="1"/>
        <v>0</v>
      </c>
      <c r="U75" s="201">
        <f t="shared" si="12"/>
        <v>0</v>
      </c>
      <c r="V75" s="201" t="str">
        <f t="shared" si="12"/>
        <v/>
      </c>
      <c r="W75" s="201">
        <f t="shared" si="23"/>
        <v>0</v>
      </c>
    </row>
    <row r="76" spans="3:23" ht="13.15" hidden="1" thickBot="1" x14ac:dyDescent="0.4">
      <c r="D76" s="55"/>
      <c r="E76" s="2" t="s">
        <v>6</v>
      </c>
      <c r="T76" s="2">
        <f t="shared" si="1"/>
        <v>0</v>
      </c>
      <c r="U76" s="201">
        <f t="shared" si="12"/>
        <v>0</v>
      </c>
      <c r="V76" s="201" t="str">
        <f t="shared" si="12"/>
        <v/>
      </c>
      <c r="W76" s="201">
        <f t="shared" si="23"/>
        <v>0</v>
      </c>
    </row>
    <row r="77" spans="3:23" ht="13.15" hidden="1" thickBot="1" x14ac:dyDescent="0.4">
      <c r="D77" s="55"/>
      <c r="E77" s="2" t="s">
        <v>7</v>
      </c>
      <c r="T77" s="2">
        <f t="shared" ref="T77:T87" si="36">SUM(R77:S77)</f>
        <v>0</v>
      </c>
      <c r="U77" s="201">
        <f t="shared" si="12"/>
        <v>0</v>
      </c>
      <c r="V77" s="201" t="str">
        <f t="shared" si="12"/>
        <v/>
      </c>
      <c r="W77" s="201">
        <f t="shared" si="23"/>
        <v>0</v>
      </c>
    </row>
    <row r="78" spans="3:23" ht="13.15" hidden="1" thickBot="1" x14ac:dyDescent="0.4">
      <c r="D78" s="55"/>
      <c r="E78" s="2" t="s">
        <v>8</v>
      </c>
      <c r="T78" s="2">
        <f t="shared" si="36"/>
        <v>0</v>
      </c>
      <c r="U78" s="201">
        <f t="shared" si="12"/>
        <v>0</v>
      </c>
      <c r="V78" s="201" t="str">
        <f t="shared" si="12"/>
        <v/>
      </c>
      <c r="W78" s="201">
        <f t="shared" si="23"/>
        <v>0</v>
      </c>
    </row>
    <row r="79" spans="3:23" ht="13.15" hidden="1" thickBot="1" x14ac:dyDescent="0.4">
      <c r="D79" s="55"/>
      <c r="E79" s="2" t="s">
        <v>9</v>
      </c>
      <c r="T79" s="2">
        <f t="shared" si="36"/>
        <v>0</v>
      </c>
      <c r="U79" s="201">
        <f t="shared" si="12"/>
        <v>0</v>
      </c>
      <c r="V79" s="201" t="str">
        <f t="shared" si="12"/>
        <v/>
      </c>
      <c r="W79" s="201">
        <f t="shared" si="23"/>
        <v>0</v>
      </c>
    </row>
    <row r="80" spans="3:23" ht="13.15" hidden="1" thickBot="1" x14ac:dyDescent="0.4">
      <c r="D80" s="55"/>
      <c r="E80" s="2" t="s">
        <v>10</v>
      </c>
      <c r="T80" s="2">
        <f t="shared" si="36"/>
        <v>0</v>
      </c>
      <c r="U80" s="201">
        <f t="shared" si="12"/>
        <v>0</v>
      </c>
      <c r="V80" s="201" t="str">
        <f t="shared" si="12"/>
        <v/>
      </c>
      <c r="W80" s="201">
        <f t="shared" si="23"/>
        <v>0</v>
      </c>
    </row>
    <row r="81" spans="2:32" ht="13.15" hidden="1" thickBot="1" x14ac:dyDescent="0.4">
      <c r="C81" s="6" t="s">
        <v>139</v>
      </c>
      <c r="T81" s="2">
        <f t="shared" si="36"/>
        <v>0</v>
      </c>
      <c r="U81" s="201">
        <f t="shared" si="12"/>
        <v>0</v>
      </c>
      <c r="V81" s="201" t="str">
        <f t="shared" si="12"/>
        <v/>
      </c>
      <c r="W81" s="201">
        <f t="shared" si="23"/>
        <v>0</v>
      </c>
    </row>
    <row r="82" spans="2:32" ht="13.15" hidden="1" thickBot="1" x14ac:dyDescent="0.4">
      <c r="E82" s="2" t="s">
        <v>6</v>
      </c>
      <c r="T82" s="2">
        <f t="shared" si="36"/>
        <v>0</v>
      </c>
      <c r="U82" s="201">
        <f t="shared" si="12"/>
        <v>0</v>
      </c>
      <c r="V82" s="201" t="str">
        <f t="shared" si="12"/>
        <v/>
      </c>
      <c r="W82" s="201">
        <f t="shared" si="23"/>
        <v>0</v>
      </c>
    </row>
    <row r="83" spans="2:32" ht="13.15" hidden="1" thickBot="1" x14ac:dyDescent="0.4">
      <c r="E83" s="2" t="s">
        <v>7</v>
      </c>
      <c r="T83" s="2">
        <f t="shared" si="36"/>
        <v>0</v>
      </c>
      <c r="U83" s="201">
        <f t="shared" si="12"/>
        <v>0</v>
      </c>
      <c r="V83" s="201" t="str">
        <f t="shared" si="12"/>
        <v/>
      </c>
      <c r="W83" s="201">
        <f t="shared" si="23"/>
        <v>0</v>
      </c>
    </row>
    <row r="84" spans="2:32" ht="13.15" hidden="1" thickBot="1" x14ac:dyDescent="0.4">
      <c r="E84" s="2" t="s">
        <v>8</v>
      </c>
      <c r="T84" s="2">
        <f t="shared" si="36"/>
        <v>0</v>
      </c>
      <c r="U84" s="201">
        <f t="shared" si="12"/>
        <v>0</v>
      </c>
      <c r="V84" s="201" t="str">
        <f t="shared" si="12"/>
        <v/>
      </c>
      <c r="W84" s="201">
        <f t="shared" si="23"/>
        <v>0</v>
      </c>
    </row>
    <row r="85" spans="2:32" ht="13.15" hidden="1" thickBot="1" x14ac:dyDescent="0.4">
      <c r="E85" s="2" t="s">
        <v>9</v>
      </c>
      <c r="T85" s="2">
        <f t="shared" si="36"/>
        <v>0</v>
      </c>
      <c r="U85" s="201">
        <f t="shared" si="12"/>
        <v>0</v>
      </c>
      <c r="V85" s="201" t="str">
        <f t="shared" si="12"/>
        <v/>
      </c>
      <c r="W85" s="201">
        <f t="shared" si="23"/>
        <v>0</v>
      </c>
    </row>
    <row r="86" spans="2:32" ht="13.15" hidden="1" thickBot="1" x14ac:dyDescent="0.4">
      <c r="E86" s="2" t="s">
        <v>10</v>
      </c>
      <c r="T86" s="2">
        <f t="shared" si="36"/>
        <v>0</v>
      </c>
      <c r="U86" s="201">
        <f t="shared" si="12"/>
        <v>0</v>
      </c>
      <c r="V86" s="201" t="str">
        <f t="shared" si="12"/>
        <v/>
      </c>
      <c r="W86" s="201">
        <f t="shared" si="23"/>
        <v>0</v>
      </c>
    </row>
    <row r="87" spans="2:32" x14ac:dyDescent="0.35">
      <c r="B87" s="90" t="s">
        <v>205</v>
      </c>
      <c r="C87" s="90"/>
      <c r="D87" s="91"/>
      <c r="E87" s="92"/>
      <c r="F87" s="92">
        <f>F55-F56</f>
        <v>-298.37158475000001</v>
      </c>
      <c r="G87" s="92">
        <f t="shared" ref="G87:Q87" si="37">G55-G56</f>
        <v>-7.0652703960000061</v>
      </c>
      <c r="H87" s="92">
        <f t="shared" si="37"/>
        <v>50.144586036000035</v>
      </c>
      <c r="I87" s="92">
        <f t="shared" si="37"/>
        <v>54.39022784399998</v>
      </c>
      <c r="J87" s="92">
        <f t="shared" si="37"/>
        <v>281.48965635599995</v>
      </c>
      <c r="K87" s="92">
        <f t="shared" si="37"/>
        <v>213.46582294800027</v>
      </c>
      <c r="L87" s="92">
        <f t="shared" si="37"/>
        <v>100.44333021200011</v>
      </c>
      <c r="M87" s="92">
        <f t="shared" si="37"/>
        <v>-57.05615372500003</v>
      </c>
      <c r="N87" s="92">
        <f t="shared" si="37"/>
        <v>228.59613478099988</v>
      </c>
      <c r="O87" s="92">
        <f t="shared" si="37"/>
        <v>-266.08730697500005</v>
      </c>
      <c r="P87" s="92">
        <f t="shared" si="37"/>
        <v>-250.70645337499997</v>
      </c>
      <c r="Q87" s="92">
        <f t="shared" si="37"/>
        <v>-273.45653247500002</v>
      </c>
      <c r="R87" s="92">
        <f t="shared" ref="R87" si="38">SUMIFS($F87:$Q87,$F$7:$Q$7,"A")</f>
        <v>-224.21354351899998</v>
      </c>
      <c r="S87" s="92">
        <f t="shared" ref="S87" si="39">SUMIFS($F87:$Q87,$F$7:$Q$7,"B")</f>
        <v>0</v>
      </c>
      <c r="T87" s="92">
        <f t="shared" si="36"/>
        <v>-224.21354351899998</v>
      </c>
      <c r="U87" s="104">
        <f t="shared" si="12"/>
        <v>-2.0547258430362172E-2</v>
      </c>
      <c r="V87" s="104" t="str">
        <f t="shared" si="12"/>
        <v/>
      </c>
      <c r="W87" s="104">
        <f t="shared" si="23"/>
        <v>-2.0547258430362172E-2</v>
      </c>
      <c r="X87" s="92"/>
      <c r="Y87" s="92"/>
      <c r="Z87" s="92"/>
      <c r="AA87" s="92"/>
      <c r="AB87" s="92"/>
      <c r="AC87" s="92">
        <f>AC55-AC56</f>
        <v>1083.8320555381356</v>
      </c>
    </row>
    <row r="89" spans="2:32" x14ac:dyDescent="0.35">
      <c r="B89" s="6" t="s">
        <v>281</v>
      </c>
      <c r="AA89" s="200">
        <f>'Site list'!G6</f>
        <v>26000</v>
      </c>
    </row>
    <row r="90" spans="2:32" x14ac:dyDescent="0.35">
      <c r="B90" s="6" t="s">
        <v>280</v>
      </c>
      <c r="F90" s="200">
        <f>'Site list'!$G$6*(1-'Site list'!$H$6)/10/12</f>
        <v>86.666666666666671</v>
      </c>
      <c r="G90" s="200">
        <f>'Site list'!$G$6*(1-'Site list'!$H$6)/10/12</f>
        <v>86.666666666666671</v>
      </c>
      <c r="H90" s="200">
        <f>'Site list'!$G$6*(1-'Site list'!$H$6)/10/12</f>
        <v>86.666666666666671</v>
      </c>
      <c r="I90" s="200">
        <f>'Site list'!$G$6*(1-'Site list'!$H$6)/10/12</f>
        <v>86.666666666666671</v>
      </c>
      <c r="J90" s="200">
        <f>'Site list'!$G$6*(1-'Site list'!$H$6)/10/12</f>
        <v>86.666666666666671</v>
      </c>
      <c r="K90" s="200">
        <f>'Site list'!$G$6*(1-'Site list'!$H$6)/10/12</f>
        <v>86.666666666666671</v>
      </c>
      <c r="L90" s="200">
        <f>'Site list'!$G$6*(1-'Site list'!$H$6)/10/12</f>
        <v>86.666666666666671</v>
      </c>
      <c r="M90" s="200">
        <f>'Site list'!$G$6*(1-'Site list'!$H$6)/10/12</f>
        <v>86.666666666666671</v>
      </c>
      <c r="N90" s="200">
        <f>'Site list'!$G$6*(1-'Site list'!$H$6)/10/12</f>
        <v>86.666666666666671</v>
      </c>
      <c r="O90" s="200">
        <f>'Site list'!$G$6*(1-'Site list'!$H$6)/10/12</f>
        <v>86.666666666666671</v>
      </c>
      <c r="P90" s="200">
        <f>'Site list'!$G$6*(1-'Site list'!$H$6)/10/12</f>
        <v>86.666666666666671</v>
      </c>
      <c r="Q90" s="200">
        <f>'Site list'!$G$6*(1-'Site list'!$H$6)/10/12</f>
        <v>86.666666666666671</v>
      </c>
      <c r="AA90" s="204">
        <f>AA56</f>
        <v>0.4</v>
      </c>
      <c r="AC90" s="62">
        <f>AA89*AA90/10</f>
        <v>1040</v>
      </c>
    </row>
    <row r="92" spans="2:32" x14ac:dyDescent="0.35">
      <c r="B92" s="28" t="s">
        <v>99</v>
      </c>
    </row>
    <row r="93" spans="2:32" x14ac:dyDescent="0.35">
      <c r="C93" s="6" t="s">
        <v>137</v>
      </c>
    </row>
    <row r="94" spans="2:32" x14ac:dyDescent="0.35">
      <c r="E94" s="2" t="s">
        <v>6</v>
      </c>
      <c r="F94" s="84">
        <v>83</v>
      </c>
      <c r="G94" s="84">
        <v>154</v>
      </c>
      <c r="H94" s="84">
        <v>144</v>
      </c>
      <c r="I94" s="84">
        <v>193</v>
      </c>
      <c r="J94" s="313">
        <v>251</v>
      </c>
      <c r="K94" s="313">
        <v>125</v>
      </c>
      <c r="L94" s="313">
        <v>142</v>
      </c>
      <c r="M94" s="313">
        <v>179</v>
      </c>
      <c r="N94" s="313">
        <v>147</v>
      </c>
      <c r="O94" s="84">
        <v>100</v>
      </c>
      <c r="P94" s="84">
        <v>92</v>
      </c>
      <c r="Q94" s="84">
        <v>85</v>
      </c>
      <c r="R94" s="57">
        <f t="shared" ref="R94:R96" si="40">SUMIFS($F94:$Q94,$F$7:$Q$7,"A")</f>
        <v>1695</v>
      </c>
      <c r="S94" s="57">
        <f t="shared" ref="S94:S96" si="41">SUMIFS($F94:$Q94,$F$7:$Q$7,"B")</f>
        <v>0</v>
      </c>
      <c r="T94" s="57">
        <f t="shared" ref="T94:T96" si="42">SUM(R94:S94)</f>
        <v>1695</v>
      </c>
      <c r="AC94" s="62">
        <f>15*26*12</f>
        <v>4680</v>
      </c>
      <c r="AD94" s="84"/>
      <c r="AE94" s="84">
        <f>T94-SUM(J94:L94)-N94</f>
        <v>1030</v>
      </c>
      <c r="AF94" s="201">
        <f>AE94/SUM($AE$94,$AE$96)</f>
        <v>0.29907084785133564</v>
      </c>
    </row>
    <row r="95" spans="2:32" x14ac:dyDescent="0.35">
      <c r="E95" s="2" t="s">
        <v>7</v>
      </c>
      <c r="J95" s="314"/>
      <c r="K95" s="314"/>
      <c r="L95" s="314"/>
      <c r="M95" s="314"/>
      <c r="N95" s="314"/>
      <c r="R95" s="57">
        <f t="shared" si="40"/>
        <v>0</v>
      </c>
      <c r="S95" s="57">
        <f t="shared" si="41"/>
        <v>0</v>
      </c>
      <c r="T95" s="57">
        <f t="shared" si="42"/>
        <v>0</v>
      </c>
    </row>
    <row r="96" spans="2:32" x14ac:dyDescent="0.35">
      <c r="E96" s="2" t="s">
        <v>8</v>
      </c>
      <c r="F96" s="84">
        <v>51</v>
      </c>
      <c r="G96" s="84">
        <v>503</v>
      </c>
      <c r="H96" s="84">
        <v>772</v>
      </c>
      <c r="I96" s="84">
        <v>693</v>
      </c>
      <c r="J96" s="313">
        <v>1741</v>
      </c>
      <c r="K96" s="313">
        <v>1815</v>
      </c>
      <c r="L96" s="313">
        <v>1237</v>
      </c>
      <c r="M96" s="313">
        <v>299</v>
      </c>
      <c r="N96" s="313">
        <v>1772</v>
      </c>
      <c r="O96" s="84">
        <v>31</v>
      </c>
      <c r="P96" s="84">
        <v>31</v>
      </c>
      <c r="Q96" s="84">
        <v>34</v>
      </c>
      <c r="R96" s="57">
        <f t="shared" si="40"/>
        <v>8979</v>
      </c>
      <c r="S96" s="57">
        <f t="shared" si="41"/>
        <v>0</v>
      </c>
      <c r="T96" s="57">
        <f t="shared" si="42"/>
        <v>8979</v>
      </c>
      <c r="AC96" s="62">
        <f>AC94*3/7</f>
        <v>2005.7142857142858</v>
      </c>
      <c r="AE96" s="84">
        <f>T96-SUM(J96:L96)-N96</f>
        <v>2414</v>
      </c>
      <c r="AF96" s="201">
        <f>AE96/SUM($AE$94,$AE$96)</f>
        <v>0.70092915214866436</v>
      </c>
    </row>
    <row r="97" spans="3:29" x14ac:dyDescent="0.35">
      <c r="E97" s="2" t="s">
        <v>9</v>
      </c>
    </row>
    <row r="98" spans="3:29" x14ac:dyDescent="0.35">
      <c r="E98" s="2" t="s">
        <v>10</v>
      </c>
    </row>
    <row r="99" spans="3:29" x14ac:dyDescent="0.35">
      <c r="D99" s="55" t="s">
        <v>134</v>
      </c>
      <c r="F99" s="84"/>
    </row>
    <row r="100" spans="3:29" x14ac:dyDescent="0.35">
      <c r="D100" s="55"/>
    </row>
    <row r="101" spans="3:29" x14ac:dyDescent="0.35">
      <c r="C101" s="6" t="s">
        <v>444</v>
      </c>
    </row>
    <row r="102" spans="3:29" x14ac:dyDescent="0.35">
      <c r="E102" s="2" t="s">
        <v>6</v>
      </c>
      <c r="F102" s="62">
        <f t="shared" ref="F102:Q102" si="43">F12*10^6/F94</f>
        <v>2142168.6746987952</v>
      </c>
      <c r="G102" s="62">
        <f t="shared" si="43"/>
        <v>2163636.3636363638</v>
      </c>
      <c r="H102" s="62">
        <f t="shared" si="43"/>
        <v>2115777.777777778</v>
      </c>
      <c r="I102" s="62">
        <f t="shared" si="43"/>
        <v>2089490.1554404146</v>
      </c>
      <c r="J102" s="62">
        <f t="shared" si="43"/>
        <v>2140757.3705179282</v>
      </c>
      <c r="K102" s="62">
        <f t="shared" si="43"/>
        <v>2049334.4000000001</v>
      </c>
      <c r="L102" s="62">
        <f t="shared" si="43"/>
        <v>2085915.4929577464</v>
      </c>
      <c r="M102" s="62">
        <f t="shared" si="43"/>
        <v>2103351.9553072625</v>
      </c>
      <c r="N102" s="62">
        <f t="shared" si="43"/>
        <v>2072274.1496598639</v>
      </c>
      <c r="O102" s="62">
        <f t="shared" si="43"/>
        <v>1859000</v>
      </c>
      <c r="P102" s="62">
        <f t="shared" si="43"/>
        <v>1893478.2608695652</v>
      </c>
      <c r="Q102" s="62">
        <f t="shared" si="43"/>
        <v>1829411.7647058824</v>
      </c>
      <c r="T102" s="57">
        <f>T12*10^6/T94</f>
        <v>2068061.8289085545</v>
      </c>
      <c r="U102" s="57"/>
      <c r="V102" s="57"/>
      <c r="AC102" s="62">
        <f>'Điểm hòa vốn'!H83</f>
        <v>2000000</v>
      </c>
    </row>
    <row r="103" spans="3:29" x14ac:dyDescent="0.35">
      <c r="E103" s="2" t="s">
        <v>7</v>
      </c>
      <c r="AC103" s="62"/>
    </row>
    <row r="104" spans="3:29" x14ac:dyDescent="0.35">
      <c r="E104" s="2" t="s">
        <v>8</v>
      </c>
      <c r="F104" s="62">
        <f t="shared" ref="F104:Q104" si="44">F14*10^6/F96</f>
        <v>1070588.2352941176</v>
      </c>
      <c r="G104" s="62">
        <f t="shared" si="44"/>
        <v>1371769.3836978131</v>
      </c>
      <c r="H104" s="62">
        <f t="shared" si="44"/>
        <v>1372020.725388601</v>
      </c>
      <c r="I104" s="62">
        <f t="shared" si="44"/>
        <v>1169175.7575757576</v>
      </c>
      <c r="J104" s="62">
        <f t="shared" si="44"/>
        <v>580553.47501435957</v>
      </c>
      <c r="K104" s="62">
        <f t="shared" si="44"/>
        <v>695939.94490358129</v>
      </c>
      <c r="L104" s="62">
        <f t="shared" si="44"/>
        <v>697624.09054163296</v>
      </c>
      <c r="M104" s="62">
        <f t="shared" si="44"/>
        <v>1143832.7759197324</v>
      </c>
      <c r="N104" s="62">
        <f t="shared" si="44"/>
        <v>681063.93905191869</v>
      </c>
      <c r="O104" s="62">
        <f t="shared" si="44"/>
        <v>1083870.9677419355</v>
      </c>
      <c r="P104" s="62">
        <f t="shared" si="44"/>
        <v>1129032.2580645161</v>
      </c>
      <c r="Q104" s="62">
        <f t="shared" si="44"/>
        <v>1129411.7647058824</v>
      </c>
      <c r="T104" s="57">
        <f>T14*10^6/T96</f>
        <v>824894.27553179651</v>
      </c>
      <c r="U104" s="57"/>
      <c r="V104" s="57"/>
      <c r="AC104" s="62">
        <f>'Điểm hòa vốn'!H84</f>
        <v>1000000</v>
      </c>
    </row>
    <row r="105" spans="3:29" x14ac:dyDescent="0.35">
      <c r="E105" s="2" t="s">
        <v>9</v>
      </c>
    </row>
    <row r="106" spans="3:29" x14ac:dyDescent="0.35">
      <c r="E106" s="2" t="s">
        <v>10</v>
      </c>
    </row>
    <row r="107" spans="3:29" x14ac:dyDescent="0.35">
      <c r="D107" s="55"/>
    </row>
    <row r="108" spans="3:29" x14ac:dyDescent="0.35">
      <c r="C108" s="6" t="s">
        <v>447</v>
      </c>
      <c r="D108" s="55"/>
    </row>
    <row r="109" spans="3:29" x14ac:dyDescent="0.35">
      <c r="D109" s="55"/>
      <c r="E109" s="2" t="s">
        <v>6</v>
      </c>
      <c r="F109" s="2">
        <f t="shared" ref="F109:Q109" si="45">30*9*60/20</f>
        <v>810</v>
      </c>
      <c r="G109" s="2">
        <f t="shared" si="45"/>
        <v>810</v>
      </c>
      <c r="H109" s="2">
        <f t="shared" si="45"/>
        <v>810</v>
      </c>
      <c r="I109" s="2">
        <f t="shared" si="45"/>
        <v>810</v>
      </c>
      <c r="J109" s="2">
        <f t="shared" si="45"/>
        <v>810</v>
      </c>
      <c r="K109" s="2">
        <f t="shared" si="45"/>
        <v>810</v>
      </c>
      <c r="L109" s="2">
        <f t="shared" si="45"/>
        <v>810</v>
      </c>
      <c r="M109" s="2">
        <f t="shared" si="45"/>
        <v>810</v>
      </c>
      <c r="N109" s="2">
        <f t="shared" si="45"/>
        <v>810</v>
      </c>
      <c r="O109" s="2">
        <f t="shared" si="45"/>
        <v>810</v>
      </c>
      <c r="P109" s="2">
        <f t="shared" si="45"/>
        <v>810</v>
      </c>
      <c r="Q109" s="2">
        <f t="shared" si="45"/>
        <v>810</v>
      </c>
      <c r="T109" s="2">
        <f>SUM(F109:Q109)</f>
        <v>9720</v>
      </c>
    </row>
    <row r="110" spans="3:29" x14ac:dyDescent="0.35">
      <c r="D110" s="55"/>
      <c r="E110" s="2" t="s">
        <v>7</v>
      </c>
    </row>
    <row r="111" spans="3:29" x14ac:dyDescent="0.35">
      <c r="D111" s="55"/>
      <c r="E111" s="2" t="s">
        <v>8</v>
      </c>
      <c r="F111" s="2">
        <f t="shared" ref="F111:Q111" si="46">30*9*60/10</f>
        <v>1620</v>
      </c>
      <c r="G111" s="2">
        <f t="shared" si="46"/>
        <v>1620</v>
      </c>
      <c r="H111" s="2">
        <f t="shared" si="46"/>
        <v>1620</v>
      </c>
      <c r="I111" s="2">
        <f t="shared" si="46"/>
        <v>1620</v>
      </c>
      <c r="J111" s="2">
        <f t="shared" si="46"/>
        <v>1620</v>
      </c>
      <c r="K111" s="2">
        <f t="shared" si="46"/>
        <v>1620</v>
      </c>
      <c r="L111" s="2">
        <f t="shared" si="46"/>
        <v>1620</v>
      </c>
      <c r="M111" s="2">
        <f t="shared" si="46"/>
        <v>1620</v>
      </c>
      <c r="N111" s="2">
        <f t="shared" si="46"/>
        <v>1620</v>
      </c>
      <c r="O111" s="2">
        <f t="shared" si="46"/>
        <v>1620</v>
      </c>
      <c r="P111" s="2">
        <f t="shared" si="46"/>
        <v>1620</v>
      </c>
      <c r="Q111" s="2">
        <f t="shared" si="46"/>
        <v>1620</v>
      </c>
      <c r="T111" s="2">
        <f>SUM(F111:Q111)</f>
        <v>19440</v>
      </c>
    </row>
    <row r="112" spans="3:29" x14ac:dyDescent="0.35">
      <c r="D112" s="55"/>
      <c r="E112" s="2" t="s">
        <v>9</v>
      </c>
    </row>
    <row r="113" spans="3:29" x14ac:dyDescent="0.35">
      <c r="D113" s="55"/>
      <c r="E113" s="2" t="s">
        <v>10</v>
      </c>
    </row>
    <row r="114" spans="3:29" x14ac:dyDescent="0.35">
      <c r="C114" s="6" t="s">
        <v>139</v>
      </c>
    </row>
    <row r="115" spans="3:29" x14ac:dyDescent="0.35">
      <c r="E115" s="2" t="s">
        <v>6</v>
      </c>
      <c r="F115" s="201">
        <f t="shared" ref="F115:Q115" si="47">F94/F109</f>
        <v>0.10246913580246914</v>
      </c>
      <c r="G115" s="201">
        <f t="shared" si="47"/>
        <v>0.19012345679012346</v>
      </c>
      <c r="H115" s="201">
        <f t="shared" si="47"/>
        <v>0.17777777777777778</v>
      </c>
      <c r="I115" s="201">
        <f t="shared" si="47"/>
        <v>0.2382716049382716</v>
      </c>
      <c r="J115" s="201">
        <f t="shared" si="47"/>
        <v>0.30987654320987656</v>
      </c>
      <c r="K115" s="201">
        <f t="shared" si="47"/>
        <v>0.15432098765432098</v>
      </c>
      <c r="L115" s="201">
        <f t="shared" si="47"/>
        <v>0.17530864197530865</v>
      </c>
      <c r="M115" s="201">
        <f t="shared" si="47"/>
        <v>0.22098765432098766</v>
      </c>
      <c r="N115" s="201">
        <f t="shared" si="47"/>
        <v>0.18148148148148149</v>
      </c>
      <c r="O115" s="201">
        <f t="shared" si="47"/>
        <v>0.12345679012345678</v>
      </c>
      <c r="P115" s="201">
        <f t="shared" si="47"/>
        <v>0.11358024691358025</v>
      </c>
      <c r="Q115" s="201">
        <f t="shared" si="47"/>
        <v>0.10493827160493827</v>
      </c>
      <c r="T115" s="201">
        <f>T94/T109</f>
        <v>0.17438271604938271</v>
      </c>
      <c r="U115" s="201"/>
      <c r="V115" s="201"/>
      <c r="AC115" s="97">
        <f>MAX(F115:Q115)</f>
        <v>0.30987654320987656</v>
      </c>
    </row>
    <row r="116" spans="3:29" x14ac:dyDescent="0.35">
      <c r="E116" s="2" t="s">
        <v>7</v>
      </c>
    </row>
    <row r="117" spans="3:29" x14ac:dyDescent="0.35">
      <c r="E117" s="2" t="s">
        <v>8</v>
      </c>
      <c r="F117" s="201">
        <f t="shared" ref="F117:Q117" si="48">F96/F111</f>
        <v>3.1481481481481478E-2</v>
      </c>
      <c r="G117" s="201">
        <f t="shared" si="48"/>
        <v>0.31049382716049384</v>
      </c>
      <c r="H117" s="201">
        <f t="shared" si="48"/>
        <v>0.47654320987654319</v>
      </c>
      <c r="I117" s="201">
        <f t="shared" si="48"/>
        <v>0.42777777777777776</v>
      </c>
      <c r="J117" s="201">
        <f t="shared" si="48"/>
        <v>1.0746913580246913</v>
      </c>
      <c r="K117" s="201">
        <f t="shared" si="48"/>
        <v>1.1203703703703705</v>
      </c>
      <c r="L117" s="201">
        <f t="shared" si="48"/>
        <v>0.76358024691358029</v>
      </c>
      <c r="M117" s="201">
        <f t="shared" si="48"/>
        <v>0.1845679012345679</v>
      </c>
      <c r="N117" s="201">
        <f t="shared" si="48"/>
        <v>1.0938271604938272</v>
      </c>
      <c r="O117" s="201">
        <f t="shared" si="48"/>
        <v>1.9135802469135803E-2</v>
      </c>
      <c r="P117" s="201">
        <f t="shared" si="48"/>
        <v>1.9135802469135803E-2</v>
      </c>
      <c r="Q117" s="201">
        <f t="shared" si="48"/>
        <v>2.0987654320987655E-2</v>
      </c>
      <c r="T117" s="201">
        <f>T96/T111</f>
        <v>0.46188271604938269</v>
      </c>
      <c r="U117" s="201"/>
      <c r="V117" s="201"/>
      <c r="AC117" s="97">
        <v>0.3</v>
      </c>
    </row>
    <row r="118" spans="3:29" x14ac:dyDescent="0.35">
      <c r="E118" s="2" t="s">
        <v>9</v>
      </c>
    </row>
    <row r="119" spans="3:29" x14ac:dyDescent="0.35">
      <c r="E119" s="2" t="s">
        <v>10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38B2-9DDC-4765-9B26-6DCAF3ACE188}">
  <dimension ref="B3:AB80"/>
  <sheetViews>
    <sheetView zoomScale="85" zoomScaleNormal="85" workbookViewId="0">
      <pane xSplit="5" ySplit="9" topLeftCell="F12" activePane="bottomRight" state="frozen"/>
      <selection activeCell="H24" sqref="H24"/>
      <selection pane="topRight" activeCell="H24" sqref="H24"/>
      <selection pane="bottomLeft" activeCell="H24" sqref="H24"/>
      <selection pane="bottomRight" activeCell="Q3" sqref="Q3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37.86328125" style="2" customWidth="1"/>
    <col min="6" max="16" width="10.1328125" style="2" customWidth="1" outlineLevel="1"/>
    <col min="17" max="17" width="10.265625" style="2" bestFit="1" customWidth="1"/>
    <col min="18" max="18" width="11.1328125" style="2" customWidth="1"/>
    <col min="19" max="19" width="9.59765625" style="2" customWidth="1"/>
    <col min="20" max="20" width="7.73046875" style="2" customWidth="1"/>
    <col min="21" max="21" width="7.3984375" style="2" customWidth="1"/>
    <col min="22" max="22" width="6" style="2" customWidth="1"/>
    <col min="23" max="23" width="6.73046875" style="2" customWidth="1"/>
    <col min="24" max="25" width="11.3984375" style="2" customWidth="1"/>
    <col min="26" max="26" width="12.86328125" style="2" customWidth="1"/>
    <col min="27" max="27" width="13.1328125" style="2" customWidth="1"/>
    <col min="28" max="28" width="9.1328125" style="2" customWidth="1"/>
    <col min="29" max="16384" width="9.1328125" style="2"/>
  </cols>
  <sheetData>
    <row r="3" spans="2:28" x14ac:dyDescent="0.35">
      <c r="H3" s="60"/>
    </row>
    <row r="4" spans="2:28" x14ac:dyDescent="0.35">
      <c r="B4" s="2" t="s">
        <v>25</v>
      </c>
    </row>
    <row r="6" spans="2:28" x14ac:dyDescent="0.35">
      <c r="B6" s="27" t="s">
        <v>135</v>
      </c>
    </row>
    <row r="7" spans="2:28" s="6" customFormat="1" x14ac:dyDescent="0.35">
      <c r="B7" s="6" t="s">
        <v>219</v>
      </c>
      <c r="F7" s="74" t="s">
        <v>141</v>
      </c>
      <c r="G7" s="74" t="s">
        <v>141</v>
      </c>
      <c r="H7" s="74" t="s">
        <v>141</v>
      </c>
      <c r="I7" s="74" t="s">
        <v>141</v>
      </c>
      <c r="J7" s="74" t="s">
        <v>141</v>
      </c>
      <c r="K7" s="74" t="s">
        <v>141</v>
      </c>
      <c r="L7" s="74" t="s">
        <v>141</v>
      </c>
      <c r="M7" s="74" t="s">
        <v>141</v>
      </c>
      <c r="N7" s="74" t="s">
        <v>141</v>
      </c>
      <c r="O7" s="74" t="s">
        <v>141</v>
      </c>
      <c r="P7" s="74" t="s">
        <v>141</v>
      </c>
      <c r="Q7" s="74" t="s">
        <v>141</v>
      </c>
    </row>
    <row r="8" spans="2:28" x14ac:dyDescent="0.35">
      <c r="B8" s="32" t="s">
        <v>55</v>
      </c>
      <c r="F8" s="32" t="s">
        <v>52</v>
      </c>
      <c r="R8" s="381" t="s">
        <v>622</v>
      </c>
      <c r="S8" s="380"/>
      <c r="T8" s="380"/>
      <c r="U8" s="381" t="s">
        <v>487</v>
      </c>
      <c r="V8" s="380"/>
      <c r="W8" s="380"/>
      <c r="X8" s="381" t="s">
        <v>505</v>
      </c>
      <c r="Y8" s="380"/>
    </row>
    <row r="9" spans="2:28" ht="13.5" x14ac:dyDescent="0.35">
      <c r="B9" s="45" t="s">
        <v>101</v>
      </c>
      <c r="F9" s="61">
        <v>1</v>
      </c>
      <c r="G9" s="61">
        <v>2</v>
      </c>
      <c r="H9" s="61">
        <v>3</v>
      </c>
      <c r="I9" s="61">
        <v>4</v>
      </c>
      <c r="J9" s="61">
        <v>5</v>
      </c>
      <c r="K9" s="61">
        <v>6</v>
      </c>
      <c r="L9" s="61">
        <v>7</v>
      </c>
      <c r="M9" s="61">
        <v>8</v>
      </c>
      <c r="N9" s="61">
        <v>9</v>
      </c>
      <c r="O9" s="61">
        <v>10</v>
      </c>
      <c r="P9" s="61">
        <v>11</v>
      </c>
      <c r="Q9" s="61">
        <v>12</v>
      </c>
      <c r="R9" s="32" t="s">
        <v>4</v>
      </c>
      <c r="S9" s="32" t="s">
        <v>5</v>
      </c>
      <c r="T9" s="32" t="s">
        <v>3</v>
      </c>
      <c r="U9" s="114" t="s">
        <v>484</v>
      </c>
      <c r="V9" s="113" t="s">
        <v>485</v>
      </c>
      <c r="W9" s="113" t="s">
        <v>486</v>
      </c>
      <c r="X9" s="113" t="s">
        <v>498</v>
      </c>
      <c r="Y9" s="113" t="s">
        <v>499</v>
      </c>
      <c r="Z9" s="32"/>
      <c r="AA9" s="6"/>
      <c r="AB9" s="73"/>
    </row>
    <row r="10" spans="2:28" x14ac:dyDescent="0.35">
      <c r="B10" s="27" t="s">
        <v>11</v>
      </c>
      <c r="D10" s="6"/>
      <c r="Q10" s="58"/>
    </row>
    <row r="11" spans="2:28" x14ac:dyDescent="0.35">
      <c r="D11" s="6" t="s">
        <v>12</v>
      </c>
      <c r="Q11" s="58"/>
    </row>
    <row r="12" spans="2:28" outlineLevel="1" x14ac:dyDescent="0.35">
      <c r="E12" s="2" t="s">
        <v>6</v>
      </c>
      <c r="F12" s="62">
        <f>75600000/(10^6)</f>
        <v>75.599999999999994</v>
      </c>
      <c r="G12" s="62">
        <f>127900000/(10^6)</f>
        <v>127.9</v>
      </c>
      <c r="H12" s="62">
        <f>206550000/(10^6)</f>
        <v>206.55</v>
      </c>
      <c r="I12" s="62">
        <f>173900000/(10^6)</f>
        <v>173.9</v>
      </c>
      <c r="J12" s="62">
        <f>239200000/(10^6)</f>
        <v>239.2</v>
      </c>
      <c r="K12" s="62">
        <f>249200000/(10^6)</f>
        <v>249.2</v>
      </c>
      <c r="L12" s="62">
        <f>272400000/(10^6)</f>
        <v>272.39999999999998</v>
      </c>
      <c r="M12" s="62">
        <f>344600000/(10^6)</f>
        <v>344.6</v>
      </c>
      <c r="N12" s="62">
        <f>336300000/(10^6)</f>
        <v>336.3</v>
      </c>
      <c r="O12" s="62">
        <f>373300000/(10^6)</f>
        <v>373.3</v>
      </c>
      <c r="P12" s="62">
        <f>431700000/(10^6)</f>
        <v>431.7</v>
      </c>
      <c r="Q12" s="57">
        <v>448.3</v>
      </c>
      <c r="R12" s="62">
        <f>SUMIFS($F12:$Q12,$F$7:$Q$7,"A")</f>
        <v>3278.95</v>
      </c>
      <c r="S12" s="62">
        <f>SUMIFS($F12:$Q12,$F$7:$Q$7,"B")</f>
        <v>0</v>
      </c>
      <c r="T12" s="57">
        <f>SUM(R12:S12)</f>
        <v>3278.95</v>
      </c>
      <c r="U12" s="96">
        <f t="shared" ref="U12:V20" si="0">IFERROR(R12/R$17,"")</f>
        <v>0.9870260832919433</v>
      </c>
      <c r="V12" s="96" t="str">
        <f t="shared" si="0"/>
        <v/>
      </c>
      <c r="W12" s="96">
        <f>IFERROR(T12/T$17,"")</f>
        <v>0.9870260832919433</v>
      </c>
      <c r="X12" s="96"/>
      <c r="Y12" s="96"/>
      <c r="Z12" s="97"/>
      <c r="AB12" s="57"/>
    </row>
    <row r="13" spans="2:28" outlineLevel="1" x14ac:dyDescent="0.35">
      <c r="E13" s="2" t="s">
        <v>7</v>
      </c>
      <c r="F13" s="62">
        <f t="shared" ref="F13:P13" si="1">0/(10^6)</f>
        <v>0</v>
      </c>
      <c r="G13" s="62">
        <f t="shared" si="1"/>
        <v>0</v>
      </c>
      <c r="H13" s="62">
        <f t="shared" si="1"/>
        <v>0</v>
      </c>
      <c r="I13" s="62">
        <f t="shared" si="1"/>
        <v>0</v>
      </c>
      <c r="J13" s="62">
        <f t="shared" si="1"/>
        <v>0</v>
      </c>
      <c r="K13" s="62">
        <f t="shared" si="1"/>
        <v>0</v>
      </c>
      <c r="L13" s="62">
        <f t="shared" si="1"/>
        <v>0</v>
      </c>
      <c r="M13" s="62">
        <f t="shared" si="1"/>
        <v>0</v>
      </c>
      <c r="N13" s="62">
        <f t="shared" si="1"/>
        <v>0</v>
      </c>
      <c r="O13" s="62">
        <f t="shared" si="1"/>
        <v>0</v>
      </c>
      <c r="P13" s="62">
        <f t="shared" si="1"/>
        <v>0</v>
      </c>
      <c r="Q13" s="57">
        <f>P13</f>
        <v>0</v>
      </c>
      <c r="R13" s="62">
        <f t="shared" ref="R13:R56" si="2">SUMIFS($F13:$Q13,$F$7:$Q$7,"A")</f>
        <v>0</v>
      </c>
      <c r="S13" s="62">
        <f t="shared" ref="S13:S56" si="3">SUMIFS($F13:$Q13,$F$7:$Q$7,"B")</f>
        <v>0</v>
      </c>
      <c r="T13" s="57">
        <f t="shared" ref="T13:T56" si="4">SUM(R13:S13)</f>
        <v>0</v>
      </c>
      <c r="U13" s="96">
        <f t="shared" si="0"/>
        <v>0</v>
      </c>
      <c r="V13" s="96" t="str">
        <f t="shared" si="0"/>
        <v/>
      </c>
      <c r="W13" s="96">
        <f t="shared" ref="W13:W20" si="5">IFERROR(T13/T$17,"")</f>
        <v>0</v>
      </c>
      <c r="X13" s="96"/>
      <c r="Y13" s="96"/>
      <c r="Z13" s="97"/>
      <c r="AB13" s="57"/>
    </row>
    <row r="14" spans="2:28" outlineLevel="1" x14ac:dyDescent="0.35">
      <c r="E14" s="2" t="s">
        <v>8</v>
      </c>
      <c r="F14" s="62">
        <f t="shared" ref="F14:K14" si="6">0/(10^6)</f>
        <v>0</v>
      </c>
      <c r="G14" s="62">
        <f t="shared" si="6"/>
        <v>0</v>
      </c>
      <c r="H14" s="62">
        <f t="shared" si="6"/>
        <v>0</v>
      </c>
      <c r="I14" s="62">
        <f t="shared" si="6"/>
        <v>0</v>
      </c>
      <c r="J14" s="62">
        <f t="shared" si="6"/>
        <v>0</v>
      </c>
      <c r="K14" s="62">
        <f t="shared" si="6"/>
        <v>0</v>
      </c>
      <c r="L14" s="62">
        <f>1500000/(10^6)</f>
        <v>1.5</v>
      </c>
      <c r="M14" s="62">
        <f>1000000/(10^6)</f>
        <v>1</v>
      </c>
      <c r="N14" s="62">
        <f>12250000/(10^6)</f>
        <v>12.25</v>
      </c>
      <c r="O14" s="62">
        <f>4500000/(10^6)</f>
        <v>4.5</v>
      </c>
      <c r="P14" s="62">
        <f>750000/(10^6)</f>
        <v>0.75</v>
      </c>
      <c r="Q14" s="57">
        <v>15</v>
      </c>
      <c r="R14" s="62">
        <f t="shared" si="2"/>
        <v>35</v>
      </c>
      <c r="S14" s="62">
        <f t="shared" si="3"/>
        <v>0</v>
      </c>
      <c r="T14" s="57">
        <f t="shared" si="4"/>
        <v>35</v>
      </c>
      <c r="U14" s="96">
        <f t="shared" si="0"/>
        <v>1.05356632199997E-2</v>
      </c>
      <c r="V14" s="96" t="str">
        <f t="shared" si="0"/>
        <v/>
      </c>
      <c r="W14" s="96">
        <f t="shared" si="5"/>
        <v>1.05356632199997E-2</v>
      </c>
      <c r="X14" s="96"/>
      <c r="Y14" s="96"/>
      <c r="Z14" s="97"/>
      <c r="AB14" s="57"/>
    </row>
    <row r="15" spans="2:28" outlineLevel="1" x14ac:dyDescent="0.35">
      <c r="E15" s="2" t="s">
        <v>9</v>
      </c>
      <c r="F15" s="62"/>
      <c r="G15" s="62"/>
      <c r="H15" s="62"/>
      <c r="I15" s="62"/>
      <c r="J15" s="62"/>
      <c r="K15" s="62"/>
      <c r="L15" s="62"/>
      <c r="M15" s="62"/>
      <c r="N15" s="284">
        <v>0.6</v>
      </c>
      <c r="O15" s="284">
        <v>3.15</v>
      </c>
      <c r="P15" s="284">
        <v>2.7</v>
      </c>
      <c r="Q15" s="238">
        <v>1.65</v>
      </c>
      <c r="R15" s="62">
        <f t="shared" si="2"/>
        <v>8.1</v>
      </c>
      <c r="S15" s="62">
        <f t="shared" si="3"/>
        <v>0</v>
      </c>
      <c r="T15" s="57">
        <f t="shared" si="4"/>
        <v>8.1</v>
      </c>
      <c r="U15" s="96">
        <f t="shared" si="0"/>
        <v>2.4382534880570731E-3</v>
      </c>
      <c r="V15" s="96" t="str">
        <f t="shared" si="0"/>
        <v/>
      </c>
      <c r="W15" s="96">
        <f t="shared" si="5"/>
        <v>2.4382534880570731E-3</v>
      </c>
      <c r="X15" s="96"/>
      <c r="Y15" s="96"/>
      <c r="Z15" s="97"/>
      <c r="AB15" s="57"/>
    </row>
    <row r="16" spans="2:28" outlineLevel="1" x14ac:dyDescent="0.35">
      <c r="E16" s="2" t="s">
        <v>10</v>
      </c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57">
        <f>P16</f>
        <v>0</v>
      </c>
      <c r="R16" s="62">
        <f t="shared" si="2"/>
        <v>0</v>
      </c>
      <c r="S16" s="62">
        <f t="shared" si="3"/>
        <v>0</v>
      </c>
      <c r="T16" s="57">
        <f t="shared" si="4"/>
        <v>0</v>
      </c>
      <c r="U16" s="96">
        <f t="shared" si="0"/>
        <v>0</v>
      </c>
      <c r="V16" s="96" t="str">
        <f t="shared" si="0"/>
        <v/>
      </c>
      <c r="W16" s="96">
        <f t="shared" si="5"/>
        <v>0</v>
      </c>
      <c r="X16" s="96"/>
      <c r="Y16" s="96"/>
      <c r="Z16" s="97"/>
      <c r="AB16" s="57"/>
    </row>
    <row r="17" spans="2:28" x14ac:dyDescent="0.35">
      <c r="D17" s="65" t="s">
        <v>13</v>
      </c>
      <c r="E17" s="66"/>
      <c r="F17" s="112">
        <f>SUM(F12:F16)</f>
        <v>75.599999999999994</v>
      </c>
      <c r="G17" s="112">
        <f t="shared" ref="G17:P17" si="7">SUM(G12:G16)</f>
        <v>127.9</v>
      </c>
      <c r="H17" s="112">
        <f t="shared" si="7"/>
        <v>206.55</v>
      </c>
      <c r="I17" s="112">
        <f t="shared" si="7"/>
        <v>173.9</v>
      </c>
      <c r="J17" s="112">
        <f t="shared" si="7"/>
        <v>239.2</v>
      </c>
      <c r="K17" s="112">
        <f t="shared" si="7"/>
        <v>249.2</v>
      </c>
      <c r="L17" s="112">
        <f t="shared" si="7"/>
        <v>273.89999999999998</v>
      </c>
      <c r="M17" s="112">
        <f t="shared" si="7"/>
        <v>345.6</v>
      </c>
      <c r="N17" s="112">
        <f t="shared" si="7"/>
        <v>349.15000000000003</v>
      </c>
      <c r="O17" s="112">
        <f t="shared" si="7"/>
        <v>380.95</v>
      </c>
      <c r="P17" s="112">
        <f t="shared" si="7"/>
        <v>435.15</v>
      </c>
      <c r="Q17" s="67">
        <f>SUM(Q12:Q16)</f>
        <v>464.95</v>
      </c>
      <c r="R17" s="67">
        <f t="shared" si="2"/>
        <v>3322.0499999999997</v>
      </c>
      <c r="S17" s="67">
        <f t="shared" si="3"/>
        <v>0</v>
      </c>
      <c r="T17" s="72">
        <f t="shared" si="4"/>
        <v>3322.0499999999997</v>
      </c>
      <c r="U17" s="98">
        <f t="shared" si="0"/>
        <v>1</v>
      </c>
      <c r="V17" s="98" t="str">
        <f t="shared" si="0"/>
        <v/>
      </c>
      <c r="W17" s="98">
        <f t="shared" si="5"/>
        <v>1</v>
      </c>
      <c r="X17" s="98"/>
      <c r="Y17" s="98"/>
      <c r="Z17" s="70"/>
      <c r="AA17" s="70"/>
      <c r="AB17" s="72"/>
    </row>
    <row r="18" spans="2:28" ht="13.15" thickBot="1" x14ac:dyDescent="0.4">
      <c r="B18" s="29"/>
      <c r="C18" s="29"/>
      <c r="D18" s="68" t="s">
        <v>19</v>
      </c>
      <c r="E18" s="68"/>
      <c r="F18" s="69">
        <v>0</v>
      </c>
      <c r="G18" s="69">
        <v>0</v>
      </c>
      <c r="H18" s="69">
        <v>0</v>
      </c>
      <c r="I18" s="69">
        <v>0</v>
      </c>
      <c r="J18" s="69">
        <v>0</v>
      </c>
      <c r="K18" s="69">
        <v>0</v>
      </c>
      <c r="L18" s="69">
        <v>0</v>
      </c>
      <c r="M18" s="69">
        <v>0</v>
      </c>
      <c r="N18" s="69">
        <v>0</v>
      </c>
      <c r="O18" s="69">
        <v>0</v>
      </c>
      <c r="P18" s="69">
        <v>0</v>
      </c>
      <c r="Q18" s="69">
        <v>0</v>
      </c>
      <c r="R18" s="69">
        <f t="shared" si="2"/>
        <v>0</v>
      </c>
      <c r="S18" s="69">
        <f t="shared" si="3"/>
        <v>0</v>
      </c>
      <c r="T18" s="69">
        <f t="shared" si="4"/>
        <v>0</v>
      </c>
      <c r="U18" s="422">
        <f t="shared" si="0"/>
        <v>0</v>
      </c>
      <c r="V18" s="422" t="str">
        <f t="shared" si="0"/>
        <v/>
      </c>
      <c r="W18" s="422">
        <f t="shared" si="5"/>
        <v>0</v>
      </c>
      <c r="X18" s="99"/>
      <c r="Y18" s="99"/>
      <c r="Z18" s="100"/>
      <c r="AA18" s="100"/>
      <c r="AB18" s="106"/>
    </row>
    <row r="19" spans="2:28" x14ac:dyDescent="0.35">
      <c r="B19" s="27" t="s">
        <v>20</v>
      </c>
      <c r="F19" s="71">
        <f t="shared" ref="F19:Q19" si="8">SUM(F17,F18)</f>
        <v>75.599999999999994</v>
      </c>
      <c r="G19" s="71">
        <f t="shared" si="8"/>
        <v>127.9</v>
      </c>
      <c r="H19" s="71">
        <f t="shared" si="8"/>
        <v>206.55</v>
      </c>
      <c r="I19" s="71">
        <f t="shared" si="8"/>
        <v>173.9</v>
      </c>
      <c r="J19" s="71">
        <f t="shared" si="8"/>
        <v>239.2</v>
      </c>
      <c r="K19" s="71">
        <f t="shared" si="8"/>
        <v>249.2</v>
      </c>
      <c r="L19" s="71">
        <f t="shared" si="8"/>
        <v>273.89999999999998</v>
      </c>
      <c r="M19" s="71">
        <f t="shared" si="8"/>
        <v>345.6</v>
      </c>
      <c r="N19" s="71">
        <f t="shared" si="8"/>
        <v>349.15000000000003</v>
      </c>
      <c r="O19" s="71">
        <f t="shared" si="8"/>
        <v>380.95</v>
      </c>
      <c r="P19" s="71">
        <f t="shared" si="8"/>
        <v>435.15</v>
      </c>
      <c r="Q19" s="71">
        <f t="shared" si="8"/>
        <v>464.95</v>
      </c>
      <c r="R19" s="71">
        <f t="shared" si="2"/>
        <v>3322.0499999999997</v>
      </c>
      <c r="S19" s="71">
        <f t="shared" si="3"/>
        <v>0</v>
      </c>
      <c r="T19" s="71">
        <f t="shared" si="4"/>
        <v>3322.0499999999997</v>
      </c>
      <c r="U19" s="96">
        <f t="shared" si="0"/>
        <v>1</v>
      </c>
      <c r="V19" s="96" t="str">
        <f t="shared" si="0"/>
        <v/>
      </c>
      <c r="W19" s="96">
        <f t="shared" si="5"/>
        <v>1</v>
      </c>
      <c r="X19" s="96"/>
      <c r="Y19" s="96"/>
      <c r="AB19" s="71"/>
    </row>
    <row r="20" spans="2:28" x14ac:dyDescent="0.35">
      <c r="B20" s="55" t="s">
        <v>21</v>
      </c>
      <c r="F20" s="62">
        <f>SUBTOTAL(9,F21:F25)</f>
        <v>0</v>
      </c>
      <c r="G20" s="62">
        <f t="shared" ref="G20:Q20" si="9">SUBTOTAL(9,G21:G25)</f>
        <v>25.58</v>
      </c>
      <c r="H20" s="62">
        <f t="shared" si="9"/>
        <v>42.75</v>
      </c>
      <c r="I20" s="62">
        <f t="shared" si="9"/>
        <v>35.32</v>
      </c>
      <c r="J20" s="62">
        <f t="shared" si="9"/>
        <v>56.66</v>
      </c>
      <c r="K20" s="62">
        <f t="shared" si="9"/>
        <v>50.02</v>
      </c>
      <c r="L20" s="62">
        <f t="shared" si="9"/>
        <v>54.66</v>
      </c>
      <c r="M20" s="62">
        <f t="shared" si="9"/>
        <v>76.5</v>
      </c>
      <c r="N20" s="62">
        <f t="shared" si="9"/>
        <v>70.37</v>
      </c>
      <c r="O20" s="62">
        <f t="shared" si="9"/>
        <v>77.900000000000006</v>
      </c>
      <c r="P20" s="62">
        <f t="shared" si="9"/>
        <v>92.4</v>
      </c>
      <c r="Q20" s="62">
        <f t="shared" si="9"/>
        <v>93.32</v>
      </c>
      <c r="R20" s="62">
        <f t="shared" si="2"/>
        <v>675.48</v>
      </c>
      <c r="S20" s="62">
        <f t="shared" si="3"/>
        <v>0</v>
      </c>
      <c r="T20" s="57">
        <f t="shared" si="4"/>
        <v>675.48</v>
      </c>
      <c r="U20" s="201">
        <f t="shared" si="0"/>
        <v>0.20333227976701135</v>
      </c>
      <c r="V20" s="201" t="str">
        <f t="shared" si="0"/>
        <v/>
      </c>
      <c r="W20" s="201">
        <f t="shared" si="5"/>
        <v>0.20333227976701135</v>
      </c>
      <c r="AB20" s="62"/>
    </row>
    <row r="21" spans="2:28" x14ac:dyDescent="0.35">
      <c r="C21" s="479"/>
      <c r="D21" s="513"/>
      <c r="E21" s="494" t="s">
        <v>6</v>
      </c>
      <c r="F21" s="532">
        <f>0/(10^6)</f>
        <v>0</v>
      </c>
      <c r="G21" s="482">
        <f>25580000/(10^6)</f>
        <v>25.58</v>
      </c>
      <c r="H21" s="482">
        <f>42750000/(10^6)</f>
        <v>42.75</v>
      </c>
      <c r="I21" s="482">
        <f>35320000/(10^6)</f>
        <v>35.32</v>
      </c>
      <c r="J21" s="482">
        <f>56660000/(10^6)</f>
        <v>56.66</v>
      </c>
      <c r="K21" s="482">
        <f>50020000/(10^6)</f>
        <v>50.02</v>
      </c>
      <c r="L21" s="482">
        <f>54660000/(10^6)</f>
        <v>54.66</v>
      </c>
      <c r="M21" s="482">
        <f>76500000/(10^6)</f>
        <v>76.5</v>
      </c>
      <c r="N21" s="482">
        <f>70370000/(10^6)</f>
        <v>70.37</v>
      </c>
      <c r="O21" s="482">
        <f>77900000/(10^6)</f>
        <v>77.900000000000006</v>
      </c>
      <c r="P21" s="482">
        <f>92400000/(10^6)</f>
        <v>92.4</v>
      </c>
      <c r="Q21" s="482">
        <f>93320000/(10^6)</f>
        <v>93.32</v>
      </c>
      <c r="R21" s="482">
        <f t="shared" si="2"/>
        <v>675.48</v>
      </c>
      <c r="S21" s="482">
        <f t="shared" si="3"/>
        <v>0</v>
      </c>
      <c r="T21" s="515">
        <f t="shared" ref="T21:T25" si="10">SUM(R21:S21)</f>
        <v>675.48</v>
      </c>
      <c r="U21" s="533">
        <f t="shared" ref="U21:V25" si="11">IFERROR(R21/R12,"")</f>
        <v>0.20600497110355451</v>
      </c>
      <c r="V21" s="533" t="str">
        <f t="shared" si="11"/>
        <v/>
      </c>
      <c r="W21" s="533">
        <f>IFERROR(T21/T12,"")</f>
        <v>0.20600497110355451</v>
      </c>
      <c r="X21" s="513"/>
      <c r="Y21" s="516"/>
      <c r="AB21" s="62"/>
    </row>
    <row r="22" spans="2:28" x14ac:dyDescent="0.35">
      <c r="C22" s="485"/>
      <c r="E22" s="442" t="s">
        <v>7</v>
      </c>
      <c r="F22" s="517"/>
      <c r="G22" s="517"/>
      <c r="H22" s="517"/>
      <c r="I22" s="517"/>
      <c r="J22" s="517"/>
      <c r="K22" s="517"/>
      <c r="L22" s="517"/>
      <c r="M22" s="517"/>
      <c r="N22" s="517"/>
      <c r="O22" s="517"/>
      <c r="P22" s="517"/>
      <c r="R22" s="195">
        <f t="shared" si="2"/>
        <v>0</v>
      </c>
      <c r="S22" s="195">
        <f t="shared" si="3"/>
        <v>0</v>
      </c>
      <c r="T22" s="57">
        <f t="shared" si="10"/>
        <v>0</v>
      </c>
      <c r="U22" s="534" t="str">
        <f t="shared" si="11"/>
        <v/>
      </c>
      <c r="V22" s="534" t="str">
        <f t="shared" si="11"/>
        <v/>
      </c>
      <c r="W22" s="534" t="str">
        <f t="shared" ref="W22:W25" si="12">IFERROR(T22/T13,"")</f>
        <v/>
      </c>
      <c r="Y22" s="518"/>
      <c r="AB22" s="62"/>
    </row>
    <row r="23" spans="2:28" x14ac:dyDescent="0.35">
      <c r="C23" s="485"/>
      <c r="E23" s="442" t="s">
        <v>8</v>
      </c>
      <c r="F23" s="517"/>
      <c r="G23" s="517"/>
      <c r="H23" s="517"/>
      <c r="I23" s="517"/>
      <c r="J23" s="517"/>
      <c r="K23" s="517"/>
      <c r="L23" s="517"/>
      <c r="M23" s="517"/>
      <c r="N23" s="517"/>
      <c r="O23" s="517"/>
      <c r="P23" s="517"/>
      <c r="R23" s="195">
        <f t="shared" si="2"/>
        <v>0</v>
      </c>
      <c r="S23" s="195">
        <f t="shared" si="3"/>
        <v>0</v>
      </c>
      <c r="T23" s="57">
        <f t="shared" si="10"/>
        <v>0</v>
      </c>
      <c r="U23" s="534">
        <f t="shared" si="11"/>
        <v>0</v>
      </c>
      <c r="V23" s="534" t="str">
        <f t="shared" si="11"/>
        <v/>
      </c>
      <c r="W23" s="534">
        <f t="shared" si="12"/>
        <v>0</v>
      </c>
      <c r="Y23" s="518"/>
      <c r="AB23" s="62"/>
    </row>
    <row r="24" spans="2:28" x14ac:dyDescent="0.35">
      <c r="C24" s="485"/>
      <c r="E24" s="442" t="s">
        <v>9</v>
      </c>
      <c r="F24" s="517"/>
      <c r="G24" s="517"/>
      <c r="H24" s="517"/>
      <c r="I24" s="517"/>
      <c r="J24" s="517"/>
      <c r="K24" s="517"/>
      <c r="L24" s="517"/>
      <c r="M24" s="517"/>
      <c r="N24" s="517"/>
      <c r="O24" s="517"/>
      <c r="P24" s="517"/>
      <c r="R24" s="195">
        <f t="shared" si="2"/>
        <v>0</v>
      </c>
      <c r="S24" s="195">
        <f t="shared" si="3"/>
        <v>0</v>
      </c>
      <c r="T24" s="57">
        <f t="shared" si="10"/>
        <v>0</v>
      </c>
      <c r="U24" s="534">
        <f t="shared" si="11"/>
        <v>0</v>
      </c>
      <c r="V24" s="534" t="str">
        <f t="shared" si="11"/>
        <v/>
      </c>
      <c r="W24" s="534">
        <f t="shared" si="12"/>
        <v>0</v>
      </c>
      <c r="Y24" s="518"/>
      <c r="AB24" s="62"/>
    </row>
    <row r="25" spans="2:28" x14ac:dyDescent="0.35">
      <c r="C25" s="487"/>
      <c r="D25" s="519"/>
      <c r="E25" s="507" t="s">
        <v>10</v>
      </c>
      <c r="F25" s="520"/>
      <c r="G25" s="520"/>
      <c r="H25" s="520"/>
      <c r="I25" s="520"/>
      <c r="J25" s="520"/>
      <c r="K25" s="520"/>
      <c r="L25" s="520"/>
      <c r="M25" s="520"/>
      <c r="N25" s="520"/>
      <c r="O25" s="520"/>
      <c r="P25" s="520"/>
      <c r="Q25" s="519"/>
      <c r="R25" s="490">
        <f t="shared" si="2"/>
        <v>0</v>
      </c>
      <c r="S25" s="490">
        <f t="shared" si="3"/>
        <v>0</v>
      </c>
      <c r="T25" s="521">
        <f t="shared" si="10"/>
        <v>0</v>
      </c>
      <c r="U25" s="535" t="str">
        <f t="shared" si="11"/>
        <v/>
      </c>
      <c r="V25" s="535" t="str">
        <f t="shared" si="11"/>
        <v/>
      </c>
      <c r="W25" s="535" t="str">
        <f t="shared" si="12"/>
        <v/>
      </c>
      <c r="X25" s="519"/>
      <c r="Y25" s="522"/>
      <c r="AB25" s="62"/>
    </row>
    <row r="26" spans="2:28" x14ac:dyDescent="0.35">
      <c r="B26" s="27" t="s">
        <v>177</v>
      </c>
    </row>
    <row r="27" spans="2:28" x14ac:dyDescent="0.35">
      <c r="C27" s="2" t="s">
        <v>23</v>
      </c>
      <c r="F27" s="62">
        <f>2479500/(10^6)</f>
        <v>2.4794999999999998</v>
      </c>
      <c r="G27" s="62">
        <f>4075500/(10^6)</f>
        <v>4.0754999999999999</v>
      </c>
      <c r="H27" s="62">
        <f>6982500/(10^6)</f>
        <v>6.9824999999999999</v>
      </c>
      <c r="I27" s="62">
        <f>5671500/(10^6)</f>
        <v>5.6715</v>
      </c>
      <c r="J27" s="62">
        <f>7609500/(10^6)</f>
        <v>7.6094999999999997</v>
      </c>
      <c r="K27" s="62">
        <f>13025049/(10^6)</f>
        <v>13.025048999999999</v>
      </c>
      <c r="L27" s="62">
        <f>9199623/(10^6)</f>
        <v>9.1996230000000008</v>
      </c>
      <c r="M27" s="62">
        <f>11153324/(10^6)</f>
        <v>11.153324</v>
      </c>
      <c r="N27" s="62">
        <f>10855305/(10^6)</f>
        <v>10.855305</v>
      </c>
      <c r="O27" s="62">
        <f>11724031/(10^6)</f>
        <v>11.724031</v>
      </c>
      <c r="P27" s="62">
        <f>14041250/(10^6)</f>
        <v>14.04125</v>
      </c>
      <c r="Q27" s="238">
        <v>14.599017999999999</v>
      </c>
      <c r="R27" s="62">
        <f t="shared" si="2"/>
        <v>111.4161</v>
      </c>
      <c r="S27" s="62">
        <f t="shared" si="3"/>
        <v>0</v>
      </c>
      <c r="T27" s="57">
        <f t="shared" si="4"/>
        <v>111.4161</v>
      </c>
      <c r="U27" s="96">
        <f t="shared" ref="U27:U57" si="13">IFERROR(R27/R$17,"")</f>
        <v>3.3538357339594531E-2</v>
      </c>
      <c r="V27" s="96" t="str">
        <f t="shared" ref="V27:V57" si="14">IFERROR(S27/S$17,"")</f>
        <v/>
      </c>
      <c r="W27" s="96">
        <f t="shared" ref="W27:W57" si="15">IFERROR(T27/T$17,"")</f>
        <v>3.3538357339594531E-2</v>
      </c>
      <c r="X27" s="96"/>
      <c r="Y27" s="96"/>
      <c r="Z27" s="97"/>
      <c r="AB27" s="57"/>
    </row>
    <row r="28" spans="2:28" x14ac:dyDescent="0.35">
      <c r="C28" s="2" t="s">
        <v>143</v>
      </c>
      <c r="D28" s="6"/>
      <c r="F28" s="62">
        <f>4950000/(10^6)</f>
        <v>4.95</v>
      </c>
      <c r="G28" s="62">
        <f>7705000/(10^6)</f>
        <v>7.7050000000000001</v>
      </c>
      <c r="H28" s="62">
        <f>13110000/(10^6)</f>
        <v>13.11</v>
      </c>
      <c r="I28" s="62">
        <f>11040000/(10^6)</f>
        <v>11.04</v>
      </c>
      <c r="J28" s="62">
        <f>14145000/(10^6)</f>
        <v>14.145</v>
      </c>
      <c r="K28" s="62">
        <f>14950000/(10^6)</f>
        <v>14.95</v>
      </c>
      <c r="L28" s="62">
        <f>16790000/(10^6)</f>
        <v>16.79</v>
      </c>
      <c r="M28" s="62">
        <f>20930000/(10^6)</f>
        <v>20.93</v>
      </c>
      <c r="N28" s="62">
        <f>22174000/(10^6)</f>
        <v>22.173999999999999</v>
      </c>
      <c r="O28" s="62">
        <f>24512000/(10^6)</f>
        <v>24.512</v>
      </c>
      <c r="P28" s="62">
        <f>26995000/(10^6)</f>
        <v>26.995000000000001</v>
      </c>
      <c r="Q28" s="238">
        <v>29.89</v>
      </c>
      <c r="R28" s="62">
        <f t="shared" si="2"/>
        <v>207.19100000000003</v>
      </c>
      <c r="S28" s="62">
        <f t="shared" si="3"/>
        <v>0</v>
      </c>
      <c r="T28" s="57">
        <f t="shared" si="4"/>
        <v>207.19100000000003</v>
      </c>
      <c r="U28" s="96">
        <f t="shared" si="13"/>
        <v>6.2368417091855949E-2</v>
      </c>
      <c r="V28" s="96" t="str">
        <f t="shared" si="14"/>
        <v/>
      </c>
      <c r="W28" s="96">
        <f t="shared" si="15"/>
        <v>6.2368417091855949E-2</v>
      </c>
      <c r="X28" s="96"/>
      <c r="Y28" s="96"/>
      <c r="Z28" s="97"/>
      <c r="AB28" s="57"/>
    </row>
    <row r="29" spans="2:28" x14ac:dyDescent="0.35">
      <c r="C29" s="2" t="s">
        <v>24</v>
      </c>
      <c r="D29" s="6"/>
      <c r="F29" s="62">
        <f t="shared" ref="F29:K29" si="16">0/(10^6)</f>
        <v>0</v>
      </c>
      <c r="G29" s="62">
        <f t="shared" si="16"/>
        <v>0</v>
      </c>
      <c r="H29" s="62">
        <f t="shared" si="16"/>
        <v>0</v>
      </c>
      <c r="I29" s="62">
        <f t="shared" si="16"/>
        <v>0</v>
      </c>
      <c r="J29" s="62">
        <f t="shared" si="16"/>
        <v>0</v>
      </c>
      <c r="K29" s="62">
        <f t="shared" si="16"/>
        <v>0</v>
      </c>
      <c r="L29" s="62">
        <f>6292000/(10^6)</f>
        <v>6.2919999999999998</v>
      </c>
      <c r="M29" s="62">
        <f>6292000/(10^6)</f>
        <v>6.2919999999999998</v>
      </c>
      <c r="N29" s="62">
        <f>5720000/(10^6)</f>
        <v>5.72</v>
      </c>
      <c r="O29" s="62">
        <f>6292000/(10^6)</f>
        <v>6.2919999999999998</v>
      </c>
      <c r="P29" s="62">
        <f>5720000/(10^6)</f>
        <v>5.72</v>
      </c>
      <c r="Q29" s="238">
        <v>3.4319999999999999</v>
      </c>
      <c r="R29" s="62">
        <f t="shared" si="2"/>
        <v>33.747999999999998</v>
      </c>
      <c r="S29" s="62">
        <f t="shared" si="3"/>
        <v>0</v>
      </c>
      <c r="T29" s="57">
        <f t="shared" si="4"/>
        <v>33.747999999999998</v>
      </c>
      <c r="U29" s="96">
        <f t="shared" si="13"/>
        <v>1.0158787495672852E-2</v>
      </c>
      <c r="V29" s="96" t="str">
        <f t="shared" si="14"/>
        <v/>
      </c>
      <c r="W29" s="96">
        <f t="shared" si="15"/>
        <v>1.0158787495672852E-2</v>
      </c>
      <c r="X29" s="96"/>
      <c r="Y29" s="96"/>
      <c r="Z29" s="97"/>
      <c r="AB29" s="57"/>
    </row>
    <row r="30" spans="2:28" x14ac:dyDescent="0.35">
      <c r="C30" s="2" t="s">
        <v>612</v>
      </c>
      <c r="D30" s="6"/>
      <c r="F30" s="62">
        <f>12600000/(10^6)</f>
        <v>12.6</v>
      </c>
      <c r="G30" s="62">
        <f>19950000/(10^6)</f>
        <v>19.95</v>
      </c>
      <c r="H30" s="62">
        <f>32200000/(10^6)</f>
        <v>32.200000000000003</v>
      </c>
      <c r="I30" s="62">
        <f>26850000/(10^6)</f>
        <v>26.85</v>
      </c>
      <c r="J30" s="62">
        <f>32650000/(10^6)</f>
        <v>32.65</v>
      </c>
      <c r="K30" s="62">
        <f>35950000/(10^6)</f>
        <v>35.950000000000003</v>
      </c>
      <c r="L30" s="62">
        <f>41000000/(10^6)</f>
        <v>41</v>
      </c>
      <c r="M30" s="62">
        <f>50100000/(10^6)</f>
        <v>50.1</v>
      </c>
      <c r="N30" s="62">
        <f>47750000/(10^6)</f>
        <v>47.75</v>
      </c>
      <c r="O30" s="62">
        <f>48600000/(10^6)</f>
        <v>48.6</v>
      </c>
      <c r="P30" s="62">
        <f>56900000/(10^6)</f>
        <v>56.9</v>
      </c>
      <c r="Q30" s="238">
        <v>61.85</v>
      </c>
      <c r="R30" s="62">
        <f t="shared" si="2"/>
        <v>466.4</v>
      </c>
      <c r="S30" s="62">
        <f t="shared" si="3"/>
        <v>0</v>
      </c>
      <c r="T30" s="57">
        <f t="shared" si="4"/>
        <v>466.4</v>
      </c>
      <c r="U30" s="96">
        <f t="shared" si="13"/>
        <v>0.14039523788022457</v>
      </c>
      <c r="V30" s="96" t="str">
        <f t="shared" si="14"/>
        <v/>
      </c>
      <c r="W30" s="96">
        <f t="shared" si="15"/>
        <v>0.14039523788022457</v>
      </c>
      <c r="X30" s="96"/>
      <c r="Y30" s="96"/>
      <c r="Z30" s="97"/>
      <c r="AB30" s="57"/>
    </row>
    <row r="31" spans="2:28" x14ac:dyDescent="0.35">
      <c r="C31" s="2" t="s">
        <v>209</v>
      </c>
      <c r="D31" s="6"/>
      <c r="F31" s="62">
        <v>0</v>
      </c>
      <c r="G31" s="62">
        <v>0</v>
      </c>
      <c r="H31" s="62">
        <v>4.4400000000000004</v>
      </c>
      <c r="I31" s="62">
        <v>3.7</v>
      </c>
      <c r="J31" s="62">
        <v>4.58</v>
      </c>
      <c r="K31" s="62">
        <v>5.16</v>
      </c>
      <c r="L31" s="62">
        <v>6.28</v>
      </c>
      <c r="M31" s="62">
        <v>7.6</v>
      </c>
      <c r="N31" s="62">
        <v>8.76</v>
      </c>
      <c r="O31" s="62">
        <v>9.8699999999999992</v>
      </c>
      <c r="P31" s="62">
        <v>11.25</v>
      </c>
      <c r="Q31" s="238">
        <v>12.29</v>
      </c>
      <c r="R31" s="62">
        <f t="shared" si="2"/>
        <v>73.930000000000007</v>
      </c>
      <c r="S31" s="62">
        <f t="shared" si="3"/>
        <v>0</v>
      </c>
      <c r="T31" s="57">
        <f t="shared" si="4"/>
        <v>73.930000000000007</v>
      </c>
      <c r="U31" s="96">
        <f t="shared" si="13"/>
        <v>2.2254330910130796E-2</v>
      </c>
      <c r="V31" s="96" t="str">
        <f t="shared" si="14"/>
        <v/>
      </c>
      <c r="W31" s="96">
        <f t="shared" si="15"/>
        <v>2.2254330910130796E-2</v>
      </c>
      <c r="X31" s="96"/>
      <c r="Y31" s="96"/>
      <c r="Z31" s="97"/>
      <c r="AB31" s="57"/>
    </row>
    <row r="32" spans="2:28" x14ac:dyDescent="0.35">
      <c r="C32" s="2" t="s">
        <v>183</v>
      </c>
      <c r="D32" s="6"/>
      <c r="F32" s="62">
        <f>1139600/(10^6)</f>
        <v>1.1395999999999999</v>
      </c>
      <c r="G32" s="62">
        <f>150000/(10^6)</f>
        <v>0.15</v>
      </c>
      <c r="H32" s="62">
        <f>0/(10^6)</f>
        <v>0</v>
      </c>
      <c r="I32" s="62">
        <f>4187333/(10^6)</f>
        <v>4.1873329999999997</v>
      </c>
      <c r="J32" s="62">
        <f>11933333/(10^6)</f>
        <v>11.933332999999999</v>
      </c>
      <c r="K32" s="62">
        <f>1433334/(10^6)</f>
        <v>1.4333340000000001</v>
      </c>
      <c r="L32" s="62">
        <f>1836000/(10^6)</f>
        <v>1.8360000000000001</v>
      </c>
      <c r="M32" s="62">
        <f>28391380/(10^6)</f>
        <v>28.391380000000002</v>
      </c>
      <c r="N32" s="62">
        <f>14994333/(10^6)</f>
        <v>14.994332999999999</v>
      </c>
      <c r="O32" s="62">
        <f>13288499/(10^6)</f>
        <v>13.288499</v>
      </c>
      <c r="P32" s="62">
        <f>17825204/(10^6)</f>
        <v>17.825203999999999</v>
      </c>
      <c r="Q32" s="238">
        <v>2.25</v>
      </c>
      <c r="R32" s="62">
        <f t="shared" si="2"/>
        <v>97.429016000000004</v>
      </c>
      <c r="S32" s="62">
        <f t="shared" si="3"/>
        <v>0</v>
      </c>
      <c r="T32" s="57">
        <f t="shared" si="4"/>
        <v>97.429016000000004</v>
      </c>
      <c r="U32" s="96">
        <f t="shared" si="13"/>
        <v>2.932798001234178E-2</v>
      </c>
      <c r="V32" s="96" t="str">
        <f t="shared" si="14"/>
        <v/>
      </c>
      <c r="W32" s="96">
        <f t="shared" si="15"/>
        <v>2.932798001234178E-2</v>
      </c>
      <c r="X32" s="96"/>
      <c r="Y32" s="96"/>
      <c r="Z32" s="97"/>
      <c r="AB32" s="57"/>
    </row>
    <row r="33" spans="2:28" ht="13.15" thickBot="1" x14ac:dyDescent="0.4">
      <c r="B33" s="86" t="s">
        <v>180</v>
      </c>
      <c r="C33" s="87"/>
      <c r="D33" s="87"/>
      <c r="E33" s="70"/>
      <c r="F33" s="88">
        <f>SUM(F27:F32)</f>
        <v>21.1691</v>
      </c>
      <c r="G33" s="88">
        <f t="shared" ref="G33:Q33" si="17">SUM(G27:G32)</f>
        <v>31.880499999999998</v>
      </c>
      <c r="H33" s="88">
        <f t="shared" si="17"/>
        <v>56.732500000000002</v>
      </c>
      <c r="I33" s="88">
        <f t="shared" si="17"/>
        <v>51.448833000000008</v>
      </c>
      <c r="J33" s="88">
        <f t="shared" si="17"/>
        <v>70.917833000000002</v>
      </c>
      <c r="K33" s="88">
        <f t="shared" si="17"/>
        <v>70.518383</v>
      </c>
      <c r="L33" s="88">
        <f t="shared" si="17"/>
        <v>81.397622999999996</v>
      </c>
      <c r="M33" s="88">
        <f t="shared" si="17"/>
        <v>124.46670399999999</v>
      </c>
      <c r="N33" s="88">
        <f t="shared" si="17"/>
        <v>110.253638</v>
      </c>
      <c r="O33" s="88">
        <f t="shared" si="17"/>
        <v>114.28653</v>
      </c>
      <c r="P33" s="88">
        <f t="shared" si="17"/>
        <v>132.73145399999999</v>
      </c>
      <c r="Q33" s="88">
        <f t="shared" si="17"/>
        <v>124.31101799999999</v>
      </c>
      <c r="R33" s="88">
        <f t="shared" si="2"/>
        <v>990.11411599999997</v>
      </c>
      <c r="S33" s="88">
        <f t="shared" si="3"/>
        <v>0</v>
      </c>
      <c r="T33" s="88">
        <f>SUM(R33:S33)</f>
        <v>990.11411599999997</v>
      </c>
      <c r="U33" s="101">
        <f t="shared" si="13"/>
        <v>0.29804311072982048</v>
      </c>
      <c r="V33" s="101" t="str">
        <f t="shared" si="14"/>
        <v/>
      </c>
      <c r="W33" s="101">
        <f t="shared" si="15"/>
        <v>0.29804311072982048</v>
      </c>
      <c r="X33" s="101"/>
      <c r="Y33" s="101"/>
      <c r="Z33" s="101"/>
      <c r="AA33" s="88"/>
      <c r="AB33" s="88"/>
    </row>
    <row r="34" spans="2:28" x14ac:dyDescent="0.35">
      <c r="B34" s="89" t="s">
        <v>187</v>
      </c>
      <c r="C34" s="90"/>
      <c r="D34" s="90"/>
      <c r="E34" s="91"/>
      <c r="F34" s="92">
        <f t="shared" ref="F34:Q34" si="18">F19-F33-F20</f>
        <v>54.430899999999994</v>
      </c>
      <c r="G34" s="92">
        <f t="shared" si="18"/>
        <v>70.43950000000001</v>
      </c>
      <c r="H34" s="92">
        <f t="shared" si="18"/>
        <v>107.0675</v>
      </c>
      <c r="I34" s="92">
        <f t="shared" si="18"/>
        <v>87.131167000000005</v>
      </c>
      <c r="J34" s="92">
        <f t="shared" si="18"/>
        <v>111.62216699999999</v>
      </c>
      <c r="K34" s="92">
        <f t="shared" si="18"/>
        <v>128.66161699999998</v>
      </c>
      <c r="L34" s="92">
        <f t="shared" si="18"/>
        <v>137.84237699999997</v>
      </c>
      <c r="M34" s="92">
        <f t="shared" si="18"/>
        <v>144.63329600000003</v>
      </c>
      <c r="N34" s="92">
        <f t="shared" si="18"/>
        <v>168.52636200000003</v>
      </c>
      <c r="O34" s="92">
        <f t="shared" si="18"/>
        <v>188.76346999999996</v>
      </c>
      <c r="P34" s="92">
        <f t="shared" si="18"/>
        <v>210.01854599999999</v>
      </c>
      <c r="Q34" s="92">
        <f t="shared" si="18"/>
        <v>247.31898200000001</v>
      </c>
      <c r="R34" s="92">
        <f t="shared" si="2"/>
        <v>1656.455884</v>
      </c>
      <c r="S34" s="92">
        <f t="shared" si="3"/>
        <v>0</v>
      </c>
      <c r="T34" s="92">
        <f t="shared" si="4"/>
        <v>1656.455884</v>
      </c>
      <c r="U34" s="104">
        <f t="shared" si="13"/>
        <v>0.49862460950316828</v>
      </c>
      <c r="V34" s="104" t="str">
        <f t="shared" si="14"/>
        <v/>
      </c>
      <c r="W34" s="104">
        <f t="shared" si="15"/>
        <v>0.49862460950316828</v>
      </c>
      <c r="X34" s="104"/>
      <c r="Y34" s="104"/>
      <c r="Z34" s="92"/>
      <c r="AA34" s="92"/>
      <c r="AB34" s="92"/>
    </row>
    <row r="35" spans="2:28" x14ac:dyDescent="0.35">
      <c r="B35" s="27" t="s">
        <v>181</v>
      </c>
      <c r="C35" s="6"/>
      <c r="D35" s="6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>
        <f t="shared" si="2"/>
        <v>0</v>
      </c>
      <c r="S35" s="85">
        <f t="shared" si="3"/>
        <v>0</v>
      </c>
      <c r="T35" s="85">
        <f t="shared" si="4"/>
        <v>0</v>
      </c>
      <c r="U35" s="85">
        <f t="shared" si="13"/>
        <v>0</v>
      </c>
      <c r="V35" s="85" t="str">
        <f t="shared" si="14"/>
        <v/>
      </c>
      <c r="W35" s="85">
        <f t="shared" si="15"/>
        <v>0</v>
      </c>
      <c r="X35" s="85"/>
      <c r="Y35" s="85"/>
      <c r="Z35" s="85"/>
      <c r="AA35" s="85"/>
      <c r="AB35" s="85"/>
    </row>
    <row r="36" spans="2:28" x14ac:dyDescent="0.35">
      <c r="C36" s="2" t="s">
        <v>186</v>
      </c>
      <c r="F36" s="62">
        <v>105.040739</v>
      </c>
      <c r="G36" s="62">
        <v>93.078646000000006</v>
      </c>
      <c r="H36" s="62">
        <v>96.148809999999997</v>
      </c>
      <c r="I36" s="62">
        <v>99.908000000000001</v>
      </c>
      <c r="J36" s="62">
        <v>103.68574099999999</v>
      </c>
      <c r="K36" s="62">
        <v>90.56</v>
      </c>
      <c r="L36" s="62">
        <v>88.948566999999997</v>
      </c>
      <c r="M36" s="62">
        <v>109.073077</v>
      </c>
      <c r="N36" s="62">
        <v>102.160721</v>
      </c>
      <c r="O36" s="62">
        <v>91.889028999999994</v>
      </c>
      <c r="P36" s="62">
        <v>96.526250000000005</v>
      </c>
      <c r="Q36" s="84">
        <v>105.930419</v>
      </c>
      <c r="R36" s="62">
        <f t="shared" si="2"/>
        <v>1182.9499990000002</v>
      </c>
      <c r="S36" s="62">
        <f t="shared" si="3"/>
        <v>0</v>
      </c>
      <c r="T36" s="57">
        <f t="shared" si="4"/>
        <v>1182.9499990000002</v>
      </c>
      <c r="U36" s="96">
        <f t="shared" si="13"/>
        <v>0.35609036558751384</v>
      </c>
      <c r="V36" s="96" t="str">
        <f t="shared" si="14"/>
        <v/>
      </c>
      <c r="W36" s="96">
        <f t="shared" si="15"/>
        <v>0.35609036558751384</v>
      </c>
      <c r="X36" s="96"/>
      <c r="Y36" s="96"/>
      <c r="Z36" s="97"/>
      <c r="AB36" s="57"/>
    </row>
    <row r="37" spans="2:28" x14ac:dyDescent="0.35">
      <c r="C37" s="2" t="s">
        <v>408</v>
      </c>
      <c r="F37" s="62">
        <f>72885771/(10^6)</f>
        <v>72.885771000000005</v>
      </c>
      <c r="G37" s="62">
        <f>71166667/(10^6)</f>
        <v>71.166667000000004</v>
      </c>
      <c r="H37" s="62">
        <f>71166667/(10^6)</f>
        <v>71.166667000000004</v>
      </c>
      <c r="I37" s="62">
        <f>67666667/(10^6)</f>
        <v>67.666667000000004</v>
      </c>
      <c r="J37" s="62">
        <f>67666667/(10^6)</f>
        <v>67.666667000000004</v>
      </c>
      <c r="K37" s="62">
        <f>38500000/(10^6)</f>
        <v>38.5</v>
      </c>
      <c r="L37" s="62">
        <f>38500000/(10^6)</f>
        <v>38.5</v>
      </c>
      <c r="M37" s="62">
        <f>38500000/(10^6)</f>
        <v>38.5</v>
      </c>
      <c r="N37" s="62">
        <f>38500000/(10^6)</f>
        <v>38.5</v>
      </c>
      <c r="O37" s="62">
        <f>38888889/(10^6)</f>
        <v>38.888888999999999</v>
      </c>
      <c r="P37" s="62">
        <f>38888889/(10^6)</f>
        <v>38.888888999999999</v>
      </c>
      <c r="Q37" s="62">
        <f>38888889/(10^6)</f>
        <v>38.888888999999999</v>
      </c>
      <c r="R37" s="62">
        <f t="shared" si="2"/>
        <v>621.2191059999999</v>
      </c>
      <c r="S37" s="62">
        <f t="shared" si="3"/>
        <v>0</v>
      </c>
      <c r="T37" s="57">
        <f t="shared" si="4"/>
        <v>621.2191059999999</v>
      </c>
      <c r="U37" s="96">
        <f t="shared" si="13"/>
        <v>0.18699872247557983</v>
      </c>
      <c r="V37" s="96" t="str">
        <f t="shared" si="14"/>
        <v/>
      </c>
      <c r="W37" s="96">
        <f t="shared" si="15"/>
        <v>0.18699872247557983</v>
      </c>
      <c r="X37" s="96"/>
      <c r="Y37" s="96"/>
      <c r="Z37" s="97"/>
      <c r="AB37" s="57"/>
    </row>
    <row r="38" spans="2:28" x14ac:dyDescent="0.35">
      <c r="B38" s="27"/>
      <c r="C38" s="2" t="s">
        <v>182</v>
      </c>
      <c r="D38" s="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62">
        <f t="shared" si="2"/>
        <v>0</v>
      </c>
      <c r="S38" s="62">
        <f t="shared" si="3"/>
        <v>0</v>
      </c>
      <c r="T38" s="57">
        <f t="shared" si="4"/>
        <v>0</v>
      </c>
      <c r="U38" s="96">
        <f t="shared" si="13"/>
        <v>0</v>
      </c>
      <c r="V38" s="96" t="str">
        <f t="shared" si="14"/>
        <v/>
      </c>
      <c r="W38" s="96">
        <f t="shared" si="15"/>
        <v>0</v>
      </c>
      <c r="X38" s="96"/>
      <c r="Y38" s="96"/>
      <c r="Z38" s="85"/>
      <c r="AA38" s="57"/>
      <c r="AB38" s="62"/>
    </row>
    <row r="39" spans="2:28" x14ac:dyDescent="0.35">
      <c r="B39" s="27"/>
      <c r="C39" s="2" t="s">
        <v>631</v>
      </c>
      <c r="D39" s="6"/>
      <c r="F39" s="62">
        <v>75.350038999999995</v>
      </c>
      <c r="G39" s="62">
        <v>63.717650999999996</v>
      </c>
      <c r="H39" s="62">
        <v>71.144692000000006</v>
      </c>
      <c r="I39" s="62">
        <v>78.90607</v>
      </c>
      <c r="J39" s="62">
        <v>72.817214000000007</v>
      </c>
      <c r="K39" s="62">
        <v>71.340979000000004</v>
      </c>
      <c r="L39" s="62">
        <v>57.713591999999998</v>
      </c>
      <c r="M39" s="62">
        <v>63.092722999999999</v>
      </c>
      <c r="N39" s="62">
        <v>58.377881000000002</v>
      </c>
      <c r="O39" s="62">
        <v>57.335951000000001</v>
      </c>
      <c r="P39" s="62">
        <v>51.055349</v>
      </c>
      <c r="Q39" s="57">
        <v>51.735281999999998</v>
      </c>
      <c r="R39" s="62">
        <f t="shared" si="2"/>
        <v>772.58742299999994</v>
      </c>
      <c r="S39" s="62">
        <f t="shared" si="3"/>
        <v>0</v>
      </c>
      <c r="T39" s="57">
        <f t="shared" si="4"/>
        <v>772.58742299999994</v>
      </c>
      <c r="U39" s="96">
        <f t="shared" si="13"/>
        <v>0.23256345419244143</v>
      </c>
      <c r="V39" s="96" t="str">
        <f t="shared" si="14"/>
        <v/>
      </c>
      <c r="W39" s="96">
        <f t="shared" si="15"/>
        <v>0.23256345419244143</v>
      </c>
      <c r="X39" s="96"/>
      <c r="Y39" s="96"/>
      <c r="Z39" s="85"/>
      <c r="AA39" s="57"/>
      <c r="AB39" s="57"/>
    </row>
    <row r="40" spans="2:28" x14ac:dyDescent="0.35">
      <c r="C40" s="2" t="s">
        <v>188</v>
      </c>
      <c r="F40" s="62">
        <v>7.2377190000000002</v>
      </c>
      <c r="G40" s="62">
        <v>2.919079</v>
      </c>
      <c r="H40" s="62">
        <v>2.669079</v>
      </c>
      <c r="I40" s="62">
        <v>2.7152790000000002</v>
      </c>
      <c r="J40" s="62">
        <v>3.2522790000000001</v>
      </c>
      <c r="K40" s="62">
        <v>17.894597999999998</v>
      </c>
      <c r="L40" s="62">
        <v>3.2790789999999999</v>
      </c>
      <c r="M40" s="62">
        <v>11.248608000000001</v>
      </c>
      <c r="N40" s="62">
        <v>7.9254389999999999</v>
      </c>
      <c r="O40" s="62">
        <v>25.937809999999999</v>
      </c>
      <c r="P40" s="62">
        <v>6.2890170000000003</v>
      </c>
      <c r="Q40" s="57">
        <v>3.2758590000000001</v>
      </c>
      <c r="R40" s="62">
        <f t="shared" si="2"/>
        <v>94.643844999999999</v>
      </c>
      <c r="S40" s="62">
        <f t="shared" si="3"/>
        <v>0</v>
      </c>
      <c r="T40" s="57">
        <f t="shared" si="4"/>
        <v>94.643844999999999</v>
      </c>
      <c r="U40" s="96">
        <f t="shared" si="13"/>
        <v>2.8489590764738643E-2</v>
      </c>
      <c r="V40" s="96" t="str">
        <f t="shared" si="14"/>
        <v/>
      </c>
      <c r="W40" s="96">
        <f t="shared" si="15"/>
        <v>2.8489590764738643E-2</v>
      </c>
      <c r="X40" s="96"/>
      <c r="Y40" s="96"/>
      <c r="AA40" s="57"/>
      <c r="AB40" s="57"/>
    </row>
    <row r="41" spans="2:28" ht="13.15" thickBot="1" x14ac:dyDescent="0.4">
      <c r="B41" s="86" t="s">
        <v>189</v>
      </c>
      <c r="C41" s="87"/>
      <c r="D41" s="87"/>
      <c r="E41" s="70"/>
      <c r="F41" s="88">
        <f>SUM(F36:F40)</f>
        <v>260.51426800000002</v>
      </c>
      <c r="G41" s="88">
        <f t="shared" ref="G41:Q41" si="19">SUM(G36:G40)</f>
        <v>230.88204300000001</v>
      </c>
      <c r="H41" s="88">
        <f t="shared" si="19"/>
        <v>241.12924800000002</v>
      </c>
      <c r="I41" s="88">
        <f t="shared" si="19"/>
        <v>249.19601600000001</v>
      </c>
      <c r="J41" s="88">
        <f t="shared" si="19"/>
        <v>247.42190099999999</v>
      </c>
      <c r="K41" s="88">
        <f t="shared" si="19"/>
        <v>218.29557700000001</v>
      </c>
      <c r="L41" s="88">
        <f t="shared" si="19"/>
        <v>188.441238</v>
      </c>
      <c r="M41" s="88">
        <f t="shared" si="19"/>
        <v>221.91440800000001</v>
      </c>
      <c r="N41" s="88">
        <f t="shared" si="19"/>
        <v>206.96404100000001</v>
      </c>
      <c r="O41" s="88">
        <f t="shared" si="19"/>
        <v>214.05167899999998</v>
      </c>
      <c r="P41" s="88">
        <f t="shared" si="19"/>
        <v>192.75950500000002</v>
      </c>
      <c r="Q41" s="88">
        <f t="shared" si="19"/>
        <v>199.83044900000002</v>
      </c>
      <c r="R41" s="88">
        <f t="shared" si="2"/>
        <v>2671.4003730000004</v>
      </c>
      <c r="S41" s="88">
        <f t="shared" si="3"/>
        <v>0</v>
      </c>
      <c r="T41" s="88">
        <f t="shared" si="4"/>
        <v>2671.4003730000004</v>
      </c>
      <c r="U41" s="101">
        <f t="shared" si="13"/>
        <v>0.80414213302027382</v>
      </c>
      <c r="V41" s="101" t="str">
        <f t="shared" si="14"/>
        <v/>
      </c>
      <c r="W41" s="101">
        <f t="shared" si="15"/>
        <v>0.80414213302027382</v>
      </c>
      <c r="X41" s="101"/>
      <c r="Y41" s="101"/>
      <c r="Z41" s="88"/>
      <c r="AA41" s="88"/>
      <c r="AB41" s="88"/>
    </row>
    <row r="42" spans="2:28" x14ac:dyDescent="0.35">
      <c r="B42" s="89" t="s">
        <v>190</v>
      </c>
      <c r="C42" s="90"/>
      <c r="D42" s="90"/>
      <c r="E42" s="91"/>
      <c r="F42" s="92">
        <f>F34-F41</f>
        <v>-206.08336800000001</v>
      </c>
      <c r="G42" s="92">
        <f t="shared" ref="G42:Q42" si="20">G34-G41</f>
        <v>-160.442543</v>
      </c>
      <c r="H42" s="92">
        <f t="shared" si="20"/>
        <v>-134.06174800000002</v>
      </c>
      <c r="I42" s="92">
        <f t="shared" si="20"/>
        <v>-162.06484900000001</v>
      </c>
      <c r="J42" s="92">
        <f t="shared" si="20"/>
        <v>-135.799734</v>
      </c>
      <c r="K42" s="92">
        <f t="shared" si="20"/>
        <v>-89.63396000000003</v>
      </c>
      <c r="L42" s="92">
        <f t="shared" si="20"/>
        <v>-50.598861000000028</v>
      </c>
      <c r="M42" s="92">
        <f t="shared" si="20"/>
        <v>-77.281111999999979</v>
      </c>
      <c r="N42" s="92">
        <f t="shared" si="20"/>
        <v>-38.437678999999974</v>
      </c>
      <c r="O42" s="92">
        <f t="shared" si="20"/>
        <v>-25.288209000000023</v>
      </c>
      <c r="P42" s="92">
        <f t="shared" si="20"/>
        <v>17.259040999999968</v>
      </c>
      <c r="Q42" s="92">
        <f t="shared" si="20"/>
        <v>47.48853299999999</v>
      </c>
      <c r="R42" s="92">
        <f t="shared" si="2"/>
        <v>-1014.9444890000002</v>
      </c>
      <c r="S42" s="92">
        <f t="shared" si="3"/>
        <v>0</v>
      </c>
      <c r="T42" s="92">
        <f t="shared" si="4"/>
        <v>-1014.9444890000002</v>
      </c>
      <c r="U42" s="104">
        <f t="shared" si="13"/>
        <v>-0.30551752351710548</v>
      </c>
      <c r="V42" s="104" t="str">
        <f t="shared" si="14"/>
        <v/>
      </c>
      <c r="W42" s="104">
        <f t="shared" si="15"/>
        <v>-0.30551752351710548</v>
      </c>
      <c r="X42" s="104"/>
      <c r="Y42" s="104"/>
      <c r="Z42" s="92"/>
      <c r="AA42" s="92"/>
      <c r="AB42" s="92"/>
    </row>
    <row r="43" spans="2:28" x14ac:dyDescent="0.35">
      <c r="B43" s="27" t="s">
        <v>275</v>
      </c>
      <c r="C43" s="6"/>
      <c r="D43" s="6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>
        <f t="shared" si="2"/>
        <v>0</v>
      </c>
      <c r="S43" s="85">
        <f t="shared" si="3"/>
        <v>0</v>
      </c>
      <c r="T43" s="85">
        <f t="shared" si="4"/>
        <v>0</v>
      </c>
      <c r="U43" s="105">
        <f t="shared" si="13"/>
        <v>0</v>
      </c>
      <c r="V43" s="105" t="str">
        <f t="shared" si="14"/>
        <v/>
      </c>
      <c r="W43" s="105">
        <f t="shared" si="15"/>
        <v>0</v>
      </c>
      <c r="X43" s="105"/>
      <c r="Y43" s="105"/>
      <c r="Z43" s="118"/>
      <c r="AA43" s="85"/>
      <c r="AB43" s="85"/>
    </row>
    <row r="44" spans="2:28" x14ac:dyDescent="0.35">
      <c r="B44" s="27"/>
      <c r="C44" s="2" t="s">
        <v>185</v>
      </c>
      <c r="D44" s="6"/>
      <c r="F44" s="57">
        <f>SUM(F45:F49)</f>
        <v>143.33333300000001</v>
      </c>
      <c r="G44" s="57">
        <f t="shared" ref="G44:P44" si="21">SUM(G45:G49)</f>
        <v>143.33333300000001</v>
      </c>
      <c r="H44" s="57">
        <f t="shared" si="21"/>
        <v>143.33333300000001</v>
      </c>
      <c r="I44" s="57">
        <f t="shared" si="21"/>
        <v>143.33333300000001</v>
      </c>
      <c r="J44" s="57">
        <f t="shared" si="21"/>
        <v>143.33333300000001</v>
      </c>
      <c r="K44" s="57">
        <f t="shared" si="21"/>
        <v>143.33333300000001</v>
      </c>
      <c r="L44" s="57">
        <f t="shared" si="21"/>
        <v>143.33333300000001</v>
      </c>
      <c r="M44" s="57">
        <f t="shared" si="21"/>
        <v>165.91397800000001</v>
      </c>
      <c r="N44" s="57">
        <f>SUM(N45:N49)</f>
        <v>168.933333</v>
      </c>
      <c r="O44" s="57">
        <f t="shared" si="21"/>
        <v>171.48333300000002</v>
      </c>
      <c r="P44" s="57">
        <f t="shared" si="21"/>
        <v>171.033333</v>
      </c>
      <c r="Q44" s="57">
        <f t="shared" ref="Q44:Q49" si="22">P44</f>
        <v>171.033333</v>
      </c>
      <c r="R44" s="57">
        <f t="shared" si="2"/>
        <v>1851.7306410000001</v>
      </c>
      <c r="S44" s="57">
        <f t="shared" si="3"/>
        <v>0</v>
      </c>
      <c r="T44" s="57">
        <f t="shared" si="4"/>
        <v>1851.7306410000001</v>
      </c>
      <c r="U44" s="96">
        <f t="shared" si="13"/>
        <v>0.55740601164943337</v>
      </c>
      <c r="V44" s="96" t="str">
        <f t="shared" si="14"/>
        <v/>
      </c>
      <c r="W44" s="96">
        <f t="shared" si="15"/>
        <v>0.55740601164943337</v>
      </c>
      <c r="X44" s="96"/>
      <c r="Y44" s="96"/>
      <c r="Z44" s="57"/>
      <c r="AA44" s="57"/>
      <c r="AB44" s="57"/>
    </row>
    <row r="45" spans="2:28" outlineLevel="1" x14ac:dyDescent="0.35">
      <c r="B45" s="27"/>
      <c r="D45" s="6"/>
      <c r="E45" s="93" t="s">
        <v>6</v>
      </c>
      <c r="F45" s="286">
        <v>143.33333300000001</v>
      </c>
      <c r="G45" s="286">
        <v>143.33333300000001</v>
      </c>
      <c r="H45" s="286">
        <v>143.33333300000001</v>
      </c>
      <c r="I45" s="286">
        <v>143.33333300000001</v>
      </c>
      <c r="J45" s="286">
        <v>143.33333300000001</v>
      </c>
      <c r="K45" s="286">
        <v>143.33333300000001</v>
      </c>
      <c r="L45" s="286">
        <v>143.33333300000001</v>
      </c>
      <c r="M45" s="286">
        <v>143.33333300000001</v>
      </c>
      <c r="N45" s="286">
        <v>143.33333300000001</v>
      </c>
      <c r="O45" s="286">
        <v>143.33333300000001</v>
      </c>
      <c r="P45" s="286">
        <v>143.33333300000001</v>
      </c>
      <c r="Q45" s="285">
        <v>143.33333300000001</v>
      </c>
      <c r="R45" s="94">
        <f t="shared" si="2"/>
        <v>1719.9999960000002</v>
      </c>
      <c r="S45" s="94">
        <f t="shared" si="3"/>
        <v>0</v>
      </c>
      <c r="T45" s="95">
        <f t="shared" si="4"/>
        <v>1719.9999960000002</v>
      </c>
      <c r="U45" s="96">
        <f t="shared" si="13"/>
        <v>0.51775259132162377</v>
      </c>
      <c r="V45" s="96" t="str">
        <f t="shared" si="14"/>
        <v/>
      </c>
      <c r="W45" s="96">
        <f t="shared" si="15"/>
        <v>0.51775259132162377</v>
      </c>
      <c r="X45" s="96"/>
      <c r="Y45" s="96"/>
      <c r="Z45" s="94"/>
      <c r="AA45" s="57"/>
      <c r="AB45" s="95"/>
    </row>
    <row r="46" spans="2:28" outlineLevel="1" x14ac:dyDescent="0.35">
      <c r="B46" s="27"/>
      <c r="D46" s="6"/>
      <c r="E46" s="93" t="s">
        <v>7</v>
      </c>
      <c r="F46" s="287">
        <v>0</v>
      </c>
      <c r="G46" s="287">
        <v>0</v>
      </c>
      <c r="H46" s="287">
        <v>0</v>
      </c>
      <c r="I46" s="287">
        <v>0</v>
      </c>
      <c r="J46" s="287">
        <v>0</v>
      </c>
      <c r="K46" s="287">
        <v>0</v>
      </c>
      <c r="L46" s="287">
        <v>0</v>
      </c>
      <c r="M46" s="287">
        <v>0</v>
      </c>
      <c r="N46" s="287">
        <v>0</v>
      </c>
      <c r="O46" s="287">
        <v>0</v>
      </c>
      <c r="P46" s="287">
        <v>0</v>
      </c>
      <c r="Q46" s="94">
        <f t="shared" si="22"/>
        <v>0</v>
      </c>
      <c r="R46" s="94">
        <f t="shared" si="2"/>
        <v>0</v>
      </c>
      <c r="S46" s="94">
        <f t="shared" si="3"/>
        <v>0</v>
      </c>
      <c r="T46" s="95">
        <f t="shared" si="4"/>
        <v>0</v>
      </c>
      <c r="U46" s="96">
        <f t="shared" si="13"/>
        <v>0</v>
      </c>
      <c r="V46" s="96" t="str">
        <f t="shared" si="14"/>
        <v/>
      </c>
      <c r="W46" s="96">
        <f t="shared" si="15"/>
        <v>0</v>
      </c>
      <c r="X46" s="96"/>
      <c r="Y46" s="96"/>
      <c r="Z46" s="94"/>
      <c r="AA46" s="57"/>
      <c r="AB46" s="95"/>
    </row>
    <row r="47" spans="2:28" outlineLevel="1" x14ac:dyDescent="0.35">
      <c r="B47" s="27"/>
      <c r="D47" s="6"/>
      <c r="E47" s="93" t="s">
        <v>8</v>
      </c>
      <c r="F47" s="286"/>
      <c r="G47" s="286"/>
      <c r="H47" s="286"/>
      <c r="I47" s="286"/>
      <c r="J47" s="286"/>
      <c r="K47" s="286"/>
      <c r="L47" s="286"/>
      <c r="M47" s="287">
        <f>22580645/10^6</f>
        <v>22.580645000000001</v>
      </c>
      <c r="N47" s="286">
        <v>25</v>
      </c>
      <c r="O47" s="286">
        <v>25</v>
      </c>
      <c r="P47" s="286">
        <v>25</v>
      </c>
      <c r="Q47" s="285">
        <v>25</v>
      </c>
      <c r="R47" s="94">
        <f t="shared" si="2"/>
        <v>122.580645</v>
      </c>
      <c r="S47" s="94">
        <f t="shared" si="3"/>
        <v>0</v>
      </c>
      <c r="T47" s="95">
        <f t="shared" si="4"/>
        <v>122.580645</v>
      </c>
      <c r="U47" s="96">
        <f t="shared" si="13"/>
        <v>3.6899096943152576E-2</v>
      </c>
      <c r="V47" s="96" t="str">
        <f t="shared" si="14"/>
        <v/>
      </c>
      <c r="W47" s="96">
        <f t="shared" si="15"/>
        <v>3.6899096943152576E-2</v>
      </c>
      <c r="X47" s="96"/>
      <c r="Y47" s="96"/>
      <c r="Z47" s="94"/>
      <c r="AA47" s="57"/>
      <c r="AB47" s="95"/>
    </row>
    <row r="48" spans="2:28" outlineLevel="1" x14ac:dyDescent="0.35">
      <c r="B48" s="27"/>
      <c r="D48" s="6"/>
      <c r="E48" s="93" t="s">
        <v>9</v>
      </c>
      <c r="F48" s="62">
        <f t="shared" ref="F48:P49" si="23">0/(10^6)</f>
        <v>0</v>
      </c>
      <c r="G48" s="62">
        <f t="shared" si="23"/>
        <v>0</v>
      </c>
      <c r="H48" s="62">
        <f t="shared" si="23"/>
        <v>0</v>
      </c>
      <c r="I48" s="62">
        <f t="shared" si="23"/>
        <v>0</v>
      </c>
      <c r="J48" s="62">
        <f t="shared" si="23"/>
        <v>0</v>
      </c>
      <c r="K48" s="62">
        <f t="shared" si="23"/>
        <v>0</v>
      </c>
      <c r="L48" s="62">
        <f t="shared" si="23"/>
        <v>0</v>
      </c>
      <c r="M48" s="62">
        <f t="shared" si="23"/>
        <v>0</v>
      </c>
      <c r="N48" s="286">
        <v>0.6</v>
      </c>
      <c r="O48" s="286">
        <v>3.15</v>
      </c>
      <c r="P48" s="286">
        <v>2.7</v>
      </c>
      <c r="Q48" s="285">
        <v>1.65</v>
      </c>
      <c r="R48" s="94">
        <f t="shared" si="2"/>
        <v>8.1</v>
      </c>
      <c r="S48" s="94">
        <f t="shared" si="3"/>
        <v>0</v>
      </c>
      <c r="T48" s="95">
        <f t="shared" si="4"/>
        <v>8.1</v>
      </c>
      <c r="U48" s="96">
        <f t="shared" si="13"/>
        <v>2.4382534880570731E-3</v>
      </c>
      <c r="V48" s="96" t="str">
        <f t="shared" si="14"/>
        <v/>
      </c>
      <c r="W48" s="96">
        <f t="shared" si="15"/>
        <v>2.4382534880570731E-3</v>
      </c>
      <c r="X48" s="96"/>
      <c r="Y48" s="96"/>
      <c r="Z48" s="94"/>
      <c r="AA48" s="57"/>
      <c r="AB48" s="95"/>
    </row>
    <row r="49" spans="2:28" outlineLevel="1" x14ac:dyDescent="0.35">
      <c r="B49" s="27"/>
      <c r="D49" s="6"/>
      <c r="E49" s="93" t="s">
        <v>10</v>
      </c>
      <c r="F49" s="62">
        <f t="shared" si="23"/>
        <v>0</v>
      </c>
      <c r="G49" s="62">
        <f t="shared" si="23"/>
        <v>0</v>
      </c>
      <c r="H49" s="62">
        <f t="shared" si="23"/>
        <v>0</v>
      </c>
      <c r="I49" s="62">
        <f t="shared" si="23"/>
        <v>0</v>
      </c>
      <c r="J49" s="62">
        <f t="shared" si="23"/>
        <v>0</v>
      </c>
      <c r="K49" s="62">
        <f t="shared" si="23"/>
        <v>0</v>
      </c>
      <c r="L49" s="62">
        <f t="shared" si="23"/>
        <v>0</v>
      </c>
      <c r="M49" s="62">
        <f t="shared" si="23"/>
        <v>0</v>
      </c>
      <c r="N49" s="62">
        <f t="shared" si="23"/>
        <v>0</v>
      </c>
      <c r="O49" s="62">
        <f t="shared" si="23"/>
        <v>0</v>
      </c>
      <c r="P49" s="62">
        <f t="shared" si="23"/>
        <v>0</v>
      </c>
      <c r="Q49" s="94">
        <f t="shared" si="22"/>
        <v>0</v>
      </c>
      <c r="R49" s="94">
        <f t="shared" si="2"/>
        <v>0</v>
      </c>
      <c r="S49" s="94">
        <f t="shared" si="3"/>
        <v>0</v>
      </c>
      <c r="T49" s="95">
        <f t="shared" si="4"/>
        <v>0</v>
      </c>
      <c r="U49" s="96">
        <f t="shared" si="13"/>
        <v>0</v>
      </c>
      <c r="V49" s="96" t="str">
        <f t="shared" si="14"/>
        <v/>
      </c>
      <c r="W49" s="96">
        <f t="shared" si="15"/>
        <v>0</v>
      </c>
      <c r="X49" s="96"/>
      <c r="Y49" s="96"/>
      <c r="Z49" s="94"/>
      <c r="AA49" s="57"/>
      <c r="AB49" s="95"/>
    </row>
    <row r="50" spans="2:28" x14ac:dyDescent="0.35">
      <c r="B50" s="27"/>
      <c r="C50" s="2" t="s">
        <v>195</v>
      </c>
      <c r="D50" s="6"/>
      <c r="E50" s="93"/>
      <c r="F50" s="284">
        <v>25.220376999999999</v>
      </c>
      <c r="G50" s="284">
        <v>25.220376999999999</v>
      </c>
      <c r="H50" s="284">
        <v>25.220376999999999</v>
      </c>
      <c r="I50" s="284">
        <v>25.220376999999999</v>
      </c>
      <c r="J50" s="284">
        <v>25.220376999999999</v>
      </c>
      <c r="K50" s="284">
        <v>25.220376999999999</v>
      </c>
      <c r="L50" s="284">
        <v>25.220376999999999</v>
      </c>
      <c r="M50" s="284">
        <v>25.220376999999999</v>
      </c>
      <c r="N50" s="284">
        <v>25.220376999999999</v>
      </c>
      <c r="O50" s="284">
        <v>25.220376999999999</v>
      </c>
      <c r="P50" s="284">
        <v>25.220376999999999</v>
      </c>
      <c r="Q50" s="288">
        <v>25.220376999999999</v>
      </c>
      <c r="R50" s="57">
        <f t="shared" si="2"/>
        <v>302.64452399999993</v>
      </c>
      <c r="S50" s="57">
        <f t="shared" si="3"/>
        <v>0</v>
      </c>
      <c r="T50" s="57">
        <f t="shared" si="4"/>
        <v>302.64452399999993</v>
      </c>
      <c r="U50" s="96">
        <f t="shared" si="13"/>
        <v>9.1101736578317591E-2</v>
      </c>
      <c r="V50" s="96" t="str">
        <f t="shared" si="14"/>
        <v/>
      </c>
      <c r="W50" s="96">
        <f t="shared" si="15"/>
        <v>9.1101736578317591E-2</v>
      </c>
      <c r="X50" s="96"/>
      <c r="Y50" s="96"/>
      <c r="Z50" s="94"/>
      <c r="AA50" s="57"/>
      <c r="AB50" s="57"/>
    </row>
    <row r="51" spans="2:28" x14ac:dyDescent="0.35">
      <c r="C51" s="2" t="s">
        <v>191</v>
      </c>
      <c r="D51" s="55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>
        <v>0</v>
      </c>
      <c r="R51" s="57">
        <f t="shared" si="2"/>
        <v>0</v>
      </c>
      <c r="S51" s="57">
        <f t="shared" si="3"/>
        <v>0</v>
      </c>
      <c r="T51" s="57">
        <f t="shared" si="4"/>
        <v>0</v>
      </c>
      <c r="U51" s="96">
        <f t="shared" si="13"/>
        <v>0</v>
      </c>
      <c r="V51" s="96" t="str">
        <f t="shared" si="14"/>
        <v/>
      </c>
      <c r="W51" s="96">
        <f t="shared" si="15"/>
        <v>0</v>
      </c>
      <c r="X51" s="96"/>
      <c r="Y51" s="96"/>
      <c r="Z51" s="59"/>
      <c r="AA51" s="59"/>
      <c r="AB51" s="59"/>
    </row>
    <row r="52" spans="2:28" x14ac:dyDescent="0.35">
      <c r="C52" s="2" t="s">
        <v>208</v>
      </c>
      <c r="D52" s="55"/>
      <c r="F52" s="60">
        <f>62998000/(10^6)</f>
        <v>62.997999999999998</v>
      </c>
      <c r="G52" s="60">
        <f>60423455/(10^6)</f>
        <v>60.423454999999997</v>
      </c>
      <c r="H52" s="60">
        <f>59475860/(10^6)</f>
        <v>59.475859999999997</v>
      </c>
      <c r="I52" s="60">
        <f>60965753/(10^6)</f>
        <v>60.965752999999999</v>
      </c>
      <c r="J52" s="60">
        <f>62997945/(10^6)</f>
        <v>62.997945000000001</v>
      </c>
      <c r="K52" s="60">
        <f>62997891/(10^6)</f>
        <v>62.997891000000003</v>
      </c>
      <c r="L52" s="60">
        <f>62997945/(10^6)</f>
        <v>62.997945000000001</v>
      </c>
      <c r="M52" s="60">
        <f>62997945/(10^6)</f>
        <v>62.997945000000001</v>
      </c>
      <c r="N52" s="60">
        <f>60965753/(10^6)</f>
        <v>60.965752999999999</v>
      </c>
      <c r="O52" s="60">
        <f>59060206/(10^6)</f>
        <v>59.060206000000001</v>
      </c>
      <c r="P52" s="60">
        <f>57917466/(10^6)</f>
        <v>57.917465999999997</v>
      </c>
      <c r="Q52" s="60">
        <f>68829452/(10^6)</f>
        <v>68.829452000000003</v>
      </c>
      <c r="R52" s="57">
        <f t="shared" si="2"/>
        <v>742.62767099999996</v>
      </c>
      <c r="S52" s="57">
        <f t="shared" si="3"/>
        <v>0</v>
      </c>
      <c r="T52" s="57">
        <f t="shared" si="4"/>
        <v>742.62767099999996</v>
      </c>
      <c r="U52" s="96">
        <f t="shared" si="13"/>
        <v>0.22354500112882106</v>
      </c>
      <c r="V52" s="96" t="str">
        <f t="shared" si="14"/>
        <v/>
      </c>
      <c r="W52" s="96">
        <f t="shared" si="15"/>
        <v>0.22354500112882106</v>
      </c>
      <c r="X52" s="96"/>
      <c r="Y52" s="96"/>
      <c r="Z52" s="107"/>
      <c r="AA52" s="59"/>
      <c r="AB52" s="59"/>
    </row>
    <row r="53" spans="2:28" x14ac:dyDescent="0.35">
      <c r="B53" s="86" t="s">
        <v>48</v>
      </c>
      <c r="C53" s="87"/>
      <c r="D53" s="87"/>
      <c r="E53" s="70"/>
      <c r="F53" s="88">
        <f>F42-F44-F50+F51-F52</f>
        <v>-437.63507799999996</v>
      </c>
      <c r="G53" s="88">
        <f t="shared" ref="G53:Q53" si="24">G42-G44-G50+G51-G52</f>
        <v>-389.41970800000001</v>
      </c>
      <c r="H53" s="88">
        <f t="shared" si="24"/>
        <v>-362.091318</v>
      </c>
      <c r="I53" s="88">
        <f t="shared" si="24"/>
        <v>-391.58431200000001</v>
      </c>
      <c r="J53" s="88">
        <f t="shared" si="24"/>
        <v>-367.35138899999998</v>
      </c>
      <c r="K53" s="88">
        <f t="shared" si="24"/>
        <v>-321.18556100000001</v>
      </c>
      <c r="L53" s="88">
        <f t="shared" si="24"/>
        <v>-282.15051600000004</v>
      </c>
      <c r="M53" s="88">
        <f t="shared" si="24"/>
        <v>-331.41341199999999</v>
      </c>
      <c r="N53" s="88">
        <f t="shared" si="24"/>
        <v>-293.557142</v>
      </c>
      <c r="O53" s="88">
        <f t="shared" si="24"/>
        <v>-281.05212500000005</v>
      </c>
      <c r="P53" s="88">
        <f t="shared" si="24"/>
        <v>-236.91213500000003</v>
      </c>
      <c r="Q53" s="88">
        <f t="shared" si="24"/>
        <v>-217.594629</v>
      </c>
      <c r="R53" s="88">
        <f t="shared" si="2"/>
        <v>-3911.9473250000005</v>
      </c>
      <c r="S53" s="88">
        <f t="shared" si="3"/>
        <v>0</v>
      </c>
      <c r="T53" s="88">
        <f t="shared" si="4"/>
        <v>-3911.9473250000005</v>
      </c>
      <c r="U53" s="101">
        <f t="shared" si="13"/>
        <v>-1.1775702728736777</v>
      </c>
      <c r="V53" s="101" t="str">
        <f t="shared" si="14"/>
        <v/>
      </c>
      <c r="W53" s="101">
        <f t="shared" si="15"/>
        <v>-1.1775702728736777</v>
      </c>
      <c r="X53" s="101"/>
      <c r="Y53" s="101"/>
      <c r="Z53" s="88"/>
      <c r="AA53" s="88"/>
      <c r="AB53" s="205"/>
    </row>
    <row r="54" spans="2:28" ht="13.15" thickBot="1" x14ac:dyDescent="0.4">
      <c r="C54" s="2" t="s">
        <v>193</v>
      </c>
      <c r="D54" s="55"/>
      <c r="F54" s="59">
        <f>IF(F53&lt;0,0,F53*20%)</f>
        <v>0</v>
      </c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>
        <f t="shared" si="2"/>
        <v>0</v>
      </c>
      <c r="S54" s="59">
        <f t="shared" si="3"/>
        <v>0</v>
      </c>
      <c r="T54" s="59">
        <f t="shared" si="4"/>
        <v>0</v>
      </c>
      <c r="U54" s="105">
        <f t="shared" si="13"/>
        <v>0</v>
      </c>
      <c r="V54" s="105" t="str">
        <f t="shared" si="14"/>
        <v/>
      </c>
      <c r="W54" s="105">
        <f t="shared" si="15"/>
        <v>0</v>
      </c>
      <c r="X54" s="105"/>
      <c r="Y54" s="105"/>
      <c r="Z54" s="59"/>
      <c r="AA54" s="59"/>
      <c r="AB54" s="206"/>
    </row>
    <row r="55" spans="2:28" x14ac:dyDescent="0.35">
      <c r="B55" s="89" t="s">
        <v>194</v>
      </c>
      <c r="C55" s="90"/>
      <c r="D55" s="90"/>
      <c r="E55" s="91"/>
      <c r="F55" s="92">
        <f>F53-F54</f>
        <v>-437.63507799999996</v>
      </c>
      <c r="G55" s="92">
        <f t="shared" ref="G55:Q55" si="25">G53-G54</f>
        <v>-389.41970800000001</v>
      </c>
      <c r="H55" s="92">
        <f t="shared" si="25"/>
        <v>-362.091318</v>
      </c>
      <c r="I55" s="92">
        <f t="shared" si="25"/>
        <v>-391.58431200000001</v>
      </c>
      <c r="J55" s="92">
        <f t="shared" si="25"/>
        <v>-367.35138899999998</v>
      </c>
      <c r="K55" s="92">
        <f t="shared" si="25"/>
        <v>-321.18556100000001</v>
      </c>
      <c r="L55" s="92">
        <f t="shared" si="25"/>
        <v>-282.15051600000004</v>
      </c>
      <c r="M55" s="92">
        <f t="shared" si="25"/>
        <v>-331.41341199999999</v>
      </c>
      <c r="N55" s="92">
        <f t="shared" si="25"/>
        <v>-293.557142</v>
      </c>
      <c r="O55" s="92">
        <f t="shared" si="25"/>
        <v>-281.05212500000005</v>
      </c>
      <c r="P55" s="92">
        <f t="shared" si="25"/>
        <v>-236.91213500000003</v>
      </c>
      <c r="Q55" s="92">
        <f t="shared" si="25"/>
        <v>-217.594629</v>
      </c>
      <c r="R55" s="92">
        <f t="shared" si="2"/>
        <v>-3911.9473250000005</v>
      </c>
      <c r="S55" s="92">
        <f t="shared" si="3"/>
        <v>0</v>
      </c>
      <c r="T55" s="92">
        <f t="shared" si="4"/>
        <v>-3911.9473250000005</v>
      </c>
      <c r="U55" s="92">
        <f t="shared" si="13"/>
        <v>-1.1775702728736777</v>
      </c>
      <c r="V55" s="92" t="str">
        <f t="shared" si="14"/>
        <v/>
      </c>
      <c r="W55" s="92">
        <f t="shared" si="15"/>
        <v>-1.1775702728736777</v>
      </c>
      <c r="X55" s="92"/>
      <c r="Y55" s="92"/>
      <c r="Z55" s="92"/>
      <c r="AA55" s="92"/>
      <c r="AB55" s="207"/>
    </row>
    <row r="56" spans="2:28" ht="13.15" thickBot="1" x14ac:dyDescent="0.4">
      <c r="C56" s="2" t="s">
        <v>204</v>
      </c>
      <c r="D56" s="55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>
        <f t="shared" si="2"/>
        <v>0</v>
      </c>
      <c r="S56" s="59">
        <f t="shared" si="3"/>
        <v>0</v>
      </c>
      <c r="T56" s="59">
        <f t="shared" si="4"/>
        <v>0</v>
      </c>
      <c r="U56" s="59">
        <f t="shared" si="13"/>
        <v>0</v>
      </c>
      <c r="V56" s="59" t="str">
        <f t="shared" si="14"/>
        <v/>
      </c>
      <c r="W56" s="59">
        <f t="shared" si="15"/>
        <v>0</v>
      </c>
      <c r="X56" s="59"/>
      <c r="Y56" s="59"/>
      <c r="Z56" s="108"/>
      <c r="AA56" s="59"/>
      <c r="AB56" s="206"/>
    </row>
    <row r="57" spans="2:28" x14ac:dyDescent="0.35">
      <c r="B57" s="90" t="s">
        <v>205</v>
      </c>
      <c r="C57" s="90"/>
      <c r="D57" s="91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>
        <f t="shared" ref="R57" si="26">SUMIFS($F57:$Q57,$F$7:$Q$7,"A")</f>
        <v>0</v>
      </c>
      <c r="S57" s="92">
        <f t="shared" ref="S57" si="27">SUMIFS($F57:$Q57,$F$7:$Q$7,"B")</f>
        <v>0</v>
      </c>
      <c r="T57" s="92">
        <f t="shared" ref="T57" si="28">SUM(R57:S57)</f>
        <v>0</v>
      </c>
      <c r="U57" s="92">
        <f t="shared" si="13"/>
        <v>0</v>
      </c>
      <c r="V57" s="92" t="str">
        <f t="shared" si="14"/>
        <v/>
      </c>
      <c r="W57" s="92">
        <f t="shared" si="15"/>
        <v>0</v>
      </c>
      <c r="X57" s="92"/>
      <c r="Y57" s="92"/>
      <c r="Z57" s="92"/>
      <c r="AA57" s="92"/>
      <c r="AB57" s="207"/>
    </row>
    <row r="59" spans="2:28" x14ac:dyDescent="0.35">
      <c r="B59" s="6" t="s">
        <v>281</v>
      </c>
      <c r="Z59" s="208"/>
    </row>
    <row r="60" spans="2:28" x14ac:dyDescent="0.35">
      <c r="B60" s="6" t="s">
        <v>280</v>
      </c>
      <c r="F60" s="200">
        <f>'Site list'!$G$7*(1-'Site list'!$H$7)/10/12</f>
        <v>8.3324474999999936</v>
      </c>
      <c r="G60" s="200">
        <f>'Site list'!$G$7*(1-'Site list'!$H$7)/10/12</f>
        <v>8.3324474999999936</v>
      </c>
      <c r="H60" s="200">
        <f>'Site list'!$G$7*(1-'Site list'!$H$7)/10/12</f>
        <v>8.3324474999999936</v>
      </c>
      <c r="I60" s="200">
        <f>'Site list'!$G$7*(1-'Site list'!$H$7)/10/12</f>
        <v>8.3324474999999936</v>
      </c>
      <c r="J60" s="200">
        <f>'Site list'!$G$7*(1-'Site list'!$H$7)/10/12</f>
        <v>8.3324474999999936</v>
      </c>
      <c r="K60" s="200">
        <f>'Site list'!$G$7*(1-'Site list'!$H$7)/10/12</f>
        <v>8.3324474999999936</v>
      </c>
      <c r="L60" s="200">
        <f>'Site list'!$G$7*(1-'Site list'!$H$7)/10/12</f>
        <v>8.3324474999999936</v>
      </c>
      <c r="M60" s="200">
        <f>'Site list'!$G$7*(1-'Site list'!$H$7)/10/12</f>
        <v>8.3324474999999936</v>
      </c>
      <c r="N60" s="200">
        <f>'Site list'!$G$7*(1-'Site list'!$H$7)/10/12</f>
        <v>8.3324474999999936</v>
      </c>
      <c r="O60" s="200">
        <f>'Site list'!$G$7*(1-'Site list'!$H$7)/10/12</f>
        <v>8.3324474999999936</v>
      </c>
      <c r="P60" s="200">
        <f>'Site list'!$G$7*(1-'Site list'!$H$7)/10/12</f>
        <v>8.3324474999999936</v>
      </c>
      <c r="Q60" s="200">
        <f>'Site list'!$G$7*(1-'Site list'!$H$7)/10/12</f>
        <v>8.3324474999999936</v>
      </c>
      <c r="Z60" s="204"/>
      <c r="AB60" s="62"/>
    </row>
    <row r="61" spans="2:28" x14ac:dyDescent="0.35">
      <c r="B61" s="6" t="s">
        <v>137</v>
      </c>
    </row>
    <row r="62" spans="2:28" x14ac:dyDescent="0.35">
      <c r="E62" s="93" t="s">
        <v>6</v>
      </c>
      <c r="F62" s="84">
        <v>42</v>
      </c>
      <c r="G62" s="84">
        <v>67</v>
      </c>
      <c r="H62" s="84">
        <v>111</v>
      </c>
      <c r="I62" s="84">
        <v>96</v>
      </c>
      <c r="J62" s="84">
        <v>123</v>
      </c>
      <c r="K62" s="84">
        <v>130</v>
      </c>
      <c r="L62" s="84">
        <v>144</v>
      </c>
      <c r="M62" s="84">
        <v>181</v>
      </c>
      <c r="N62" s="84">
        <v>176</v>
      </c>
      <c r="O62" s="84">
        <v>200</v>
      </c>
      <c r="P62" s="84">
        <v>232</v>
      </c>
      <c r="Q62" s="84">
        <v>243</v>
      </c>
      <c r="R62" s="57">
        <f t="shared" ref="R62:R64" si="29">SUMIFS($F62:$Q62,$F$7:$Q$7,"A")</f>
        <v>1745</v>
      </c>
      <c r="S62" s="57">
        <f t="shared" ref="S62:S64" si="30">SUMIFS($F62:$Q62,$F$7:$Q$7,"B")</f>
        <v>0</v>
      </c>
      <c r="T62" s="57">
        <f t="shared" ref="T62:T64" si="31">SUM(R62:S62)</f>
        <v>1745</v>
      </c>
      <c r="U62" s="84"/>
      <c r="V62" s="84"/>
    </row>
    <row r="63" spans="2:28" x14ac:dyDescent="0.35">
      <c r="E63" s="93" t="s">
        <v>8</v>
      </c>
      <c r="L63" s="84">
        <v>2</v>
      </c>
      <c r="M63" s="84">
        <v>1</v>
      </c>
      <c r="N63" s="84">
        <v>15</v>
      </c>
      <c r="O63" s="84">
        <v>6</v>
      </c>
      <c r="P63" s="84">
        <v>1</v>
      </c>
      <c r="Q63" s="84">
        <v>15</v>
      </c>
      <c r="R63" s="57">
        <f t="shared" si="29"/>
        <v>40</v>
      </c>
      <c r="S63" s="57">
        <f t="shared" si="30"/>
        <v>0</v>
      </c>
      <c r="T63" s="57">
        <f t="shared" si="31"/>
        <v>40</v>
      </c>
      <c r="U63" s="84"/>
      <c r="V63" s="84"/>
    </row>
    <row r="64" spans="2:28" x14ac:dyDescent="0.35">
      <c r="E64" s="93" t="s">
        <v>448</v>
      </c>
      <c r="L64" s="84"/>
      <c r="M64" s="84"/>
      <c r="N64" s="84">
        <v>4</v>
      </c>
      <c r="O64" s="84">
        <v>21</v>
      </c>
      <c r="P64" s="84">
        <v>18</v>
      </c>
      <c r="Q64" s="84">
        <v>11</v>
      </c>
      <c r="R64" s="57">
        <f t="shared" si="29"/>
        <v>54</v>
      </c>
      <c r="S64" s="57">
        <f t="shared" si="30"/>
        <v>0</v>
      </c>
      <c r="T64" s="57">
        <f t="shared" si="31"/>
        <v>54</v>
      </c>
      <c r="U64" s="84"/>
      <c r="V64" s="84"/>
    </row>
    <row r="65" spans="2:22" x14ac:dyDescent="0.35">
      <c r="B65" s="6" t="s">
        <v>444</v>
      </c>
    </row>
    <row r="66" spans="2:22" x14ac:dyDescent="0.35">
      <c r="E66" s="93" t="s">
        <v>6</v>
      </c>
      <c r="F66" s="62">
        <f t="shared" ref="F66:Q66" si="32">F12*10^6/F62</f>
        <v>1800000</v>
      </c>
      <c r="G66" s="62">
        <f t="shared" si="32"/>
        <v>1908955.2238805969</v>
      </c>
      <c r="H66" s="62">
        <f t="shared" si="32"/>
        <v>1860810.8108108109</v>
      </c>
      <c r="I66" s="62">
        <f t="shared" si="32"/>
        <v>1811458.3333333333</v>
      </c>
      <c r="J66" s="62">
        <f t="shared" si="32"/>
        <v>1944715.4471544717</v>
      </c>
      <c r="K66" s="62">
        <f t="shared" si="32"/>
        <v>1916923.076923077</v>
      </c>
      <c r="L66" s="62">
        <f t="shared" si="32"/>
        <v>1891666.6666666667</v>
      </c>
      <c r="M66" s="62">
        <f t="shared" si="32"/>
        <v>1903867.4033149171</v>
      </c>
      <c r="N66" s="62">
        <f t="shared" si="32"/>
        <v>1910795.4545454546</v>
      </c>
      <c r="O66" s="62">
        <f t="shared" si="32"/>
        <v>1866500</v>
      </c>
      <c r="P66" s="62">
        <f t="shared" si="32"/>
        <v>1860775.8620689656</v>
      </c>
      <c r="Q66" s="62">
        <f t="shared" si="32"/>
        <v>1844855.9670781894</v>
      </c>
    </row>
    <row r="67" spans="2:22" x14ac:dyDescent="0.35">
      <c r="E67" s="93" t="s">
        <v>8</v>
      </c>
      <c r="L67" s="62">
        <f t="shared" ref="L67:Q67" si="33">L14*10^6/L63</f>
        <v>750000</v>
      </c>
      <c r="M67" s="62">
        <f t="shared" si="33"/>
        <v>1000000</v>
      </c>
      <c r="N67" s="62">
        <f t="shared" si="33"/>
        <v>816666.66666666663</v>
      </c>
      <c r="O67" s="62">
        <f t="shared" si="33"/>
        <v>750000</v>
      </c>
      <c r="P67" s="62">
        <f t="shared" si="33"/>
        <v>750000</v>
      </c>
      <c r="Q67" s="62">
        <f t="shared" si="33"/>
        <v>1000000</v>
      </c>
    </row>
    <row r="68" spans="2:22" x14ac:dyDescent="0.35">
      <c r="E68" s="93" t="s">
        <v>448</v>
      </c>
      <c r="N68" s="62">
        <f>N15*10^6/N64</f>
        <v>150000</v>
      </c>
      <c r="O68" s="62">
        <f>O15*10^6/O64</f>
        <v>150000</v>
      </c>
      <c r="P68" s="62">
        <f>P15*10^6/P64</f>
        <v>150000</v>
      </c>
      <c r="Q68" s="62">
        <f>Q15*10^6/Q64</f>
        <v>150000</v>
      </c>
    </row>
    <row r="70" spans="2:22" x14ac:dyDescent="0.35">
      <c r="B70" s="6" t="s">
        <v>140</v>
      </c>
      <c r="C70" s="55"/>
    </row>
    <row r="71" spans="2:22" x14ac:dyDescent="0.35">
      <c r="C71" s="55"/>
      <c r="E71" s="2" t="s">
        <v>6</v>
      </c>
      <c r="F71" s="2">
        <f t="shared" ref="F71:Q71" si="34">30*9*60/20</f>
        <v>810</v>
      </c>
      <c r="G71" s="2">
        <f t="shared" si="34"/>
        <v>810</v>
      </c>
      <c r="H71" s="2">
        <f t="shared" si="34"/>
        <v>810</v>
      </c>
      <c r="I71" s="2">
        <f t="shared" si="34"/>
        <v>810</v>
      </c>
      <c r="J71" s="2">
        <f t="shared" si="34"/>
        <v>810</v>
      </c>
      <c r="K71" s="2">
        <f t="shared" si="34"/>
        <v>810</v>
      </c>
      <c r="L71" s="2">
        <f t="shared" si="34"/>
        <v>810</v>
      </c>
      <c r="M71" s="2">
        <f t="shared" si="34"/>
        <v>810</v>
      </c>
      <c r="N71" s="2">
        <f t="shared" si="34"/>
        <v>810</v>
      </c>
      <c r="O71" s="2">
        <f t="shared" si="34"/>
        <v>810</v>
      </c>
      <c r="P71" s="2">
        <f t="shared" si="34"/>
        <v>810</v>
      </c>
      <c r="Q71" s="2">
        <f t="shared" si="34"/>
        <v>810</v>
      </c>
      <c r="R71" s="57">
        <f t="shared" ref="R71:R74" si="35">SUMIFS($F71:$Q71,$F$7:$Q$7,"A")</f>
        <v>9720</v>
      </c>
      <c r="S71" s="57">
        <f t="shared" ref="S71:S74" si="36">SUMIFS($F71:$Q71,$F$7:$Q$7,"B")</f>
        <v>0</v>
      </c>
      <c r="T71" s="57">
        <f t="shared" ref="T71:T74" si="37">SUM(R71:S71)</f>
        <v>9720</v>
      </c>
      <c r="U71" s="84"/>
      <c r="V71" s="84"/>
    </row>
    <row r="72" spans="2:22" x14ac:dyDescent="0.35">
      <c r="C72" s="55"/>
      <c r="E72" s="2" t="s">
        <v>7</v>
      </c>
      <c r="F72" s="2">
        <f t="shared" ref="F72:Q72" si="38">30*9*60/15</f>
        <v>1080</v>
      </c>
      <c r="G72" s="2">
        <f t="shared" si="38"/>
        <v>1080</v>
      </c>
      <c r="H72" s="2">
        <f t="shared" si="38"/>
        <v>1080</v>
      </c>
      <c r="I72" s="2">
        <f t="shared" si="38"/>
        <v>1080</v>
      </c>
      <c r="J72" s="2">
        <f t="shared" si="38"/>
        <v>1080</v>
      </c>
      <c r="K72" s="2">
        <f t="shared" si="38"/>
        <v>1080</v>
      </c>
      <c r="L72" s="2">
        <f t="shared" si="38"/>
        <v>1080</v>
      </c>
      <c r="M72" s="2">
        <f t="shared" si="38"/>
        <v>1080</v>
      </c>
      <c r="N72" s="2">
        <f t="shared" si="38"/>
        <v>1080</v>
      </c>
      <c r="O72" s="2">
        <f t="shared" si="38"/>
        <v>1080</v>
      </c>
      <c r="P72" s="2">
        <f t="shared" si="38"/>
        <v>1080</v>
      </c>
      <c r="Q72" s="2">
        <f t="shared" si="38"/>
        <v>1080</v>
      </c>
      <c r="R72" s="57">
        <f t="shared" si="35"/>
        <v>12960</v>
      </c>
      <c r="S72" s="57">
        <f t="shared" si="36"/>
        <v>0</v>
      </c>
      <c r="T72" s="57">
        <f t="shared" si="37"/>
        <v>12960</v>
      </c>
      <c r="U72" s="84"/>
      <c r="V72" s="84"/>
    </row>
    <row r="73" spans="2:22" x14ac:dyDescent="0.35">
      <c r="C73" s="55"/>
      <c r="E73" s="2" t="s">
        <v>8</v>
      </c>
      <c r="F73" s="2">
        <f t="shared" ref="F73:Q73" si="39">30*9*60/10</f>
        <v>1620</v>
      </c>
      <c r="G73" s="2">
        <f t="shared" si="39"/>
        <v>1620</v>
      </c>
      <c r="H73" s="2">
        <f t="shared" si="39"/>
        <v>1620</v>
      </c>
      <c r="I73" s="2">
        <f t="shared" si="39"/>
        <v>1620</v>
      </c>
      <c r="J73" s="2">
        <f t="shared" si="39"/>
        <v>1620</v>
      </c>
      <c r="K73" s="2">
        <f t="shared" si="39"/>
        <v>1620</v>
      </c>
      <c r="L73" s="2">
        <f t="shared" si="39"/>
        <v>1620</v>
      </c>
      <c r="M73" s="2">
        <f t="shared" si="39"/>
        <v>1620</v>
      </c>
      <c r="N73" s="2">
        <f t="shared" si="39"/>
        <v>1620</v>
      </c>
      <c r="O73" s="2">
        <f t="shared" si="39"/>
        <v>1620</v>
      </c>
      <c r="P73" s="2">
        <f t="shared" si="39"/>
        <v>1620</v>
      </c>
      <c r="Q73" s="2">
        <f t="shared" si="39"/>
        <v>1620</v>
      </c>
      <c r="R73" s="57">
        <f t="shared" si="35"/>
        <v>19440</v>
      </c>
      <c r="S73" s="57">
        <f t="shared" si="36"/>
        <v>0</v>
      </c>
      <c r="T73" s="57">
        <f t="shared" si="37"/>
        <v>19440</v>
      </c>
      <c r="U73" s="84"/>
      <c r="V73" s="84"/>
    </row>
    <row r="74" spans="2:22" x14ac:dyDescent="0.35">
      <c r="C74" s="55"/>
      <c r="E74" s="2" t="s">
        <v>9</v>
      </c>
      <c r="F74" s="2">
        <f t="shared" ref="F74:Q74" si="40">30*9*60/8</f>
        <v>2025</v>
      </c>
      <c r="G74" s="2">
        <f t="shared" si="40"/>
        <v>2025</v>
      </c>
      <c r="H74" s="2">
        <f t="shared" si="40"/>
        <v>2025</v>
      </c>
      <c r="I74" s="2">
        <f t="shared" si="40"/>
        <v>2025</v>
      </c>
      <c r="J74" s="2">
        <f t="shared" si="40"/>
        <v>2025</v>
      </c>
      <c r="K74" s="2">
        <f t="shared" si="40"/>
        <v>2025</v>
      </c>
      <c r="L74" s="2">
        <f t="shared" si="40"/>
        <v>2025</v>
      </c>
      <c r="M74" s="2">
        <f t="shared" si="40"/>
        <v>2025</v>
      </c>
      <c r="N74" s="2">
        <f t="shared" si="40"/>
        <v>2025</v>
      </c>
      <c r="O74" s="2">
        <f t="shared" si="40"/>
        <v>2025</v>
      </c>
      <c r="P74" s="2">
        <f t="shared" si="40"/>
        <v>2025</v>
      </c>
      <c r="Q74" s="2">
        <f t="shared" si="40"/>
        <v>2025</v>
      </c>
      <c r="R74" s="57">
        <f t="shared" si="35"/>
        <v>24300</v>
      </c>
      <c r="S74" s="57">
        <f t="shared" si="36"/>
        <v>0</v>
      </c>
      <c r="T74" s="57">
        <f t="shared" si="37"/>
        <v>24300</v>
      </c>
      <c r="U74" s="84"/>
      <c r="V74" s="84"/>
    </row>
    <row r="76" spans="2:22" x14ac:dyDescent="0.35">
      <c r="B76" s="6" t="s">
        <v>442</v>
      </c>
    </row>
    <row r="77" spans="2:22" x14ac:dyDescent="0.35">
      <c r="E77" s="2" t="s">
        <v>6</v>
      </c>
      <c r="F77" s="201">
        <f>F62/F71</f>
        <v>5.185185185185185E-2</v>
      </c>
      <c r="G77" s="201">
        <f t="shared" ref="G77:Q77" si="41">G62/G71</f>
        <v>8.2716049382716053E-2</v>
      </c>
      <c r="H77" s="201">
        <f t="shared" si="41"/>
        <v>0.13703703703703704</v>
      </c>
      <c r="I77" s="201">
        <f t="shared" si="41"/>
        <v>0.11851851851851852</v>
      </c>
      <c r="J77" s="201">
        <f t="shared" si="41"/>
        <v>0.15185185185185185</v>
      </c>
      <c r="K77" s="201">
        <f t="shared" si="41"/>
        <v>0.16049382716049382</v>
      </c>
      <c r="L77" s="201">
        <f t="shared" si="41"/>
        <v>0.17777777777777778</v>
      </c>
      <c r="M77" s="201">
        <f t="shared" si="41"/>
        <v>0.22345679012345679</v>
      </c>
      <c r="N77" s="201">
        <f t="shared" si="41"/>
        <v>0.21728395061728395</v>
      </c>
      <c r="O77" s="201">
        <f t="shared" si="41"/>
        <v>0.24691358024691357</v>
      </c>
      <c r="P77" s="201">
        <f t="shared" si="41"/>
        <v>0.28641975308641976</v>
      </c>
      <c r="Q77" s="201">
        <f t="shared" si="41"/>
        <v>0.3</v>
      </c>
      <c r="R77" s="201">
        <f t="shared" ref="R77:T77" si="42">R62/R71</f>
        <v>0.17952674897119342</v>
      </c>
      <c r="T77" s="201">
        <f t="shared" si="42"/>
        <v>0.17952674897119342</v>
      </c>
      <c r="U77" s="201"/>
      <c r="V77" s="201"/>
    </row>
    <row r="78" spans="2:22" x14ac:dyDescent="0.35">
      <c r="E78" s="2" t="s">
        <v>7</v>
      </c>
    </row>
    <row r="79" spans="2:22" x14ac:dyDescent="0.35">
      <c r="E79" s="2" t="s">
        <v>8</v>
      </c>
      <c r="L79" s="315">
        <f t="shared" ref="L79:Q79" si="43">L63/L73</f>
        <v>1.2345679012345679E-3</v>
      </c>
      <c r="M79" s="315">
        <f t="shared" si="43"/>
        <v>6.1728395061728394E-4</v>
      </c>
      <c r="N79" s="315">
        <f t="shared" si="43"/>
        <v>9.2592592592592587E-3</v>
      </c>
      <c r="O79" s="315">
        <f t="shared" si="43"/>
        <v>3.7037037037037038E-3</v>
      </c>
      <c r="P79" s="315">
        <f t="shared" si="43"/>
        <v>6.1728395061728394E-4</v>
      </c>
      <c r="Q79" s="315">
        <f t="shared" si="43"/>
        <v>9.2592592592592587E-3</v>
      </c>
      <c r="R79" s="315">
        <f t="shared" ref="R79:T79" si="44">R63/R73</f>
        <v>2.05761316872428E-3</v>
      </c>
      <c r="T79" s="315">
        <f t="shared" si="44"/>
        <v>2.05761316872428E-3</v>
      </c>
      <c r="U79" s="204"/>
      <c r="V79" s="204"/>
    </row>
    <row r="80" spans="2:22" x14ac:dyDescent="0.35">
      <c r="E80" s="2" t="s">
        <v>9</v>
      </c>
      <c r="N80" s="315">
        <f>N64/N74</f>
        <v>1.9753086419753087E-3</v>
      </c>
      <c r="O80" s="315">
        <f>O64/O74</f>
        <v>1.037037037037037E-2</v>
      </c>
      <c r="P80" s="315">
        <f>P64/P74</f>
        <v>8.8888888888888889E-3</v>
      </c>
      <c r="Q80" s="315">
        <f>Q64/Q74</f>
        <v>5.4320987654320986E-3</v>
      </c>
      <c r="R80" s="315">
        <f>R64/R74</f>
        <v>2.2222222222222222E-3</v>
      </c>
      <c r="T80" s="315">
        <f>T64/T74</f>
        <v>2.2222222222222222E-3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018B7-6181-4EAB-B8BC-C005A64BEB89}">
  <dimension ref="B3:AB61"/>
  <sheetViews>
    <sheetView workbookViewId="0">
      <pane xSplit="5" ySplit="9" topLeftCell="F10" activePane="bottomRight" state="frozen"/>
      <selection pane="topRight" activeCell="E1" sqref="E1"/>
      <selection pane="bottomLeft" activeCell="A4" sqref="A4"/>
      <selection pane="bottomRight" activeCell="K60" sqref="K60:Q61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45.1328125" style="2" customWidth="1"/>
    <col min="6" max="7" width="9.1328125" style="2" customWidth="1" outlineLevel="1"/>
    <col min="8" max="8" width="9" style="2" customWidth="1" outlineLevel="1"/>
    <col min="9" max="10" width="9.1328125" style="2" customWidth="1" outlineLevel="1"/>
    <col min="11" max="11" width="10" style="2" customWidth="1" outlineLevel="1"/>
    <col min="12" max="13" width="8.86328125" style="2" customWidth="1" outlineLevel="1"/>
    <col min="14" max="16" width="9.86328125" style="2" customWidth="1" outlineLevel="1"/>
    <col min="17" max="17" width="9.86328125" style="2" customWidth="1"/>
    <col min="18" max="18" width="11.265625" style="2" customWidth="1"/>
    <col min="19" max="19" width="9.73046875" style="2" customWidth="1"/>
    <col min="20" max="20" width="10.59765625" style="2" customWidth="1"/>
    <col min="21" max="21" width="7.265625" style="2" customWidth="1"/>
    <col min="22" max="22" width="7.59765625" style="2" customWidth="1"/>
    <col min="23" max="23" width="8.265625" style="2" customWidth="1"/>
    <col min="24" max="24" width="10.59765625" style="2" customWidth="1"/>
    <col min="25" max="25" width="8.73046875" style="2" customWidth="1"/>
    <col min="26" max="16384" width="9.1328125" style="2"/>
  </cols>
  <sheetData>
    <row r="3" spans="2:26" x14ac:dyDescent="0.35">
      <c r="H3" s="60"/>
    </row>
    <row r="4" spans="2:26" x14ac:dyDescent="0.35">
      <c r="B4" s="2" t="s">
        <v>25</v>
      </c>
    </row>
    <row r="6" spans="2:26" x14ac:dyDescent="0.35">
      <c r="B6" s="27" t="s">
        <v>135</v>
      </c>
    </row>
    <row r="7" spans="2:26" s="6" customFormat="1" x14ac:dyDescent="0.35">
      <c r="B7" s="6" t="s">
        <v>265</v>
      </c>
      <c r="F7" s="74" t="s">
        <v>141</v>
      </c>
      <c r="G7" s="74" t="s">
        <v>141</v>
      </c>
      <c r="H7" s="74" t="s">
        <v>141</v>
      </c>
      <c r="I7" s="74" t="s">
        <v>141</v>
      </c>
      <c r="J7" s="74" t="s">
        <v>141</v>
      </c>
      <c r="K7" s="74" t="s">
        <v>141</v>
      </c>
      <c r="L7" s="74" t="s">
        <v>141</v>
      </c>
      <c r="M7" s="74" t="s">
        <v>141</v>
      </c>
      <c r="N7" s="74" t="s">
        <v>141</v>
      </c>
      <c r="O7" s="74" t="s">
        <v>141</v>
      </c>
      <c r="P7" s="74" t="s">
        <v>141</v>
      </c>
      <c r="Q7" s="73" t="s">
        <v>141</v>
      </c>
    </row>
    <row r="8" spans="2:26" x14ac:dyDescent="0.35">
      <c r="B8" s="32" t="s">
        <v>55</v>
      </c>
      <c r="F8" s="32" t="s">
        <v>52</v>
      </c>
      <c r="R8" s="381" t="s">
        <v>622</v>
      </c>
      <c r="S8" s="380"/>
      <c r="T8" s="380"/>
      <c r="U8" s="381" t="s">
        <v>487</v>
      </c>
      <c r="V8" s="380"/>
      <c r="W8" s="380"/>
      <c r="X8" s="381" t="s">
        <v>505</v>
      </c>
      <c r="Y8" s="380"/>
    </row>
    <row r="9" spans="2:26" ht="13.5" x14ac:dyDescent="0.35">
      <c r="B9" s="45" t="s">
        <v>101</v>
      </c>
      <c r="F9" s="61">
        <v>1</v>
      </c>
      <c r="G9" s="61">
        <v>2</v>
      </c>
      <c r="H9" s="61">
        <v>3</v>
      </c>
      <c r="I9" s="61">
        <v>4</v>
      </c>
      <c r="J9" s="61">
        <v>5</v>
      </c>
      <c r="K9" s="61">
        <v>6</v>
      </c>
      <c r="L9" s="61">
        <v>7</v>
      </c>
      <c r="M9" s="61">
        <v>8</v>
      </c>
      <c r="N9" s="61">
        <v>9</v>
      </c>
      <c r="O9" s="61">
        <v>10</v>
      </c>
      <c r="P9" s="61">
        <v>11</v>
      </c>
      <c r="Q9" s="61">
        <v>12</v>
      </c>
      <c r="R9" s="32" t="s">
        <v>4</v>
      </c>
      <c r="S9" s="32" t="s">
        <v>5</v>
      </c>
      <c r="T9" s="32" t="s">
        <v>3</v>
      </c>
      <c r="U9" s="114" t="s">
        <v>484</v>
      </c>
      <c r="V9" s="113" t="s">
        <v>485</v>
      </c>
      <c r="W9" s="113" t="s">
        <v>486</v>
      </c>
      <c r="X9" s="113" t="s">
        <v>498</v>
      </c>
      <c r="Y9" s="113" t="s">
        <v>499</v>
      </c>
      <c r="Z9" s="73"/>
    </row>
    <row r="10" spans="2:26" x14ac:dyDescent="0.35">
      <c r="B10" s="27" t="s">
        <v>11</v>
      </c>
      <c r="D10" s="6"/>
      <c r="Q10" s="58"/>
    </row>
    <row r="11" spans="2:26" x14ac:dyDescent="0.35">
      <c r="D11" s="6" t="s">
        <v>12</v>
      </c>
      <c r="Q11" s="58"/>
    </row>
    <row r="12" spans="2:26" outlineLevel="1" x14ac:dyDescent="0.35">
      <c r="E12" s="2" t="s">
        <v>6</v>
      </c>
      <c r="F12" s="62"/>
      <c r="G12" s="62"/>
      <c r="H12" s="62"/>
      <c r="I12" s="62"/>
      <c r="J12" s="62"/>
      <c r="K12" s="62">
        <v>81.349999999999994</v>
      </c>
      <c r="L12" s="62">
        <v>311.85000000000002</v>
      </c>
      <c r="M12" s="62">
        <v>503.9</v>
      </c>
      <c r="N12" s="62">
        <v>323.54000000000002</v>
      </c>
      <c r="O12" s="62">
        <v>264.19</v>
      </c>
      <c r="P12" s="62">
        <v>229.89</v>
      </c>
      <c r="Q12" s="57">
        <v>225.57</v>
      </c>
      <c r="R12" s="62">
        <f t="shared" ref="R12:R18" si="0">SUMIFS($F12:$Q12,$F$7:$Q$7,"A")</f>
        <v>1940.2900000000002</v>
      </c>
      <c r="S12" s="62">
        <f t="shared" ref="S12:S18" si="1">SUMIFS($F12:$Q12,$F$7:$Q$7,"B")</f>
        <v>0</v>
      </c>
      <c r="T12" s="57">
        <f t="shared" ref="T12:T18" si="2">SUM(R12:S12)</f>
        <v>1940.2900000000002</v>
      </c>
      <c r="U12" s="118">
        <f t="shared" ref="U12:V27" si="3">IFERROR(R12/R$17,"")</f>
        <v>0.99684038552434195</v>
      </c>
      <c r="V12" s="118" t="str">
        <f t="shared" si="3"/>
        <v/>
      </c>
      <c r="W12" s="96">
        <f>IFERROR(T12/T$17,"")</f>
        <v>0.99684038552434195</v>
      </c>
      <c r="X12" s="97"/>
      <c r="Z12" s="57"/>
    </row>
    <row r="13" spans="2:26" outlineLevel="1" x14ac:dyDescent="0.35">
      <c r="E13" s="2" t="s">
        <v>7</v>
      </c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57">
        <f>P13</f>
        <v>0</v>
      </c>
      <c r="R13" s="62">
        <f t="shared" si="0"/>
        <v>0</v>
      </c>
      <c r="S13" s="62">
        <f t="shared" si="1"/>
        <v>0</v>
      </c>
      <c r="T13" s="57">
        <f t="shared" si="2"/>
        <v>0</v>
      </c>
      <c r="U13" s="118">
        <f t="shared" si="3"/>
        <v>0</v>
      </c>
      <c r="V13" s="118" t="str">
        <f t="shared" si="3"/>
        <v/>
      </c>
      <c r="W13" s="96">
        <f t="shared" ref="W13:W43" si="4">IFERROR(T13/T$17,"")</f>
        <v>0</v>
      </c>
      <c r="X13" s="97"/>
      <c r="Z13" s="57"/>
    </row>
    <row r="14" spans="2:26" outlineLevel="1" x14ac:dyDescent="0.35">
      <c r="E14" s="2" t="s">
        <v>8</v>
      </c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57">
        <f>P14</f>
        <v>0</v>
      </c>
      <c r="R14" s="62">
        <f t="shared" si="0"/>
        <v>0</v>
      </c>
      <c r="S14" s="62">
        <f t="shared" si="1"/>
        <v>0</v>
      </c>
      <c r="T14" s="57">
        <f t="shared" si="2"/>
        <v>0</v>
      </c>
      <c r="U14" s="118">
        <f t="shared" si="3"/>
        <v>0</v>
      </c>
      <c r="V14" s="118" t="str">
        <f t="shared" si="3"/>
        <v/>
      </c>
      <c r="W14" s="96">
        <f t="shared" si="4"/>
        <v>0</v>
      </c>
      <c r="X14" s="97"/>
      <c r="Z14" s="57"/>
    </row>
    <row r="15" spans="2:26" outlineLevel="1" x14ac:dyDescent="0.35">
      <c r="E15" s="2" t="s">
        <v>9</v>
      </c>
      <c r="F15" s="62"/>
      <c r="G15" s="62"/>
      <c r="H15" s="62"/>
      <c r="I15" s="62"/>
      <c r="J15" s="62"/>
      <c r="K15" s="62"/>
      <c r="L15" s="62"/>
      <c r="M15" s="62"/>
      <c r="N15" s="62">
        <v>0.7</v>
      </c>
      <c r="O15" s="62">
        <v>1.7</v>
      </c>
      <c r="P15" s="62">
        <v>1.55</v>
      </c>
      <c r="Q15" s="57">
        <v>2.2000000000000002</v>
      </c>
      <c r="R15" s="62">
        <f t="shared" si="0"/>
        <v>6.15</v>
      </c>
      <c r="S15" s="62">
        <f t="shared" si="1"/>
        <v>0</v>
      </c>
      <c r="T15" s="57">
        <f t="shared" si="2"/>
        <v>6.15</v>
      </c>
      <c r="U15" s="118">
        <f t="shared" si="3"/>
        <v>3.1596144756581247E-3</v>
      </c>
      <c r="V15" s="118" t="str">
        <f t="shared" si="3"/>
        <v/>
      </c>
      <c r="W15" s="96">
        <f t="shared" si="4"/>
        <v>3.1596144756581247E-3</v>
      </c>
      <c r="X15" s="97"/>
      <c r="Z15" s="57"/>
    </row>
    <row r="16" spans="2:26" outlineLevel="1" x14ac:dyDescent="0.35">
      <c r="E16" s="2" t="s">
        <v>10</v>
      </c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57">
        <f>P16</f>
        <v>0</v>
      </c>
      <c r="R16" s="62">
        <f t="shared" si="0"/>
        <v>0</v>
      </c>
      <c r="S16" s="62">
        <f t="shared" si="1"/>
        <v>0</v>
      </c>
      <c r="T16" s="57">
        <f t="shared" si="2"/>
        <v>0</v>
      </c>
      <c r="U16" s="567">
        <f t="shared" si="3"/>
        <v>0</v>
      </c>
      <c r="V16" s="567" t="str">
        <f t="shared" si="3"/>
        <v/>
      </c>
      <c r="W16" s="96">
        <f t="shared" si="4"/>
        <v>0</v>
      </c>
      <c r="X16" s="97"/>
      <c r="Z16" s="57"/>
    </row>
    <row r="17" spans="2:26" x14ac:dyDescent="0.35">
      <c r="B17" s="65" t="s">
        <v>20</v>
      </c>
      <c r="C17" s="66"/>
      <c r="D17" s="65"/>
      <c r="E17" s="66"/>
      <c r="F17" s="116"/>
      <c r="G17" s="116"/>
      <c r="H17" s="116"/>
      <c r="I17" s="116"/>
      <c r="J17" s="116"/>
      <c r="K17" s="116">
        <f>SUM(K12:K16)</f>
        <v>81.349999999999994</v>
      </c>
      <c r="L17" s="116">
        <f t="shared" ref="L17:Q17" si="5">SUM(L12:L16)</f>
        <v>311.85000000000002</v>
      </c>
      <c r="M17" s="116">
        <f t="shared" si="5"/>
        <v>503.9</v>
      </c>
      <c r="N17" s="116">
        <f t="shared" si="5"/>
        <v>324.24</v>
      </c>
      <c r="O17" s="116">
        <f t="shared" si="5"/>
        <v>265.89</v>
      </c>
      <c r="P17" s="116">
        <f t="shared" si="5"/>
        <v>231.44</v>
      </c>
      <c r="Q17" s="116">
        <f t="shared" si="5"/>
        <v>227.76999999999998</v>
      </c>
      <c r="R17" s="116">
        <f t="shared" si="0"/>
        <v>1946.44</v>
      </c>
      <c r="S17" s="115">
        <f t="shared" si="1"/>
        <v>0</v>
      </c>
      <c r="T17" s="116">
        <f t="shared" si="2"/>
        <v>1946.44</v>
      </c>
      <c r="U17" s="105">
        <f t="shared" si="3"/>
        <v>1</v>
      </c>
      <c r="V17" s="105" t="str">
        <f t="shared" si="3"/>
        <v/>
      </c>
      <c r="W17" s="98">
        <f t="shared" si="4"/>
        <v>1</v>
      </c>
      <c r="X17" s="70"/>
      <c r="Y17" s="70"/>
      <c r="Z17" s="59"/>
    </row>
    <row r="18" spans="2:26" x14ac:dyDescent="0.35">
      <c r="B18" s="55"/>
      <c r="C18" s="2" t="s">
        <v>21</v>
      </c>
      <c r="D18" s="55"/>
      <c r="F18" s="222"/>
      <c r="G18" s="222"/>
      <c r="H18" s="222"/>
      <c r="I18" s="222"/>
      <c r="J18" s="222"/>
      <c r="K18" s="222">
        <v>0</v>
      </c>
      <c r="L18" s="222">
        <v>0</v>
      </c>
      <c r="M18" s="222">
        <v>0</v>
      </c>
      <c r="N18" s="222">
        <v>0</v>
      </c>
      <c r="O18" s="222">
        <v>0</v>
      </c>
      <c r="P18" s="222">
        <v>0</v>
      </c>
      <c r="Q18" s="222">
        <v>0</v>
      </c>
      <c r="R18" s="222">
        <f t="shared" si="0"/>
        <v>0</v>
      </c>
      <c r="S18" s="317">
        <f t="shared" si="1"/>
        <v>0</v>
      </c>
      <c r="T18" s="222">
        <f t="shared" si="2"/>
        <v>0</v>
      </c>
      <c r="U18" s="105">
        <f t="shared" si="3"/>
        <v>0</v>
      </c>
      <c r="V18" s="105" t="str">
        <f t="shared" si="3"/>
        <v/>
      </c>
      <c r="W18" s="118">
        <f t="shared" si="4"/>
        <v>0</v>
      </c>
      <c r="Z18" s="59"/>
    </row>
    <row r="19" spans="2:26" x14ac:dyDescent="0.35">
      <c r="B19" s="27" t="s">
        <v>307</v>
      </c>
      <c r="D19" s="55"/>
      <c r="F19" s="222"/>
      <c r="G19" s="222"/>
      <c r="H19" s="222"/>
      <c r="I19" s="222"/>
      <c r="J19" s="222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536">
        <f t="shared" si="3"/>
        <v>0</v>
      </c>
      <c r="V19" s="536" t="str">
        <f t="shared" si="3"/>
        <v/>
      </c>
      <c r="W19" s="118">
        <f t="shared" si="4"/>
        <v>0</v>
      </c>
      <c r="Z19" s="59"/>
    </row>
    <row r="20" spans="2:26" x14ac:dyDescent="0.35">
      <c r="B20" s="27"/>
      <c r="D20" s="6" t="s">
        <v>177</v>
      </c>
      <c r="F20" s="222"/>
      <c r="G20" s="222"/>
      <c r="H20" s="222"/>
      <c r="I20" s="222"/>
      <c r="J20" s="222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536">
        <f t="shared" si="3"/>
        <v>0</v>
      </c>
      <c r="V20" s="536" t="str">
        <f t="shared" si="3"/>
        <v/>
      </c>
      <c r="W20" s="118">
        <f t="shared" si="4"/>
        <v>0</v>
      </c>
      <c r="Z20" s="59"/>
    </row>
    <row r="21" spans="2:26" x14ac:dyDescent="0.35">
      <c r="B21" s="27"/>
      <c r="D21" s="55"/>
      <c r="E21" s="2" t="s">
        <v>23</v>
      </c>
      <c r="F21" s="222"/>
      <c r="G21" s="222"/>
      <c r="H21" s="222"/>
      <c r="I21" s="222"/>
      <c r="J21" s="222"/>
      <c r="K21" s="195">
        <v>5.13</v>
      </c>
      <c r="L21" s="195">
        <v>19.351500000000001</v>
      </c>
      <c r="M21" s="195">
        <v>35.168999999999997</v>
      </c>
      <c r="N21" s="195">
        <v>13.039</v>
      </c>
      <c r="O21" s="195">
        <v>19.504999999999999</v>
      </c>
      <c r="P21" s="195">
        <v>8.7494999999999994</v>
      </c>
      <c r="Q21" s="195">
        <v>8.8655000000000008</v>
      </c>
      <c r="R21" s="62">
        <f>SUMIFS($F21:$Q21,$F$7:$Q$7,"A")</f>
        <v>109.80949999999999</v>
      </c>
      <c r="S21" s="62">
        <f t="shared" ref="S21:S39" si="6">SUMIFS($F21:$Q21,$F$7:$Q$7,"B")</f>
        <v>0</v>
      </c>
      <c r="T21" s="57">
        <f t="shared" ref="T21:T32" si="7">SUM(R21:S21)</f>
        <v>109.80949999999999</v>
      </c>
      <c r="U21" s="96">
        <f t="shared" si="3"/>
        <v>5.641555866093996E-2</v>
      </c>
      <c r="V21" s="96" t="str">
        <f t="shared" si="3"/>
        <v/>
      </c>
      <c r="W21" s="96">
        <f t="shared" si="4"/>
        <v>5.641555866093996E-2</v>
      </c>
      <c r="Z21" s="59"/>
    </row>
    <row r="22" spans="2:26" x14ac:dyDescent="0.35">
      <c r="B22" s="55"/>
      <c r="D22" s="55"/>
      <c r="E22" s="2" t="s">
        <v>28</v>
      </c>
      <c r="F22" s="222"/>
      <c r="G22" s="222"/>
      <c r="H22" s="222"/>
      <c r="I22" s="222"/>
      <c r="J22" s="222"/>
      <c r="K22" s="195">
        <v>8.9700000000000006</v>
      </c>
      <c r="L22" s="195">
        <v>36.914999999999999</v>
      </c>
      <c r="M22" s="195">
        <v>68.08</v>
      </c>
      <c r="N22" s="195">
        <v>29.23</v>
      </c>
      <c r="O22" s="195">
        <v>20.317</v>
      </c>
      <c r="P22" s="195">
        <v>17.646000000000001</v>
      </c>
      <c r="Q22" s="195">
        <v>17.440000000000001</v>
      </c>
      <c r="R22" s="62">
        <f>SUMIFS($F22:$Q22,$F$7:$Q$7,"A")</f>
        <v>198.59800000000001</v>
      </c>
      <c r="S22" s="62">
        <f>SUMIFS($F22:$Q22,$F$7:$Q$7,"B")</f>
        <v>0</v>
      </c>
      <c r="T22" s="57">
        <f>SUM(R22:S22)</f>
        <v>198.59800000000001</v>
      </c>
      <c r="U22" s="96">
        <f>IFERROR(R22/R$17,"")</f>
        <v>0.10203140091654508</v>
      </c>
      <c r="V22" s="96" t="str">
        <f>IFERROR(S22/S$17,"")</f>
        <v/>
      </c>
      <c r="W22" s="96">
        <f>IFERROR(T22/T$17,"")</f>
        <v>0.10203140091654508</v>
      </c>
      <c r="Z22" s="59"/>
    </row>
    <row r="23" spans="2:26" x14ac:dyDescent="0.35">
      <c r="B23" s="27"/>
      <c r="D23" s="55"/>
      <c r="E23" s="2" t="s">
        <v>615</v>
      </c>
      <c r="F23" s="222"/>
      <c r="G23" s="222"/>
      <c r="H23" s="222"/>
      <c r="I23" s="222"/>
      <c r="J23" s="222"/>
      <c r="K23" s="195"/>
      <c r="L23" s="195"/>
      <c r="M23" s="195"/>
      <c r="N23" s="195"/>
      <c r="O23" s="195"/>
      <c r="P23" s="195">
        <v>1.2036929999999999</v>
      </c>
      <c r="Q23" s="195">
        <v>1.6049230000000001</v>
      </c>
      <c r="R23" s="62">
        <f>SUMIFS($F23:$Q23,$F$7:$Q$7,"A")</f>
        <v>2.8086159999999998</v>
      </c>
      <c r="S23" s="62"/>
      <c r="T23" s="57"/>
      <c r="U23" s="96">
        <f t="shared" si="3"/>
        <v>1.4429502065308973E-3</v>
      </c>
      <c r="V23" s="96" t="str">
        <f t="shared" si="3"/>
        <v/>
      </c>
      <c r="W23" s="96">
        <f t="shared" si="4"/>
        <v>0</v>
      </c>
      <c r="Z23" s="59"/>
    </row>
    <row r="24" spans="2:26" x14ac:dyDescent="0.35">
      <c r="B24" s="27"/>
      <c r="D24" s="55"/>
      <c r="E24" s="2" t="s">
        <v>612</v>
      </c>
      <c r="F24" s="222"/>
      <c r="G24" s="222"/>
      <c r="H24" s="222"/>
      <c r="I24" s="222"/>
      <c r="J24" s="222"/>
      <c r="K24" s="195">
        <v>16.75</v>
      </c>
      <c r="L24" s="195">
        <v>60</v>
      </c>
      <c r="M24" s="195">
        <v>85.75</v>
      </c>
      <c r="N24" s="195">
        <v>44.5</v>
      </c>
      <c r="O24" s="195">
        <v>37.75</v>
      </c>
      <c r="P24" s="195">
        <v>30</v>
      </c>
      <c r="Q24" s="195">
        <v>31.75</v>
      </c>
      <c r="R24" s="62">
        <f>SUMIFS($F24:$Q24,$F$7:$Q$7,"A")</f>
        <v>306.5</v>
      </c>
      <c r="S24" s="62">
        <f>SUMIFS($F24:$Q24,$F$7:$Q$7,"B")</f>
        <v>0</v>
      </c>
      <c r="T24" s="57">
        <f>SUM(R24:S24)</f>
        <v>306.5</v>
      </c>
      <c r="U24" s="96">
        <f>IFERROR(R24/R$17,"")</f>
        <v>0.15746696533157969</v>
      </c>
      <c r="V24" s="96" t="str">
        <f>IFERROR(S24/S$17,"")</f>
        <v/>
      </c>
      <c r="W24" s="96">
        <f>IFERROR(T24/T$17,"")</f>
        <v>0.15746696533157969</v>
      </c>
      <c r="Z24" s="59"/>
    </row>
    <row r="25" spans="2:26" x14ac:dyDescent="0.35">
      <c r="B25" s="27"/>
      <c r="D25" s="55"/>
      <c r="E25" s="2" t="s">
        <v>179</v>
      </c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195">
        <v>6.04</v>
      </c>
      <c r="Q25" s="195">
        <v>6</v>
      </c>
      <c r="R25" s="62">
        <f t="shared" ref="R25:R33" si="8">SUMIFS($F25:$Q25,$F$7:$Q$7,"A")</f>
        <v>12.04</v>
      </c>
      <c r="S25" s="62">
        <f t="shared" si="6"/>
        <v>0</v>
      </c>
      <c r="T25" s="57">
        <f t="shared" si="7"/>
        <v>12.04</v>
      </c>
      <c r="U25" s="96">
        <f t="shared" si="3"/>
        <v>6.1856517539713518E-3</v>
      </c>
      <c r="V25" s="96" t="str">
        <f t="shared" si="3"/>
        <v/>
      </c>
      <c r="W25" s="96">
        <f t="shared" si="4"/>
        <v>6.1856517539713518E-3</v>
      </c>
      <c r="Z25" s="59"/>
    </row>
    <row r="26" spans="2:26" x14ac:dyDescent="0.35">
      <c r="B26" s="55"/>
      <c r="D26" s="55"/>
      <c r="E26" s="2" t="s">
        <v>183</v>
      </c>
      <c r="F26" s="222"/>
      <c r="G26" s="222"/>
      <c r="H26" s="222"/>
      <c r="I26" s="222"/>
      <c r="J26" s="222"/>
      <c r="K26" s="62">
        <f>38007017/(10^6)</f>
        <v>38.007016999999998</v>
      </c>
      <c r="L26" s="62">
        <f>0/(10^6)</f>
        <v>0</v>
      </c>
      <c r="M26" s="62">
        <f>1350000/(10^6)</f>
        <v>1.35</v>
      </c>
      <c r="N26" s="62">
        <f>6901421/(10^6)</f>
        <v>6.901421</v>
      </c>
      <c r="O26" s="62">
        <f>10171255/(10^6)</f>
        <v>10.171255</v>
      </c>
      <c r="P26" s="62">
        <f>5936489/(10^6)</f>
        <v>5.9364889999999999</v>
      </c>
      <c r="Q26" s="62">
        <f>1350000/(10^6)</f>
        <v>1.35</v>
      </c>
      <c r="R26" s="62">
        <f t="shared" si="8"/>
        <v>63.716182000000003</v>
      </c>
      <c r="S26" s="62">
        <f t="shared" si="6"/>
        <v>0</v>
      </c>
      <c r="T26" s="57">
        <f t="shared" ref="T26" si="9">SUM(R26:S26)</f>
        <v>63.716182000000003</v>
      </c>
      <c r="U26" s="96">
        <f t="shared" si="3"/>
        <v>3.2734726988758969E-2</v>
      </c>
      <c r="V26" s="96" t="str">
        <f t="shared" si="3"/>
        <v/>
      </c>
      <c r="W26" s="96">
        <f t="shared" si="4"/>
        <v>3.2734726988758969E-2</v>
      </c>
      <c r="Z26" s="59"/>
    </row>
    <row r="27" spans="2:26" x14ac:dyDescent="0.35">
      <c r="B27" s="55"/>
      <c r="D27" s="6" t="s">
        <v>181</v>
      </c>
      <c r="F27" s="222"/>
      <c r="G27" s="222"/>
      <c r="H27" s="222"/>
      <c r="I27" s="222"/>
      <c r="J27" s="222"/>
      <c r="K27" s="317"/>
      <c r="L27" s="317"/>
      <c r="M27" s="317"/>
      <c r="N27" s="317"/>
      <c r="O27" s="317"/>
      <c r="P27" s="317"/>
      <c r="Q27" s="317"/>
      <c r="R27" s="62"/>
      <c r="S27" s="62"/>
      <c r="T27" s="57"/>
      <c r="U27" s="96">
        <f t="shared" si="3"/>
        <v>0</v>
      </c>
      <c r="V27" s="96" t="str">
        <f t="shared" si="3"/>
        <v/>
      </c>
      <c r="W27" s="96">
        <f t="shared" si="4"/>
        <v>0</v>
      </c>
      <c r="Z27" s="59"/>
    </row>
    <row r="28" spans="2:26" x14ac:dyDescent="0.35">
      <c r="B28" s="55"/>
      <c r="D28" s="55"/>
      <c r="E28" s="2" t="s">
        <v>310</v>
      </c>
      <c r="F28" s="222"/>
      <c r="G28" s="222"/>
      <c r="H28" s="222"/>
      <c r="I28" s="222"/>
      <c r="J28" s="222"/>
      <c r="K28" s="195">
        <v>164.45830699999999</v>
      </c>
      <c r="L28" s="195">
        <v>115.84755699999999</v>
      </c>
      <c r="M28" s="195">
        <v>99.516756999999998</v>
      </c>
      <c r="N28" s="195">
        <v>121.615557</v>
      </c>
      <c r="O28" s="195">
        <v>110.575557</v>
      </c>
      <c r="P28" s="195">
        <v>108.437557</v>
      </c>
      <c r="Q28" s="195">
        <v>109.331557</v>
      </c>
      <c r="R28" s="62">
        <f t="shared" si="8"/>
        <v>829.78284899999994</v>
      </c>
      <c r="S28" s="62">
        <f t="shared" si="6"/>
        <v>0</v>
      </c>
      <c r="T28" s="57">
        <f t="shared" si="7"/>
        <v>829.78284899999994</v>
      </c>
      <c r="U28" s="96">
        <f t="shared" ref="U28:V43" si="10">IFERROR(R28/R$17,"")</f>
        <v>0.42630795143955114</v>
      </c>
      <c r="V28" s="96" t="str">
        <f t="shared" si="10"/>
        <v/>
      </c>
      <c r="W28" s="96">
        <f t="shared" si="4"/>
        <v>0.42630795143955114</v>
      </c>
      <c r="Z28" s="59"/>
    </row>
    <row r="29" spans="2:26" x14ac:dyDescent="0.35">
      <c r="B29" s="55"/>
      <c r="D29" s="55"/>
      <c r="E29" s="2" t="s">
        <v>408</v>
      </c>
      <c r="F29" s="222"/>
      <c r="G29" s="222"/>
      <c r="H29" s="222"/>
      <c r="I29" s="222"/>
      <c r="J29" s="222"/>
      <c r="K29" s="195">
        <v>22</v>
      </c>
      <c r="L29" s="195">
        <v>44</v>
      </c>
      <c r="M29" s="195">
        <v>44</v>
      </c>
      <c r="N29" s="195">
        <v>44</v>
      </c>
      <c r="O29" s="195">
        <v>44</v>
      </c>
      <c r="P29" s="195">
        <v>44</v>
      </c>
      <c r="Q29" s="195">
        <v>22</v>
      </c>
      <c r="R29" s="62">
        <f t="shared" si="8"/>
        <v>264</v>
      </c>
      <c r="S29" s="62">
        <f t="shared" si="6"/>
        <v>0</v>
      </c>
      <c r="T29" s="57">
        <f t="shared" si="7"/>
        <v>264</v>
      </c>
      <c r="U29" s="96">
        <f t="shared" si="10"/>
        <v>0.13563223115020243</v>
      </c>
      <c r="V29" s="96" t="str">
        <f t="shared" si="10"/>
        <v/>
      </c>
      <c r="W29" s="96">
        <f t="shared" si="4"/>
        <v>0.13563223115020243</v>
      </c>
      <c r="Z29" s="59"/>
    </row>
    <row r="30" spans="2:26" x14ac:dyDescent="0.35">
      <c r="B30" s="55"/>
      <c r="D30" s="55"/>
      <c r="E30" s="2" t="s">
        <v>648</v>
      </c>
      <c r="F30" s="222"/>
      <c r="G30" s="222"/>
      <c r="H30" s="222"/>
      <c r="I30" s="222"/>
      <c r="J30" s="222"/>
      <c r="K30" s="195"/>
      <c r="L30" s="195"/>
      <c r="M30" s="195"/>
      <c r="N30" s="195"/>
      <c r="O30" s="195"/>
      <c r="P30" s="195"/>
      <c r="Q30" s="195"/>
      <c r="R30" s="62">
        <f t="shared" si="8"/>
        <v>0</v>
      </c>
      <c r="S30" s="62">
        <f t="shared" si="6"/>
        <v>0</v>
      </c>
      <c r="T30" s="57">
        <f t="shared" ref="T30" si="11">SUM(R30:S30)</f>
        <v>0</v>
      </c>
      <c r="U30" s="96">
        <f t="shared" ref="U30" si="12">IFERROR(R30/R$17,"")</f>
        <v>0</v>
      </c>
      <c r="V30" s="96" t="str">
        <f t="shared" ref="V30" si="13">IFERROR(S30/S$17,"")</f>
        <v/>
      </c>
      <c r="W30" s="96">
        <f t="shared" ref="W30" si="14">IFERROR(T30/T$17,"")</f>
        <v>0</v>
      </c>
      <c r="Z30" s="59"/>
    </row>
    <row r="31" spans="2:26" x14ac:dyDescent="0.35">
      <c r="B31" s="55"/>
      <c r="D31" s="55"/>
      <c r="E31" s="2" t="s">
        <v>631</v>
      </c>
      <c r="F31" s="222"/>
      <c r="G31" s="222"/>
      <c r="H31" s="222"/>
      <c r="I31" s="222"/>
      <c r="J31" s="222"/>
      <c r="K31" s="195">
        <v>183.93304800000001</v>
      </c>
      <c r="L31" s="195">
        <v>65.480751999999995</v>
      </c>
      <c r="M31" s="195">
        <v>87.520007000000007</v>
      </c>
      <c r="N31" s="195">
        <v>60.331769000000001</v>
      </c>
      <c r="O31" s="195">
        <v>52.351014999999997</v>
      </c>
      <c r="P31" s="195">
        <v>41.269900999999997</v>
      </c>
      <c r="Q31" s="195">
        <v>48.300026000000003</v>
      </c>
      <c r="R31" s="62">
        <f t="shared" si="8"/>
        <v>539.18651799999998</v>
      </c>
      <c r="S31" s="62">
        <f t="shared" si="6"/>
        <v>0</v>
      </c>
      <c r="T31" s="57">
        <f t="shared" si="7"/>
        <v>539.18651799999998</v>
      </c>
      <c r="U31" s="96">
        <f t="shared" si="10"/>
        <v>0.2770116304638211</v>
      </c>
      <c r="V31" s="96" t="str">
        <f t="shared" si="10"/>
        <v/>
      </c>
      <c r="W31" s="96">
        <f t="shared" si="4"/>
        <v>0.2770116304638211</v>
      </c>
      <c r="Z31" s="59"/>
    </row>
    <row r="32" spans="2:26" ht="13.15" thickBot="1" x14ac:dyDescent="0.4">
      <c r="B32" s="55"/>
      <c r="D32" s="55"/>
      <c r="E32" s="2" t="s">
        <v>188</v>
      </c>
      <c r="F32" s="222"/>
      <c r="G32" s="222"/>
      <c r="H32" s="222"/>
      <c r="I32" s="222"/>
      <c r="J32" s="222"/>
      <c r="K32" s="195">
        <v>18.918296000000002</v>
      </c>
      <c r="L32" s="195">
        <v>0.77759999999999996</v>
      </c>
      <c r="M32" s="195">
        <v>0</v>
      </c>
      <c r="N32" s="195">
        <v>2.375</v>
      </c>
      <c r="O32" s="195">
        <v>0</v>
      </c>
      <c r="P32" s="195">
        <v>0</v>
      </c>
      <c r="Q32" s="195">
        <v>0</v>
      </c>
      <c r="R32" s="62">
        <f t="shared" si="8"/>
        <v>22.070896000000001</v>
      </c>
      <c r="S32" s="62">
        <f t="shared" si="6"/>
        <v>0</v>
      </c>
      <c r="T32" s="57">
        <f t="shared" si="7"/>
        <v>22.070896000000001</v>
      </c>
      <c r="U32" s="96">
        <f t="shared" si="10"/>
        <v>1.133910934834878E-2</v>
      </c>
      <c r="V32" s="96" t="str">
        <f t="shared" si="10"/>
        <v/>
      </c>
      <c r="W32" s="96">
        <f t="shared" si="4"/>
        <v>1.133910934834878E-2</v>
      </c>
      <c r="Z32" s="59"/>
    </row>
    <row r="33" spans="2:28" x14ac:dyDescent="0.35">
      <c r="B33" s="89" t="s">
        <v>190</v>
      </c>
      <c r="C33" s="90"/>
      <c r="D33" s="90"/>
      <c r="E33" s="91"/>
      <c r="F33" s="92">
        <f t="shared" ref="F33:Q33" si="15">F17-SUM(F18,F21:F26,F28:F32)</f>
        <v>0</v>
      </c>
      <c r="G33" s="92">
        <f t="shared" si="15"/>
        <v>0</v>
      </c>
      <c r="H33" s="92">
        <f t="shared" si="15"/>
        <v>0</v>
      </c>
      <c r="I33" s="92">
        <f t="shared" si="15"/>
        <v>0</v>
      </c>
      <c r="J33" s="92">
        <f t="shared" si="15"/>
        <v>0</v>
      </c>
      <c r="K33" s="92">
        <f t="shared" si="15"/>
        <v>-376.81666800000005</v>
      </c>
      <c r="L33" s="92">
        <f t="shared" si="15"/>
        <v>-30.522408999999982</v>
      </c>
      <c r="M33" s="92">
        <f t="shared" si="15"/>
        <v>82.514235999999983</v>
      </c>
      <c r="N33" s="92">
        <f t="shared" si="15"/>
        <v>2.2472530000000006</v>
      </c>
      <c r="O33" s="92">
        <f t="shared" si="15"/>
        <v>-28.779827000000012</v>
      </c>
      <c r="P33" s="92">
        <f t="shared" si="15"/>
        <v>-31.843140000000005</v>
      </c>
      <c r="Q33" s="92">
        <f t="shared" si="15"/>
        <v>-18.872006000000027</v>
      </c>
      <c r="R33" s="92">
        <f t="shared" si="8"/>
        <v>-402.07256100000006</v>
      </c>
      <c r="S33" s="92">
        <f t="shared" si="6"/>
        <v>0</v>
      </c>
      <c r="T33" s="92">
        <f>SUM(R33:S33)</f>
        <v>-402.07256100000006</v>
      </c>
      <c r="U33" s="104">
        <f t="shared" si="10"/>
        <v>-0.20656817626024951</v>
      </c>
      <c r="V33" s="104" t="str">
        <f t="shared" si="10"/>
        <v/>
      </c>
      <c r="W33" s="104">
        <f t="shared" si="4"/>
        <v>-0.20656817626024951</v>
      </c>
      <c r="X33" s="92"/>
      <c r="Y33" s="92"/>
      <c r="Z33" s="59"/>
    </row>
    <row r="34" spans="2:28" x14ac:dyDescent="0.35">
      <c r="B34" s="27"/>
      <c r="C34" s="6"/>
      <c r="D34" s="2" t="s">
        <v>41</v>
      </c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423">
        <f t="shared" si="10"/>
        <v>0</v>
      </c>
      <c r="V34" s="423" t="str">
        <f t="shared" si="10"/>
        <v/>
      </c>
      <c r="W34" s="105">
        <f t="shared" si="4"/>
        <v>0</v>
      </c>
      <c r="X34" s="85"/>
      <c r="Y34" s="85"/>
      <c r="Z34" s="59"/>
    </row>
    <row r="35" spans="2:28" x14ac:dyDescent="0.35">
      <c r="B35" s="27"/>
      <c r="C35" s="6"/>
      <c r="D35" s="6"/>
      <c r="E35" s="2" t="s">
        <v>6</v>
      </c>
      <c r="F35" s="85"/>
      <c r="G35" s="85"/>
      <c r="H35" s="85"/>
      <c r="I35" s="85"/>
      <c r="J35" s="85"/>
      <c r="K35" s="57">
        <v>143.33333300000001</v>
      </c>
      <c r="L35" s="57">
        <v>143.33333300000001</v>
      </c>
      <c r="M35" s="57">
        <v>143.33333300000001</v>
      </c>
      <c r="N35" s="57">
        <v>143.33333300000001</v>
      </c>
      <c r="O35" s="57">
        <v>143.33333300000001</v>
      </c>
      <c r="P35" s="57">
        <v>143.33333300000001</v>
      </c>
      <c r="Q35" s="57">
        <v>143.33333300000001</v>
      </c>
      <c r="R35" s="62">
        <f>SUMIFS($F35:$Q35,$F$7:$Q$7,"A")</f>
        <v>1003.3333310000002</v>
      </c>
      <c r="S35" s="85">
        <f t="shared" si="6"/>
        <v>0</v>
      </c>
      <c r="T35" s="57">
        <f>SUM(R35:S35)</f>
        <v>1003.3333310000002</v>
      </c>
      <c r="U35" s="96">
        <f t="shared" si="10"/>
        <v>0.51547097829884303</v>
      </c>
      <c r="V35" s="96" t="str">
        <f t="shared" si="10"/>
        <v/>
      </c>
      <c r="W35" s="96">
        <f t="shared" si="4"/>
        <v>0.51547097829884303</v>
      </c>
      <c r="X35" s="85"/>
      <c r="Y35" s="85"/>
      <c r="Z35" s="59"/>
    </row>
    <row r="36" spans="2:28" x14ac:dyDescent="0.35">
      <c r="B36" s="55"/>
      <c r="D36" s="55"/>
      <c r="E36" s="2" t="s">
        <v>18</v>
      </c>
      <c r="F36" s="222"/>
      <c r="G36" s="222"/>
      <c r="H36" s="222"/>
      <c r="I36" s="222"/>
      <c r="J36" s="222"/>
      <c r="K36" s="195">
        <v>19.808758000000001</v>
      </c>
      <c r="L36" s="195">
        <v>19.808758000000001</v>
      </c>
      <c r="M36" s="195">
        <v>21.059757999999999</v>
      </c>
      <c r="N36" s="195">
        <v>21.059757999999999</v>
      </c>
      <c r="O36" s="195">
        <v>21.059757999999999</v>
      </c>
      <c r="P36" s="195">
        <v>21.059757999999999</v>
      </c>
      <c r="Q36" s="195">
        <v>21.059757999999999</v>
      </c>
      <c r="R36" s="62">
        <f>SUMIFS($F36:$Q36,$F$7:$Q$7,"A")</f>
        <v>144.91630599999999</v>
      </c>
      <c r="S36" s="222">
        <f t="shared" si="6"/>
        <v>0</v>
      </c>
      <c r="T36" s="57">
        <f>SUM(R36:S36)</f>
        <v>144.91630599999999</v>
      </c>
      <c r="U36" s="96">
        <f t="shared" si="10"/>
        <v>7.4451976942520703E-2</v>
      </c>
      <c r="V36" s="96" t="str">
        <f t="shared" si="10"/>
        <v/>
      </c>
      <c r="W36" s="96">
        <f t="shared" si="4"/>
        <v>7.4451976942520703E-2</v>
      </c>
      <c r="Z36" s="59"/>
    </row>
    <row r="37" spans="2:28" x14ac:dyDescent="0.35">
      <c r="B37" s="55"/>
      <c r="D37" s="2" t="s">
        <v>45</v>
      </c>
      <c r="F37" s="222"/>
      <c r="G37" s="222"/>
      <c r="H37" s="195">
        <v>18.565858769230768</v>
      </c>
      <c r="I37" s="195">
        <v>55.697576307692302</v>
      </c>
      <c r="J37" s="195">
        <v>46.414646923076923</v>
      </c>
      <c r="K37" s="195">
        <v>58.569862999999998</v>
      </c>
      <c r="L37" s="195">
        <v>60.522191999999997</v>
      </c>
      <c r="M37" s="195">
        <v>60.522191999999997</v>
      </c>
      <c r="N37" s="195">
        <v>58.569862999999998</v>
      </c>
      <c r="O37" s="195">
        <v>57.431002999999997</v>
      </c>
      <c r="P37" s="195">
        <v>58.569862999999998</v>
      </c>
      <c r="Q37" s="195">
        <v>57.496082000000001</v>
      </c>
      <c r="R37" s="62">
        <f>SUMIFS($F37:$Q37,$F$7:$Q$7,"A")</f>
        <v>532.35914000000002</v>
      </c>
      <c r="S37" s="222">
        <f t="shared" si="6"/>
        <v>0</v>
      </c>
      <c r="T37" s="57">
        <f>SUM(R37:S37)</f>
        <v>532.35914000000002</v>
      </c>
      <c r="U37" s="96">
        <f t="shared" si="10"/>
        <v>0.27350400731592034</v>
      </c>
      <c r="V37" s="96" t="str">
        <f t="shared" si="10"/>
        <v/>
      </c>
      <c r="W37" s="96">
        <f t="shared" si="4"/>
        <v>0.27350400731592034</v>
      </c>
      <c r="Y37" s="246"/>
      <c r="Z37" s="59"/>
    </row>
    <row r="38" spans="2:28" x14ac:dyDescent="0.35">
      <c r="B38" s="55"/>
      <c r="D38" s="2" t="s">
        <v>647</v>
      </c>
      <c r="F38" s="222"/>
      <c r="G38" s="222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62">
        <f>SUMIFS($F38:$Q38,$F$7:$Q$7,"A")</f>
        <v>0</v>
      </c>
      <c r="S38" s="222">
        <f t="shared" si="6"/>
        <v>0</v>
      </c>
      <c r="T38" s="57">
        <f>SUM(R38:S38)</f>
        <v>0</v>
      </c>
      <c r="U38" s="96">
        <f t="shared" ref="U38" si="16">IFERROR(R38/R$17,"")</f>
        <v>0</v>
      </c>
      <c r="V38" s="96" t="str">
        <f t="shared" ref="V38" si="17">IFERROR(S38/S$17,"")</f>
        <v/>
      </c>
      <c r="W38" s="96">
        <f t="shared" ref="W38" si="18">IFERROR(T38/T$17,"")</f>
        <v>0</v>
      </c>
      <c r="Z38" s="59"/>
    </row>
    <row r="39" spans="2:28" x14ac:dyDescent="0.35">
      <c r="B39" s="308" t="s">
        <v>216</v>
      </c>
      <c r="C39" s="308"/>
      <c r="D39" s="308"/>
      <c r="E39" s="308"/>
      <c r="F39" s="115">
        <f>F33-SUM(F35:F38)</f>
        <v>0</v>
      </c>
      <c r="G39" s="115">
        <f t="shared" ref="G39:Q39" si="19">G33-SUM(G35:G38)</f>
        <v>0</v>
      </c>
      <c r="H39" s="115">
        <f t="shared" si="19"/>
        <v>-18.565858769230768</v>
      </c>
      <c r="I39" s="115">
        <f t="shared" si="19"/>
        <v>-55.697576307692302</v>
      </c>
      <c r="J39" s="115">
        <f t="shared" si="19"/>
        <v>-46.414646923076923</v>
      </c>
      <c r="K39" s="115">
        <f t="shared" si="19"/>
        <v>-598.52862200000004</v>
      </c>
      <c r="L39" s="115">
        <f t="shared" si="19"/>
        <v>-254.18669199999999</v>
      </c>
      <c r="M39" s="115">
        <f t="shared" si="19"/>
        <v>-142.40104700000001</v>
      </c>
      <c r="N39" s="115">
        <f t="shared" si="19"/>
        <v>-220.715701</v>
      </c>
      <c r="O39" s="115">
        <f t="shared" si="19"/>
        <v>-250.60392100000001</v>
      </c>
      <c r="P39" s="115">
        <f t="shared" si="19"/>
        <v>-254.806094</v>
      </c>
      <c r="Q39" s="115">
        <f t="shared" si="19"/>
        <v>-240.76117900000003</v>
      </c>
      <c r="R39" s="116">
        <f>SUMIFS($F39:$Q39,$F$7:$Q$7,"A")</f>
        <v>-2082.6813380000003</v>
      </c>
      <c r="S39" s="116">
        <f t="shared" si="6"/>
        <v>0</v>
      </c>
      <c r="T39" s="229">
        <f>SUM(R39:S39)</f>
        <v>-2082.6813380000003</v>
      </c>
      <c r="U39" s="563">
        <f t="shared" si="10"/>
        <v>-1.0699951388175337</v>
      </c>
      <c r="V39" s="563" t="str">
        <f t="shared" si="10"/>
        <v/>
      </c>
      <c r="W39" s="563">
        <f t="shared" si="4"/>
        <v>-1.0699951388175337</v>
      </c>
      <c r="X39" s="564"/>
      <c r="Z39" s="57"/>
    </row>
    <row r="40" spans="2:28" ht="13.15" thickBot="1" x14ac:dyDescent="0.4">
      <c r="C40" s="2" t="s">
        <v>193</v>
      </c>
      <c r="D40" s="55"/>
      <c r="F40" s="59">
        <f>IF(F39&lt;0,0,F39*20%)</f>
        <v>0</v>
      </c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>
        <f t="shared" ref="R40:R43" si="20">SUMIFS($F40:$Q40,$F$7:$Q$7,"A")</f>
        <v>0</v>
      </c>
      <c r="S40" s="59">
        <f t="shared" ref="S40:S43" si="21">SUMIFS($F40:$Q40,$F$7:$Q$7,"B")</f>
        <v>0</v>
      </c>
      <c r="T40" s="59">
        <f t="shared" ref="T40:T43" si="22">SUM(R40:S40)</f>
        <v>0</v>
      </c>
      <c r="U40" s="105">
        <f t="shared" si="10"/>
        <v>0</v>
      </c>
      <c r="V40" s="105" t="str">
        <f t="shared" si="10"/>
        <v/>
      </c>
      <c r="W40" s="105">
        <f t="shared" si="4"/>
        <v>0</v>
      </c>
      <c r="X40" s="105"/>
      <c r="Y40" s="105"/>
      <c r="Z40" s="59"/>
      <c r="AA40" s="59"/>
      <c r="AB40" s="206"/>
    </row>
    <row r="41" spans="2:28" x14ac:dyDescent="0.35">
      <c r="B41" s="89" t="s">
        <v>194</v>
      </c>
      <c r="C41" s="90"/>
      <c r="D41" s="90"/>
      <c r="E41" s="91"/>
      <c r="F41" s="92">
        <f>F39-F40</f>
        <v>0</v>
      </c>
      <c r="G41" s="92">
        <f t="shared" ref="G41:Q41" si="23">G39-G40</f>
        <v>0</v>
      </c>
      <c r="H41" s="92">
        <f t="shared" si="23"/>
        <v>-18.565858769230768</v>
      </c>
      <c r="I41" s="92">
        <f t="shared" si="23"/>
        <v>-55.697576307692302</v>
      </c>
      <c r="J41" s="92">
        <f t="shared" si="23"/>
        <v>-46.414646923076923</v>
      </c>
      <c r="K41" s="92">
        <f t="shared" si="23"/>
        <v>-598.52862200000004</v>
      </c>
      <c r="L41" s="92">
        <f t="shared" si="23"/>
        <v>-254.18669199999999</v>
      </c>
      <c r="M41" s="92">
        <f t="shared" si="23"/>
        <v>-142.40104700000001</v>
      </c>
      <c r="N41" s="92">
        <f t="shared" si="23"/>
        <v>-220.715701</v>
      </c>
      <c r="O41" s="92">
        <f t="shared" si="23"/>
        <v>-250.60392100000001</v>
      </c>
      <c r="P41" s="92">
        <f t="shared" si="23"/>
        <v>-254.806094</v>
      </c>
      <c r="Q41" s="92">
        <f t="shared" si="23"/>
        <v>-240.76117900000003</v>
      </c>
      <c r="R41" s="92">
        <f t="shared" si="20"/>
        <v>-2082.6813380000003</v>
      </c>
      <c r="S41" s="92">
        <f t="shared" si="21"/>
        <v>0</v>
      </c>
      <c r="T41" s="92">
        <f t="shared" si="22"/>
        <v>-2082.6813380000003</v>
      </c>
      <c r="U41" s="104">
        <f t="shared" si="10"/>
        <v>-1.0699951388175337</v>
      </c>
      <c r="V41" s="104" t="str">
        <f t="shared" si="10"/>
        <v/>
      </c>
      <c r="W41" s="92">
        <f t="shared" si="4"/>
        <v>-1.0699951388175337</v>
      </c>
      <c r="X41" s="92"/>
      <c r="Y41" s="92"/>
      <c r="Z41" s="85"/>
      <c r="AA41" s="85"/>
      <c r="AB41" s="565"/>
    </row>
    <row r="42" spans="2:28" ht="13.15" thickBot="1" x14ac:dyDescent="0.4">
      <c r="C42" s="2" t="s">
        <v>204</v>
      </c>
      <c r="D42" s="55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>
        <f t="shared" si="20"/>
        <v>0</v>
      </c>
      <c r="S42" s="59">
        <f t="shared" si="21"/>
        <v>0</v>
      </c>
      <c r="T42" s="59">
        <f t="shared" si="22"/>
        <v>0</v>
      </c>
      <c r="U42" s="424">
        <f t="shared" si="10"/>
        <v>0</v>
      </c>
      <c r="V42" s="424" t="str">
        <f t="shared" si="10"/>
        <v/>
      </c>
      <c r="W42" s="59">
        <f t="shared" si="4"/>
        <v>0</v>
      </c>
      <c r="X42" s="59"/>
      <c r="Y42" s="59"/>
      <c r="Z42" s="566"/>
      <c r="AA42" s="59"/>
      <c r="AB42" s="206"/>
    </row>
    <row r="43" spans="2:28" x14ac:dyDescent="0.35">
      <c r="B43" s="90" t="s">
        <v>205</v>
      </c>
      <c r="C43" s="90"/>
      <c r="D43" s="91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>
        <f t="shared" si="20"/>
        <v>0</v>
      </c>
      <c r="S43" s="92">
        <f t="shared" si="21"/>
        <v>0</v>
      </c>
      <c r="T43" s="92">
        <f t="shared" si="22"/>
        <v>0</v>
      </c>
      <c r="U43" s="104">
        <f t="shared" si="10"/>
        <v>0</v>
      </c>
      <c r="V43" s="104" t="str">
        <f t="shared" si="10"/>
        <v/>
      </c>
      <c r="W43" s="92">
        <f t="shared" si="4"/>
        <v>0</v>
      </c>
      <c r="X43" s="92"/>
      <c r="Y43" s="92"/>
      <c r="Z43" s="85"/>
      <c r="AA43" s="85"/>
      <c r="AB43" s="565"/>
    </row>
    <row r="44" spans="2:28" x14ac:dyDescent="0.35">
      <c r="K44" s="60"/>
      <c r="L44" s="60"/>
      <c r="M44" s="60"/>
      <c r="N44" s="60"/>
      <c r="O44" s="60"/>
      <c r="P44" s="60"/>
      <c r="Q44" s="60"/>
      <c r="R44" s="84"/>
      <c r="Y44" s="85"/>
      <c r="Z44" s="85"/>
    </row>
    <row r="45" spans="2:28" x14ac:dyDescent="0.35">
      <c r="B45" s="27"/>
      <c r="D45" s="6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96"/>
      <c r="X45" s="57"/>
      <c r="Y45" s="57"/>
      <c r="Z45" s="57"/>
    </row>
    <row r="46" spans="2:28" outlineLevel="1" x14ac:dyDescent="0.35">
      <c r="B46" s="6" t="s">
        <v>281</v>
      </c>
      <c r="D46" s="6"/>
      <c r="E46" s="93"/>
      <c r="F46" s="62"/>
      <c r="G46" s="62"/>
      <c r="H46" s="62"/>
      <c r="I46" s="62"/>
      <c r="J46" s="62"/>
      <c r="K46" s="62">
        <f>'Site list'!$G$8*(1-'Site list'!$H$8)/10/12</f>
        <v>49.925000000000004</v>
      </c>
      <c r="L46" s="62">
        <f>'Site list'!$G$8*(1-'Site list'!$H$8)/10/12</f>
        <v>49.925000000000004</v>
      </c>
      <c r="M46" s="62">
        <f>'Site list'!$G$8*(1-'Site list'!$H$8)/10/12</f>
        <v>49.925000000000004</v>
      </c>
      <c r="N46" s="62">
        <f>'Site list'!$G$8*(1-'Site list'!$H$8)/10/12</f>
        <v>49.925000000000004</v>
      </c>
      <c r="O46" s="62">
        <f>'Site list'!$G$8*(1-'Site list'!$H$8)/10/12</f>
        <v>49.925000000000004</v>
      </c>
      <c r="P46" s="62">
        <f>'Site list'!$G$8*(1-'Site list'!$H$8)/10/12</f>
        <v>49.925000000000004</v>
      </c>
      <c r="Q46" s="62">
        <f>'Site list'!$G$8*(1-'Site list'!$H$8)/10/12</f>
        <v>49.925000000000004</v>
      </c>
      <c r="R46" s="94"/>
      <c r="S46" s="94"/>
      <c r="T46" s="95"/>
      <c r="U46" s="95"/>
      <c r="V46" s="95"/>
      <c r="W46" s="96"/>
      <c r="X46" s="200">
        <f>'Site list'!G8</f>
        <v>21762</v>
      </c>
      <c r="Y46" s="57"/>
      <c r="Z46" s="95"/>
    </row>
    <row r="47" spans="2:28" x14ac:dyDescent="0.35">
      <c r="B47" s="6" t="s">
        <v>280</v>
      </c>
      <c r="X47" s="204">
        <f>1-'Site list'!H8</f>
        <v>0.27529638819961399</v>
      </c>
      <c r="Z47" s="60"/>
    </row>
    <row r="49" spans="2:24" x14ac:dyDescent="0.35">
      <c r="B49" s="6" t="s">
        <v>137</v>
      </c>
    </row>
    <row r="50" spans="2:24" x14ac:dyDescent="0.35">
      <c r="E50" s="93" t="s">
        <v>6</v>
      </c>
      <c r="K50" s="57">
        <v>78</v>
      </c>
      <c r="L50" s="57">
        <v>321</v>
      </c>
      <c r="M50" s="57">
        <v>592</v>
      </c>
      <c r="N50" s="57">
        <v>222</v>
      </c>
      <c r="O50" s="57">
        <v>175</v>
      </c>
      <c r="P50" s="57">
        <v>151</v>
      </c>
      <c r="Q50" s="57">
        <v>150</v>
      </c>
      <c r="R50" s="62">
        <f>SUMIFS($F50:$Q50,$F$7:$Q$7,"A")</f>
        <v>1689</v>
      </c>
      <c r="T50" s="57">
        <f>SUM(R50:S50)</f>
        <v>1689</v>
      </c>
      <c r="U50" s="57"/>
      <c r="V50" s="57"/>
    </row>
    <row r="51" spans="2:24" x14ac:dyDescent="0.35">
      <c r="E51" s="93" t="s">
        <v>448</v>
      </c>
      <c r="K51" s="58"/>
      <c r="L51" s="58"/>
      <c r="M51" s="58"/>
      <c r="N51" s="57">
        <v>4</v>
      </c>
      <c r="O51" s="57">
        <v>11</v>
      </c>
      <c r="P51" s="57">
        <v>9</v>
      </c>
      <c r="Q51" s="57">
        <v>13</v>
      </c>
      <c r="R51" s="62">
        <f>SUMIFS($F51:$Q51,$F$7:$Q$7,"A")</f>
        <v>37</v>
      </c>
      <c r="T51" s="57">
        <f>SUM(R51:S51)</f>
        <v>37</v>
      </c>
      <c r="U51" s="57"/>
      <c r="V51" s="57"/>
    </row>
    <row r="52" spans="2:24" x14ac:dyDescent="0.35">
      <c r="B52" s="6" t="s">
        <v>444</v>
      </c>
    </row>
    <row r="53" spans="2:24" x14ac:dyDescent="0.35">
      <c r="E53" s="93" t="s">
        <v>6</v>
      </c>
      <c r="K53" s="62">
        <f t="shared" ref="K53:R53" si="24">K12*10^6/K50</f>
        <v>1042948.717948718</v>
      </c>
      <c r="L53" s="62">
        <f t="shared" si="24"/>
        <v>971495.32710280374</v>
      </c>
      <c r="M53" s="62">
        <f t="shared" si="24"/>
        <v>851182.43243243243</v>
      </c>
      <c r="N53" s="62">
        <f t="shared" si="24"/>
        <v>1457387.3873873875</v>
      </c>
      <c r="O53" s="62">
        <f t="shared" si="24"/>
        <v>1509657.142857143</v>
      </c>
      <c r="P53" s="62">
        <f t="shared" si="24"/>
        <v>1522450.3311258277</v>
      </c>
      <c r="Q53" s="62">
        <f t="shared" si="24"/>
        <v>1503800</v>
      </c>
      <c r="R53" s="62">
        <f t="shared" si="24"/>
        <v>1148780.3433984607</v>
      </c>
      <c r="T53" s="62">
        <f>T12*10^6/T50</f>
        <v>1148780.3433984607</v>
      </c>
      <c r="U53" s="62"/>
      <c r="V53" s="62"/>
    </row>
    <row r="54" spans="2:24" x14ac:dyDescent="0.35">
      <c r="E54" s="93" t="s">
        <v>448</v>
      </c>
      <c r="N54" s="62">
        <f>N15*10^6/N51</f>
        <v>175000</v>
      </c>
      <c r="O54" s="62">
        <f>O15*10^6/O51</f>
        <v>154545.45454545456</v>
      </c>
      <c r="P54" s="62">
        <f>P15*10^6/P51</f>
        <v>172222.22222222222</v>
      </c>
      <c r="Q54" s="62">
        <f>Q15*10^6/Q51</f>
        <v>169230.76923076922</v>
      </c>
      <c r="R54" s="62">
        <f>R15*10^6/R51</f>
        <v>166216.21621621621</v>
      </c>
      <c r="T54" s="62">
        <f>T15*10^6/T51</f>
        <v>166216.21621621621</v>
      </c>
      <c r="U54" s="62"/>
      <c r="V54" s="62"/>
    </row>
    <row r="56" spans="2:24" ht="13.15" thickBot="1" x14ac:dyDescent="0.4">
      <c r="B56" s="318" t="s">
        <v>447</v>
      </c>
      <c r="C56" s="318"/>
      <c r="D56" s="318"/>
      <c r="E56" s="318"/>
      <c r="F56" s="319"/>
      <c r="G56" s="319"/>
      <c r="H56" s="320"/>
      <c r="I56" s="320"/>
      <c r="J56" s="320"/>
      <c r="K56" s="320"/>
      <c r="L56" s="320"/>
      <c r="M56" s="320"/>
      <c r="N56" s="320"/>
      <c r="O56" s="320"/>
      <c r="P56" s="320"/>
      <c r="Q56" s="320"/>
      <c r="R56" s="319"/>
      <c r="S56" s="319"/>
      <c r="T56" s="236"/>
      <c r="U56" s="321"/>
      <c r="V56" s="321"/>
      <c r="W56" s="321"/>
      <c r="X56" s="322"/>
    </row>
    <row r="57" spans="2:24" ht="13.15" thickTop="1" x14ac:dyDescent="0.35">
      <c r="C57" s="55"/>
      <c r="E57" s="2" t="s">
        <v>6</v>
      </c>
      <c r="K57" s="2">
        <f t="shared" ref="K57:Q57" si="25">30*9*60/20</f>
        <v>810</v>
      </c>
      <c r="L57" s="2">
        <f t="shared" si="25"/>
        <v>810</v>
      </c>
      <c r="M57" s="2">
        <f t="shared" si="25"/>
        <v>810</v>
      </c>
      <c r="N57" s="2">
        <f t="shared" si="25"/>
        <v>810</v>
      </c>
      <c r="O57" s="2">
        <f t="shared" si="25"/>
        <v>810</v>
      </c>
      <c r="P57" s="2">
        <f t="shared" si="25"/>
        <v>810</v>
      </c>
      <c r="Q57" s="2">
        <f t="shared" si="25"/>
        <v>810</v>
      </c>
      <c r="R57" s="2">
        <f>SUM(K57:Q57)</f>
        <v>5670</v>
      </c>
      <c r="T57" s="57">
        <f>SUM(R57:S57)</f>
        <v>5670</v>
      </c>
      <c r="U57" s="57"/>
      <c r="V57" s="57"/>
    </row>
    <row r="58" spans="2:24" x14ac:dyDescent="0.35">
      <c r="C58" s="55"/>
      <c r="E58" s="2" t="s">
        <v>9</v>
      </c>
      <c r="N58" s="2">
        <v>2025</v>
      </c>
      <c r="O58" s="2">
        <v>2025</v>
      </c>
      <c r="P58" s="2">
        <v>2025</v>
      </c>
      <c r="Q58" s="2">
        <v>2025</v>
      </c>
      <c r="R58" s="2">
        <f>SUM(K58:Q58)</f>
        <v>8100</v>
      </c>
      <c r="T58" s="57">
        <f>SUM(R58:S58)</f>
        <v>8100</v>
      </c>
      <c r="U58" s="57"/>
      <c r="V58" s="57"/>
    </row>
    <row r="59" spans="2:24" x14ac:dyDescent="0.35">
      <c r="B59" s="6" t="s">
        <v>442</v>
      </c>
    </row>
    <row r="60" spans="2:24" x14ac:dyDescent="0.35">
      <c r="E60" s="2" t="s">
        <v>6</v>
      </c>
      <c r="K60" s="201">
        <f>K50/K57</f>
        <v>9.6296296296296297E-2</v>
      </c>
      <c r="L60" s="201">
        <f t="shared" ref="L60:R60" si="26">L50/L57</f>
        <v>0.39629629629629631</v>
      </c>
      <c r="M60" s="201">
        <f t="shared" si="26"/>
        <v>0.73086419753086418</v>
      </c>
      <c r="N60" s="201">
        <f t="shared" si="26"/>
        <v>0.27407407407407408</v>
      </c>
      <c r="O60" s="201">
        <f t="shared" si="26"/>
        <v>0.21604938271604937</v>
      </c>
      <c r="P60" s="201">
        <f t="shared" si="26"/>
        <v>0.18641975308641975</v>
      </c>
      <c r="Q60" s="201">
        <f t="shared" si="26"/>
        <v>0.18518518518518517</v>
      </c>
      <c r="R60" s="201">
        <f t="shared" si="26"/>
        <v>0.29788359788359786</v>
      </c>
      <c r="T60" s="201">
        <f>T50/T57</f>
        <v>0.29788359788359786</v>
      </c>
      <c r="U60" s="201"/>
      <c r="V60" s="201"/>
    </row>
    <row r="61" spans="2:24" x14ac:dyDescent="0.35">
      <c r="E61" s="2" t="s">
        <v>9</v>
      </c>
      <c r="N61" s="97">
        <f>N51/N58</f>
        <v>1.9753086419753087E-3</v>
      </c>
      <c r="O61" s="97">
        <f>O51/O58</f>
        <v>5.4320987654320986E-3</v>
      </c>
      <c r="P61" s="97">
        <f>P51/P58</f>
        <v>4.4444444444444444E-3</v>
      </c>
      <c r="Q61" s="97">
        <f>Q51/Q58</f>
        <v>6.4197530864197527E-3</v>
      </c>
      <c r="R61" s="97">
        <f>R51/R58</f>
        <v>4.5679012345679016E-3</v>
      </c>
      <c r="T61" s="97">
        <f>T51/T58</f>
        <v>4.5679012345679016E-3</v>
      </c>
      <c r="U61" s="97"/>
      <c r="V61" s="97"/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3E66-4C56-49F3-9EEC-7FD94C4E7222}">
  <dimension ref="B3:Y86"/>
  <sheetViews>
    <sheetView workbookViewId="0">
      <pane xSplit="5" ySplit="9" topLeftCell="F10" activePane="bottomRight" state="frozen"/>
      <selection activeCell="F44" sqref="F44"/>
      <selection pane="topRight" activeCell="F44" sqref="F44"/>
      <selection pane="bottomLeft" activeCell="F44" sqref="F44"/>
      <selection pane="bottomRight" activeCell="R57" sqref="R57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45.1328125" style="2" customWidth="1"/>
    <col min="6" max="7" width="9.1328125" style="2" customWidth="1" outlineLevel="1"/>
    <col min="8" max="8" width="9" style="2" customWidth="1" outlineLevel="1"/>
    <col min="9" max="16" width="9.1328125" style="2" customWidth="1" outlineLevel="1"/>
    <col min="17" max="17" width="10.265625" style="2" bestFit="1" customWidth="1"/>
    <col min="18" max="18" width="11.265625" style="2" customWidth="1"/>
    <col min="19" max="19" width="9.3984375" style="2" customWidth="1"/>
    <col min="20" max="20" width="11" style="2" customWidth="1"/>
    <col min="21" max="21" width="9.265625" style="2" customWidth="1"/>
    <col min="22" max="22" width="5.73046875" style="2" customWidth="1"/>
    <col min="23" max="23" width="6.73046875" style="2" customWidth="1"/>
    <col min="24" max="24" width="10.59765625" style="2" customWidth="1"/>
    <col min="25" max="16384" width="9.1328125" style="2"/>
  </cols>
  <sheetData>
    <row r="3" spans="2:25" x14ac:dyDescent="0.35">
      <c r="H3" s="60"/>
    </row>
    <row r="4" spans="2:25" x14ac:dyDescent="0.35">
      <c r="B4" s="2" t="s">
        <v>25</v>
      </c>
    </row>
    <row r="5" spans="2:25" x14ac:dyDescent="0.35">
      <c r="G5" s="2">
        <f>10^6</f>
        <v>1000000</v>
      </c>
    </row>
    <row r="6" spans="2:25" x14ac:dyDescent="0.35">
      <c r="B6" s="27" t="s">
        <v>135</v>
      </c>
    </row>
    <row r="7" spans="2:25" s="6" customFormat="1" x14ac:dyDescent="0.35">
      <c r="B7" s="6" t="s">
        <v>215</v>
      </c>
      <c r="F7" s="74" t="s">
        <v>141</v>
      </c>
      <c r="G7" s="74" t="s">
        <v>141</v>
      </c>
      <c r="H7" s="74" t="s">
        <v>141</v>
      </c>
      <c r="I7" s="74" t="s">
        <v>141</v>
      </c>
      <c r="J7" s="74" t="s">
        <v>141</v>
      </c>
      <c r="K7" s="74" t="s">
        <v>141</v>
      </c>
      <c r="L7" s="74" t="s">
        <v>141</v>
      </c>
      <c r="M7" s="74" t="s">
        <v>141</v>
      </c>
      <c r="N7" s="74" t="s">
        <v>141</v>
      </c>
      <c r="O7" s="74" t="s">
        <v>141</v>
      </c>
      <c r="P7" s="74" t="s">
        <v>141</v>
      </c>
      <c r="Q7" s="74" t="s">
        <v>141</v>
      </c>
    </row>
    <row r="8" spans="2:25" x14ac:dyDescent="0.35">
      <c r="B8" s="32" t="s">
        <v>55</v>
      </c>
      <c r="F8" s="32" t="s">
        <v>52</v>
      </c>
      <c r="R8" s="381" t="s">
        <v>622</v>
      </c>
      <c r="S8" s="380"/>
      <c r="T8" s="380"/>
      <c r="U8" s="381" t="s">
        <v>487</v>
      </c>
      <c r="V8" s="380"/>
      <c r="W8" s="380"/>
      <c r="X8" s="381" t="s">
        <v>505</v>
      </c>
      <c r="Y8" s="380"/>
    </row>
    <row r="9" spans="2:25" ht="13.5" x14ac:dyDescent="0.35">
      <c r="B9" s="45" t="s">
        <v>101</v>
      </c>
      <c r="F9" s="61">
        <v>1</v>
      </c>
      <c r="G9" s="61">
        <v>2</v>
      </c>
      <c r="H9" s="61">
        <v>3</v>
      </c>
      <c r="I9" s="61">
        <v>4</v>
      </c>
      <c r="J9" s="61">
        <v>5</v>
      </c>
      <c r="K9" s="61">
        <v>6</v>
      </c>
      <c r="L9" s="61">
        <v>7</v>
      </c>
      <c r="M9" s="61">
        <v>8</v>
      </c>
      <c r="N9" s="61">
        <v>9</v>
      </c>
      <c r="O9" s="61">
        <v>10</v>
      </c>
      <c r="P9" s="61">
        <v>11</v>
      </c>
      <c r="Q9" s="61">
        <v>12</v>
      </c>
      <c r="R9" s="32" t="s">
        <v>4</v>
      </c>
      <c r="S9" s="32" t="s">
        <v>5</v>
      </c>
      <c r="T9" s="32" t="s">
        <v>3</v>
      </c>
      <c r="U9" s="114" t="s">
        <v>484</v>
      </c>
      <c r="V9" s="113" t="s">
        <v>485</v>
      </c>
      <c r="W9" s="113" t="s">
        <v>486</v>
      </c>
      <c r="X9" s="537" t="s">
        <v>498</v>
      </c>
      <c r="Y9" s="537" t="s">
        <v>499</v>
      </c>
    </row>
    <row r="10" spans="2:25" x14ac:dyDescent="0.35">
      <c r="B10" s="27" t="s">
        <v>11</v>
      </c>
      <c r="D10" s="6"/>
      <c r="Q10" s="58"/>
      <c r="X10" s="201"/>
      <c r="Y10" s="201"/>
    </row>
    <row r="11" spans="2:25" x14ac:dyDescent="0.35">
      <c r="D11" s="6" t="s">
        <v>12</v>
      </c>
      <c r="Q11" s="58"/>
      <c r="X11" s="201"/>
      <c r="Y11" s="201"/>
    </row>
    <row r="12" spans="2:25" outlineLevel="1" x14ac:dyDescent="0.35">
      <c r="E12" s="2" t="s">
        <v>6</v>
      </c>
      <c r="F12" s="62">
        <v>156.35</v>
      </c>
      <c r="G12" s="62">
        <v>265.33999999999997</v>
      </c>
      <c r="H12" s="62">
        <v>331.05</v>
      </c>
      <c r="I12" s="62">
        <v>299.79000000000002</v>
      </c>
      <c r="J12" s="62">
        <v>461</v>
      </c>
      <c r="K12" s="62">
        <v>563.95000000000005</v>
      </c>
      <c r="L12" s="62">
        <v>637.80999999999995</v>
      </c>
      <c r="M12" s="62">
        <v>589.04999999999995</v>
      </c>
      <c r="N12" s="62">
        <v>600.35</v>
      </c>
      <c r="O12" s="62">
        <v>640</v>
      </c>
      <c r="P12" s="62">
        <v>551.08399999999995</v>
      </c>
      <c r="Q12" s="57">
        <v>647.87599999999998</v>
      </c>
      <c r="R12" s="62">
        <f t="shared" ref="R12:R50" si="0">SUMIFS($F12:$Q12,$F$7:$Q$7,"A")</f>
        <v>5743.6500000000005</v>
      </c>
      <c r="S12" s="62">
        <f t="shared" ref="S12:S17" si="1">SUMIFS($F12:$Q12,$F$7:$Q$7,"B")</f>
        <v>0</v>
      </c>
      <c r="T12" s="57">
        <f t="shared" ref="T12:T17" si="2">SUM(R12:S12)</f>
        <v>5743.6500000000005</v>
      </c>
      <c r="U12" s="96">
        <f>IFERROR(R12/R$18,"")</f>
        <v>0.92248818576215263</v>
      </c>
      <c r="V12" s="96" t="str">
        <f t="shared" ref="V12:W12" si="3">IFERROR(S12/S$18,"")</f>
        <v/>
      </c>
      <c r="W12" s="96">
        <f t="shared" si="3"/>
        <v>0.92248818576215263</v>
      </c>
      <c r="X12" s="96"/>
      <c r="Y12" s="96"/>
    </row>
    <row r="13" spans="2:25" outlineLevel="1" x14ac:dyDescent="0.35">
      <c r="E13" s="2" t="s">
        <v>7</v>
      </c>
      <c r="F13" s="62">
        <v>0.55000000000000004</v>
      </c>
      <c r="G13" s="62">
        <v>1.925</v>
      </c>
      <c r="H13" s="62">
        <v>2.75</v>
      </c>
      <c r="I13" s="62">
        <v>0.55000000000000004</v>
      </c>
      <c r="J13" s="62">
        <v>43.14</v>
      </c>
      <c r="K13" s="62">
        <v>5.49</v>
      </c>
      <c r="L13" s="62">
        <v>8.8000000000000007</v>
      </c>
      <c r="M13" s="62">
        <v>1.05</v>
      </c>
      <c r="N13" s="62">
        <v>6.3155999999999999</v>
      </c>
      <c r="O13" s="62">
        <v>2.0499999999999998</v>
      </c>
      <c r="P13" s="62">
        <v>4.13</v>
      </c>
      <c r="Q13" s="57">
        <v>2.3149999999999999</v>
      </c>
      <c r="R13" s="62">
        <f t="shared" si="0"/>
        <v>79.065599999999989</v>
      </c>
      <c r="S13" s="62">
        <f t="shared" si="1"/>
        <v>0</v>
      </c>
      <c r="T13" s="57">
        <f t="shared" si="2"/>
        <v>79.065599999999989</v>
      </c>
      <c r="U13" s="96">
        <f t="shared" ref="U13:U48" si="4">IFERROR(R13/R$18,"")</f>
        <v>1.2698733714658107E-2</v>
      </c>
      <c r="V13" s="96" t="str">
        <f t="shared" ref="V13:V48" si="5">IFERROR(S13/S$18,"")</f>
        <v/>
      </c>
      <c r="W13" s="96">
        <f t="shared" ref="W13:W48" si="6">IFERROR(T13/T$18,"")</f>
        <v>1.2698733714658107E-2</v>
      </c>
      <c r="X13" s="96"/>
      <c r="Y13" s="96"/>
    </row>
    <row r="14" spans="2:25" outlineLevel="1" x14ac:dyDescent="0.35">
      <c r="E14" s="2" t="s">
        <v>8</v>
      </c>
      <c r="F14" s="62">
        <v>10.95</v>
      </c>
      <c r="G14" s="62">
        <v>16.850000000000001</v>
      </c>
      <c r="H14" s="62">
        <v>16.34</v>
      </c>
      <c r="I14" s="62">
        <v>16.22</v>
      </c>
      <c r="J14" s="62">
        <v>19.559999999999999</v>
      </c>
      <c r="K14" s="62">
        <v>26.14</v>
      </c>
      <c r="L14" s="62">
        <v>23.61</v>
      </c>
      <c r="M14" s="62">
        <v>19.11</v>
      </c>
      <c r="N14" s="62">
        <v>20.2</v>
      </c>
      <c r="O14" s="62">
        <v>30.86</v>
      </c>
      <c r="P14" s="62">
        <v>30.206</v>
      </c>
      <c r="Q14" s="57">
        <v>47.3</v>
      </c>
      <c r="R14" s="62">
        <f t="shared" si="0"/>
        <v>277.346</v>
      </c>
      <c r="S14" s="62">
        <f t="shared" si="1"/>
        <v>0</v>
      </c>
      <c r="T14" s="57">
        <f t="shared" si="2"/>
        <v>277.346</v>
      </c>
      <c r="U14" s="96">
        <f t="shared" si="4"/>
        <v>4.4544568065322566E-2</v>
      </c>
      <c r="V14" s="96" t="str">
        <f t="shared" si="5"/>
        <v/>
      </c>
      <c r="W14" s="96">
        <f t="shared" si="6"/>
        <v>4.4544568065322566E-2</v>
      </c>
      <c r="X14" s="96"/>
      <c r="Y14" s="96"/>
    </row>
    <row r="15" spans="2:25" outlineLevel="1" x14ac:dyDescent="0.35">
      <c r="E15" s="2" t="s">
        <v>9</v>
      </c>
      <c r="F15" s="62">
        <v>1.875</v>
      </c>
      <c r="G15" s="62">
        <v>4.75</v>
      </c>
      <c r="H15" s="62">
        <v>5.5570000000000004</v>
      </c>
      <c r="I15" s="62">
        <v>5.1050000000000004</v>
      </c>
      <c r="J15" s="62">
        <v>6.14</v>
      </c>
      <c r="K15" s="62">
        <v>8.44</v>
      </c>
      <c r="L15" s="62">
        <v>6.84</v>
      </c>
      <c r="M15" s="62">
        <v>4.87</v>
      </c>
      <c r="N15" s="62">
        <v>6.28</v>
      </c>
      <c r="O15" s="62">
        <v>9.43</v>
      </c>
      <c r="P15" s="62">
        <v>5.95</v>
      </c>
      <c r="Q15" s="57">
        <v>2.42</v>
      </c>
      <c r="R15" s="62">
        <f t="shared" si="0"/>
        <v>67.656999999999996</v>
      </c>
      <c r="S15" s="62">
        <f t="shared" si="1"/>
        <v>0</v>
      </c>
      <c r="T15" s="57">
        <f t="shared" si="2"/>
        <v>67.656999999999996</v>
      </c>
      <c r="U15" s="96">
        <f t="shared" si="4"/>
        <v>1.0866397357796863E-2</v>
      </c>
      <c r="V15" s="96" t="str">
        <f t="shared" si="5"/>
        <v/>
      </c>
      <c r="W15" s="96">
        <f t="shared" si="6"/>
        <v>1.0866397357796863E-2</v>
      </c>
      <c r="X15" s="96"/>
      <c r="Y15" s="96"/>
    </row>
    <row r="16" spans="2:25" outlineLevel="1" x14ac:dyDescent="0.35">
      <c r="E16" s="2" t="s">
        <v>10</v>
      </c>
      <c r="F16" s="62">
        <v>0.7</v>
      </c>
      <c r="G16" s="62">
        <v>0</v>
      </c>
      <c r="H16" s="62">
        <v>0.7</v>
      </c>
      <c r="I16" s="62">
        <v>0.25</v>
      </c>
      <c r="J16" s="62">
        <v>0.1</v>
      </c>
      <c r="K16" s="62">
        <v>0</v>
      </c>
      <c r="L16" s="62">
        <v>0</v>
      </c>
      <c r="M16" s="62">
        <v>0</v>
      </c>
      <c r="N16" s="62">
        <v>0</v>
      </c>
      <c r="O16" s="62">
        <v>4.8</v>
      </c>
      <c r="P16" s="62">
        <v>5.44</v>
      </c>
      <c r="Q16" s="57">
        <v>4.6500000000000004</v>
      </c>
      <c r="R16" s="62">
        <f t="shared" si="0"/>
        <v>16.64</v>
      </c>
      <c r="S16" s="62">
        <f t="shared" si="1"/>
        <v>0</v>
      </c>
      <c r="T16" s="57">
        <f t="shared" si="2"/>
        <v>16.64</v>
      </c>
      <c r="U16" s="96">
        <f t="shared" si="4"/>
        <v>2.6725520202453526E-3</v>
      </c>
      <c r="V16" s="96" t="str">
        <f t="shared" si="5"/>
        <v/>
      </c>
      <c r="W16" s="96">
        <f t="shared" si="6"/>
        <v>2.6725520202453526E-3</v>
      </c>
      <c r="X16" s="96"/>
      <c r="Y16" s="96"/>
    </row>
    <row r="17" spans="2:25" outlineLevel="1" x14ac:dyDescent="0.35">
      <c r="E17" s="2" t="s">
        <v>18</v>
      </c>
      <c r="F17" s="62">
        <v>0</v>
      </c>
      <c r="G17" s="62">
        <v>0</v>
      </c>
      <c r="H17" s="62">
        <v>0</v>
      </c>
      <c r="I17" s="62">
        <v>5</v>
      </c>
      <c r="J17" s="62">
        <v>4.0999999999999996</v>
      </c>
      <c r="K17" s="62">
        <v>8.5</v>
      </c>
      <c r="L17" s="62">
        <v>5.8</v>
      </c>
      <c r="M17" s="62">
        <v>3.5</v>
      </c>
      <c r="N17" s="62">
        <v>2</v>
      </c>
      <c r="O17" s="62">
        <v>4.5</v>
      </c>
      <c r="P17" s="62">
        <v>3.5</v>
      </c>
      <c r="Q17" s="57">
        <v>5</v>
      </c>
      <c r="R17" s="62">
        <f t="shared" si="0"/>
        <v>41.900000000000006</v>
      </c>
      <c r="S17" s="62">
        <f t="shared" si="1"/>
        <v>0</v>
      </c>
      <c r="T17" s="57">
        <f t="shared" si="2"/>
        <v>41.900000000000006</v>
      </c>
      <c r="U17" s="96">
        <f t="shared" si="4"/>
        <v>6.7295630798245359E-3</v>
      </c>
      <c r="V17" s="96" t="str">
        <f t="shared" si="5"/>
        <v/>
      </c>
      <c r="W17" s="96">
        <f t="shared" si="6"/>
        <v>6.7295630798245359E-3</v>
      </c>
      <c r="X17" s="96"/>
      <c r="Y17" s="96"/>
    </row>
    <row r="18" spans="2:25" x14ac:dyDescent="0.35">
      <c r="B18" s="65" t="s">
        <v>20</v>
      </c>
      <c r="C18" s="66"/>
      <c r="D18" s="65"/>
      <c r="E18" s="66"/>
      <c r="F18" s="112">
        <f>SUM(F12:F17)</f>
        <v>170.42499999999998</v>
      </c>
      <c r="G18" s="112">
        <f t="shared" ref="G18:P18" si="7">SUM(G12:G17)</f>
        <v>288.86500000000001</v>
      </c>
      <c r="H18" s="112">
        <f t="shared" si="7"/>
        <v>356.39699999999999</v>
      </c>
      <c r="I18" s="112">
        <f t="shared" si="7"/>
        <v>326.91500000000008</v>
      </c>
      <c r="J18" s="112">
        <f t="shared" si="7"/>
        <v>534.04</v>
      </c>
      <c r="K18" s="112">
        <f t="shared" si="7"/>
        <v>612.5200000000001</v>
      </c>
      <c r="L18" s="112">
        <f t="shared" si="7"/>
        <v>682.8599999999999</v>
      </c>
      <c r="M18" s="112">
        <f t="shared" si="7"/>
        <v>617.57999999999993</v>
      </c>
      <c r="N18" s="112">
        <f t="shared" si="7"/>
        <v>635.14560000000006</v>
      </c>
      <c r="O18" s="112">
        <f t="shared" si="7"/>
        <v>691.63999999999987</v>
      </c>
      <c r="P18" s="112">
        <f t="shared" si="7"/>
        <v>600.31000000000006</v>
      </c>
      <c r="Q18" s="316">
        <f>SUM(Q12:Q17)</f>
        <v>709.56099999999992</v>
      </c>
      <c r="R18" s="316">
        <f t="shared" si="0"/>
        <v>6226.2586000000001</v>
      </c>
      <c r="S18" s="326">
        <f t="shared" ref="S18:S50" si="8">SUMIFS($F18:$Q18,$F$7:$Q$7,"B")</f>
        <v>0</v>
      </c>
      <c r="T18" s="316">
        <f t="shared" ref="T18:T48" si="9">SUM(R18:S18)</f>
        <v>6226.2586000000001</v>
      </c>
      <c r="U18" s="98">
        <f t="shared" si="4"/>
        <v>1</v>
      </c>
      <c r="V18" s="98" t="str">
        <f t="shared" si="5"/>
        <v/>
      </c>
      <c r="W18" s="98">
        <f t="shared" si="6"/>
        <v>1</v>
      </c>
      <c r="X18" s="538"/>
      <c r="Y18" s="538"/>
    </row>
    <row r="19" spans="2:25" x14ac:dyDescent="0.35">
      <c r="B19" s="55"/>
      <c r="C19" s="2" t="s">
        <v>21</v>
      </c>
      <c r="D19" s="55"/>
      <c r="F19" s="426">
        <f>SUBTOTAL(9,F20:F25)</f>
        <v>0</v>
      </c>
      <c r="G19" s="426">
        <f t="shared" ref="G19:Q19" si="10">SUBTOTAL(9,G20:G25)</f>
        <v>0</v>
      </c>
      <c r="H19" s="426">
        <f t="shared" si="10"/>
        <v>0</v>
      </c>
      <c r="I19" s="426">
        <f t="shared" si="10"/>
        <v>0</v>
      </c>
      <c r="J19" s="426">
        <f t="shared" si="10"/>
        <v>0</v>
      </c>
      <c r="K19" s="426">
        <f t="shared" si="10"/>
        <v>0</v>
      </c>
      <c r="L19" s="426">
        <f t="shared" si="10"/>
        <v>0</v>
      </c>
      <c r="M19" s="426">
        <f t="shared" si="10"/>
        <v>0</v>
      </c>
      <c r="N19" s="426">
        <f t="shared" si="10"/>
        <v>0</v>
      </c>
      <c r="O19" s="426">
        <f t="shared" si="10"/>
        <v>0</v>
      </c>
      <c r="P19" s="426">
        <f t="shared" si="10"/>
        <v>0</v>
      </c>
      <c r="Q19" s="426">
        <f t="shared" si="10"/>
        <v>0</v>
      </c>
      <c r="R19" s="427">
        <f t="shared" si="0"/>
        <v>0</v>
      </c>
      <c r="S19" s="426">
        <f t="shared" si="8"/>
        <v>0</v>
      </c>
      <c r="T19" s="427">
        <f t="shared" si="9"/>
        <v>0</v>
      </c>
      <c r="U19" s="118">
        <f t="shared" si="4"/>
        <v>0</v>
      </c>
      <c r="V19" s="118" t="str">
        <f t="shared" si="5"/>
        <v/>
      </c>
      <c r="W19" s="118">
        <f t="shared" si="6"/>
        <v>0</v>
      </c>
      <c r="X19" s="424"/>
      <c r="Y19" s="424"/>
    </row>
    <row r="20" spans="2:25" hidden="1" outlineLevel="1" x14ac:dyDescent="0.35">
      <c r="B20" s="55"/>
      <c r="C20" s="493"/>
      <c r="D20" s="541"/>
      <c r="E20" s="494" t="s">
        <v>6</v>
      </c>
      <c r="F20" s="542"/>
      <c r="G20" s="542"/>
      <c r="H20" s="542"/>
      <c r="I20" s="542"/>
      <c r="J20" s="542"/>
      <c r="K20" s="542"/>
      <c r="L20" s="542"/>
      <c r="M20" s="542"/>
      <c r="N20" s="542"/>
      <c r="O20" s="542"/>
      <c r="P20" s="542"/>
      <c r="Q20" s="542"/>
      <c r="R20" s="543"/>
      <c r="S20" s="542"/>
      <c r="T20" s="543"/>
      <c r="U20" s="544">
        <f>IFERROR(R20/R12,"")</f>
        <v>0</v>
      </c>
      <c r="V20" s="544" t="str">
        <f t="shared" si="5"/>
        <v/>
      </c>
      <c r="W20" s="544">
        <f t="shared" si="6"/>
        <v>0</v>
      </c>
      <c r="X20" s="545"/>
      <c r="Y20" s="546"/>
    </row>
    <row r="21" spans="2:25" hidden="1" outlineLevel="1" x14ac:dyDescent="0.35">
      <c r="B21" s="55"/>
      <c r="C21" s="500"/>
      <c r="D21" s="478"/>
      <c r="E21" s="442" t="s">
        <v>7</v>
      </c>
      <c r="F21" s="547"/>
      <c r="G21" s="547"/>
      <c r="H21" s="547"/>
      <c r="I21" s="547"/>
      <c r="J21" s="547"/>
      <c r="K21" s="547"/>
      <c r="L21" s="547"/>
      <c r="M21" s="547"/>
      <c r="N21" s="547"/>
      <c r="O21" s="547"/>
      <c r="P21" s="547"/>
      <c r="Q21" s="547"/>
      <c r="R21" s="548"/>
      <c r="S21" s="547"/>
      <c r="T21" s="548"/>
      <c r="U21" s="549">
        <f t="shared" ref="U21:U25" si="11">IFERROR(R21/R13,"")</f>
        <v>0</v>
      </c>
      <c r="V21" s="549" t="str">
        <f t="shared" si="5"/>
        <v/>
      </c>
      <c r="W21" s="549">
        <f t="shared" si="6"/>
        <v>0</v>
      </c>
      <c r="X21" s="550"/>
      <c r="Y21" s="551"/>
    </row>
    <row r="22" spans="2:25" hidden="1" outlineLevel="1" x14ac:dyDescent="0.35">
      <c r="B22" s="55"/>
      <c r="C22" s="500"/>
      <c r="D22" s="478"/>
      <c r="E22" s="442" t="s">
        <v>8</v>
      </c>
      <c r="F22" s="547"/>
      <c r="G22" s="547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8"/>
      <c r="S22" s="547"/>
      <c r="T22" s="548"/>
      <c r="U22" s="549">
        <f t="shared" si="11"/>
        <v>0</v>
      </c>
      <c r="V22" s="549" t="str">
        <f t="shared" si="5"/>
        <v/>
      </c>
      <c r="W22" s="549">
        <f t="shared" si="6"/>
        <v>0</v>
      </c>
      <c r="X22" s="550"/>
      <c r="Y22" s="551"/>
    </row>
    <row r="23" spans="2:25" hidden="1" outlineLevel="1" x14ac:dyDescent="0.35">
      <c r="B23" s="55"/>
      <c r="C23" s="500"/>
      <c r="D23" s="478"/>
      <c r="E23" s="442" t="s">
        <v>9</v>
      </c>
      <c r="F23" s="547"/>
      <c r="G23" s="547"/>
      <c r="H23" s="547"/>
      <c r="I23" s="547"/>
      <c r="J23" s="547"/>
      <c r="K23" s="547"/>
      <c r="L23" s="547"/>
      <c r="M23" s="547"/>
      <c r="N23" s="547"/>
      <c r="O23" s="547"/>
      <c r="P23" s="547"/>
      <c r="Q23" s="547"/>
      <c r="R23" s="548"/>
      <c r="S23" s="547"/>
      <c r="T23" s="548"/>
      <c r="U23" s="549">
        <f t="shared" si="11"/>
        <v>0</v>
      </c>
      <c r="V23" s="549" t="str">
        <f t="shared" si="5"/>
        <v/>
      </c>
      <c r="W23" s="549">
        <f t="shared" si="6"/>
        <v>0</v>
      </c>
      <c r="X23" s="550"/>
      <c r="Y23" s="551"/>
    </row>
    <row r="24" spans="2:25" hidden="1" outlineLevel="1" x14ac:dyDescent="0.35">
      <c r="B24" s="55"/>
      <c r="C24" s="500"/>
      <c r="D24" s="478"/>
      <c r="E24" s="442" t="s">
        <v>10</v>
      </c>
      <c r="F24" s="547"/>
      <c r="G24" s="547"/>
      <c r="H24" s="547"/>
      <c r="I24" s="547"/>
      <c r="J24" s="547"/>
      <c r="K24" s="547"/>
      <c r="L24" s="547"/>
      <c r="M24" s="547"/>
      <c r="N24" s="547"/>
      <c r="O24" s="547"/>
      <c r="P24" s="547"/>
      <c r="Q24" s="547"/>
      <c r="R24" s="548"/>
      <c r="S24" s="547"/>
      <c r="T24" s="548"/>
      <c r="U24" s="549">
        <f t="shared" si="11"/>
        <v>0</v>
      </c>
      <c r="V24" s="549" t="str">
        <f t="shared" si="5"/>
        <v/>
      </c>
      <c r="W24" s="549">
        <f t="shared" si="6"/>
        <v>0</v>
      </c>
      <c r="X24" s="550"/>
      <c r="Y24" s="551"/>
    </row>
    <row r="25" spans="2:25" hidden="1" outlineLevel="1" x14ac:dyDescent="0.35">
      <c r="B25" s="55"/>
      <c r="C25" s="506"/>
      <c r="D25" s="552"/>
      <c r="E25" s="507" t="s">
        <v>18</v>
      </c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4"/>
      <c r="S25" s="553"/>
      <c r="T25" s="554"/>
      <c r="U25" s="555">
        <f t="shared" si="11"/>
        <v>0</v>
      </c>
      <c r="V25" s="555" t="str">
        <f t="shared" si="5"/>
        <v/>
      </c>
      <c r="W25" s="555">
        <f t="shared" si="6"/>
        <v>0</v>
      </c>
      <c r="X25" s="556"/>
      <c r="Y25" s="557"/>
    </row>
    <row r="26" spans="2:25" collapsed="1" x14ac:dyDescent="0.35">
      <c r="B26" s="27" t="s">
        <v>307</v>
      </c>
      <c r="D26" s="55"/>
      <c r="F26" s="323"/>
      <c r="G26" s="323"/>
      <c r="H26" s="323"/>
      <c r="I26" s="323"/>
      <c r="J26" s="323"/>
      <c r="K26" s="323"/>
      <c r="L26" s="323"/>
      <c r="M26" s="323"/>
      <c r="N26" s="323"/>
      <c r="O26" s="323"/>
      <c r="P26" s="323"/>
      <c r="Q26" s="324"/>
      <c r="R26" s="59"/>
      <c r="S26" s="59"/>
      <c r="T26" s="59"/>
      <c r="U26" s="118"/>
      <c r="V26" s="118" t="str">
        <f t="shared" si="5"/>
        <v/>
      </c>
      <c r="W26" s="118"/>
      <c r="X26" s="424"/>
      <c r="Y26" s="424"/>
    </row>
    <row r="27" spans="2:25" x14ac:dyDescent="0.35">
      <c r="B27" s="27"/>
      <c r="D27" s="6" t="s">
        <v>177</v>
      </c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3"/>
      <c r="Q27" s="324"/>
      <c r="R27" s="59"/>
      <c r="S27" s="59"/>
      <c r="T27" s="59"/>
      <c r="U27" s="118"/>
      <c r="V27" s="118" t="str">
        <f t="shared" si="5"/>
        <v/>
      </c>
      <c r="W27" s="118"/>
      <c r="X27" s="424"/>
      <c r="Y27" s="424"/>
    </row>
    <row r="28" spans="2:25" x14ac:dyDescent="0.35">
      <c r="B28" s="27"/>
      <c r="D28" s="55"/>
      <c r="E28" s="2" t="s">
        <v>23</v>
      </c>
      <c r="F28" s="195">
        <v>22.658860000000001</v>
      </c>
      <c r="G28" s="195">
        <v>36.383828999999999</v>
      </c>
      <c r="H28" s="195">
        <v>41.245697</v>
      </c>
      <c r="I28" s="195">
        <v>42.079650999999998</v>
      </c>
      <c r="J28" s="195">
        <v>49.376165</v>
      </c>
      <c r="K28" s="195">
        <v>55.891939999999998</v>
      </c>
      <c r="L28" s="195">
        <v>54.326172</v>
      </c>
      <c r="M28" s="195">
        <v>53.441054999999999</v>
      </c>
      <c r="N28" s="195">
        <v>59.163263999999998</v>
      </c>
      <c r="O28" s="195">
        <v>70.849188999999996</v>
      </c>
      <c r="P28" s="195">
        <v>63.195217999999997</v>
      </c>
      <c r="Q28" s="57">
        <v>59.399267999999999</v>
      </c>
      <c r="R28" s="62">
        <f t="shared" si="0"/>
        <v>608.01030800000001</v>
      </c>
      <c r="S28" s="62">
        <f t="shared" si="8"/>
        <v>0</v>
      </c>
      <c r="T28" s="57">
        <f t="shared" si="9"/>
        <v>608.01030800000001</v>
      </c>
      <c r="U28" s="96">
        <f t="shared" si="4"/>
        <v>9.7652594770156184E-2</v>
      </c>
      <c r="V28" s="96" t="str">
        <f t="shared" si="5"/>
        <v/>
      </c>
      <c r="W28" s="96">
        <f t="shared" si="6"/>
        <v>9.7652594770156184E-2</v>
      </c>
      <c r="X28" s="424"/>
      <c r="Y28" s="424"/>
    </row>
    <row r="29" spans="2:25" x14ac:dyDescent="0.35">
      <c r="B29" s="55"/>
      <c r="D29" s="55"/>
      <c r="E29" s="2" t="s">
        <v>28</v>
      </c>
      <c r="F29" s="195">
        <v>10.555</v>
      </c>
      <c r="G29" s="195">
        <v>19.274999999999999</v>
      </c>
      <c r="H29" s="195">
        <v>24.6</v>
      </c>
      <c r="I29" s="195">
        <v>19.945</v>
      </c>
      <c r="J29" s="195">
        <v>34.604999999999997</v>
      </c>
      <c r="K29" s="195">
        <v>38.005000000000003</v>
      </c>
      <c r="L29" s="195">
        <v>40.49</v>
      </c>
      <c r="M29" s="195">
        <v>36.094999999999999</v>
      </c>
      <c r="N29" s="195">
        <v>40.284999999999997</v>
      </c>
      <c r="O29" s="195">
        <v>38.728999999999999</v>
      </c>
      <c r="P29" s="195">
        <v>34.470999999999997</v>
      </c>
      <c r="Q29" s="325">
        <v>41.887999999999998</v>
      </c>
      <c r="R29" s="62">
        <f>SUMIFS($F29:$Q29,$F$7:$Q$7,"A")</f>
        <v>378.94299999999998</v>
      </c>
      <c r="S29" s="62">
        <f>SUMIFS($F29:$Q29,$F$7:$Q$7,"B")</f>
        <v>0</v>
      </c>
      <c r="T29" s="57">
        <f>SUM(R29:S29)</f>
        <v>378.94299999999998</v>
      </c>
      <c r="U29" s="96">
        <f t="shared" ref="U29:W31" si="12">IFERROR(R29/R$18,"")</f>
        <v>6.0862072127874672E-2</v>
      </c>
      <c r="V29" s="96" t="str">
        <f t="shared" si="12"/>
        <v/>
      </c>
      <c r="W29" s="96">
        <f t="shared" si="12"/>
        <v>6.0862072127874672E-2</v>
      </c>
      <c r="X29" s="424"/>
      <c r="Y29" s="424"/>
    </row>
    <row r="30" spans="2:25" x14ac:dyDescent="0.35">
      <c r="B30" s="55"/>
      <c r="D30" s="55"/>
      <c r="E30" s="2" t="s">
        <v>24</v>
      </c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325"/>
      <c r="R30" s="62">
        <f>SUMIFS($F30:$Q30,$F$7:$Q$7,"A")</f>
        <v>0</v>
      </c>
      <c r="S30" s="62">
        <f>SUMIFS($F30:$Q30,$F$7:$Q$7,"B")</f>
        <v>0</v>
      </c>
      <c r="T30" s="57">
        <f>SUM(R30:S30)</f>
        <v>0</v>
      </c>
      <c r="U30" s="96">
        <f t="shared" si="12"/>
        <v>0</v>
      </c>
      <c r="V30" s="96" t="str">
        <f t="shared" si="12"/>
        <v/>
      </c>
      <c r="W30" s="96">
        <f t="shared" si="12"/>
        <v>0</v>
      </c>
      <c r="X30" s="424"/>
      <c r="Y30" s="424"/>
    </row>
    <row r="31" spans="2:25" x14ac:dyDescent="0.35">
      <c r="B31" s="27"/>
      <c r="D31" s="55"/>
      <c r="E31" s="2" t="s">
        <v>612</v>
      </c>
      <c r="F31" s="195">
        <v>24.27</v>
      </c>
      <c r="G31" s="195">
        <v>34.448</v>
      </c>
      <c r="H31" s="195">
        <v>41.804000000000002</v>
      </c>
      <c r="I31" s="195">
        <v>41.392000000000003</v>
      </c>
      <c r="J31" s="195">
        <v>74.418000000000006</v>
      </c>
      <c r="K31" s="195">
        <v>95.498000000000005</v>
      </c>
      <c r="L31" s="195">
        <v>121.928</v>
      </c>
      <c r="M31" s="195">
        <v>111.934</v>
      </c>
      <c r="N31" s="195">
        <v>93.42</v>
      </c>
      <c r="O31" s="195">
        <v>92.531999999999996</v>
      </c>
      <c r="P31" s="195">
        <v>78.177999999999997</v>
      </c>
      <c r="Q31" s="57">
        <v>88.831999999999994</v>
      </c>
      <c r="R31" s="62">
        <f>SUMIFS($F31:$Q31,$F$7:$Q$7,"A")</f>
        <v>898.654</v>
      </c>
      <c r="S31" s="62">
        <f>SUMIFS($F31:$Q31,$F$7:$Q$7,"B")</f>
        <v>0</v>
      </c>
      <c r="T31" s="57">
        <f>SUM(R31:S31)</f>
        <v>898.654</v>
      </c>
      <c r="U31" s="96">
        <f t="shared" si="12"/>
        <v>0.14433290644240185</v>
      </c>
      <c r="V31" s="96" t="str">
        <f t="shared" si="12"/>
        <v/>
      </c>
      <c r="W31" s="96">
        <f t="shared" si="12"/>
        <v>0.14433290644240185</v>
      </c>
      <c r="X31" s="424"/>
      <c r="Y31" s="424"/>
    </row>
    <row r="32" spans="2:25" x14ac:dyDescent="0.35">
      <c r="B32" s="27"/>
      <c r="D32" s="55"/>
      <c r="E32" s="2" t="s">
        <v>642</v>
      </c>
      <c r="F32" s="195">
        <v>10.861699</v>
      </c>
      <c r="G32" s="195">
        <v>1.3855999999999999</v>
      </c>
      <c r="H32" s="195">
        <v>14.145</v>
      </c>
      <c r="I32" s="195">
        <v>1.7386649999999999</v>
      </c>
      <c r="J32" s="195">
        <v>2.7254149999999999</v>
      </c>
      <c r="K32" s="195">
        <v>16.100000000000001</v>
      </c>
      <c r="L32" s="195">
        <v>22.427</v>
      </c>
      <c r="M32" s="195">
        <v>21.274999999999999</v>
      </c>
      <c r="N32" s="195">
        <v>37.914999999999999</v>
      </c>
      <c r="O32" s="195">
        <v>15.9</v>
      </c>
      <c r="P32" s="195">
        <v>16.344999999999999</v>
      </c>
      <c r="Q32" s="57">
        <v>19.068000000000001</v>
      </c>
      <c r="R32" s="62">
        <f t="shared" si="0"/>
        <v>179.88637900000001</v>
      </c>
      <c r="S32" s="62">
        <f t="shared" si="8"/>
        <v>0</v>
      </c>
      <c r="T32" s="57">
        <f t="shared" si="9"/>
        <v>179.88637900000001</v>
      </c>
      <c r="U32" s="96">
        <f t="shared" si="4"/>
        <v>2.889156884681918E-2</v>
      </c>
      <c r="V32" s="96" t="str">
        <f t="shared" si="5"/>
        <v/>
      </c>
      <c r="W32" s="96">
        <f t="shared" si="6"/>
        <v>2.889156884681918E-2</v>
      </c>
      <c r="X32" s="424"/>
      <c r="Y32" s="424"/>
    </row>
    <row r="33" spans="2:25" x14ac:dyDescent="0.35">
      <c r="B33" s="55"/>
      <c r="D33" s="55"/>
      <c r="E33" s="2" t="s">
        <v>183</v>
      </c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325"/>
      <c r="R33" s="62">
        <f t="shared" si="0"/>
        <v>0</v>
      </c>
      <c r="S33" s="62">
        <f t="shared" si="8"/>
        <v>0</v>
      </c>
      <c r="T33" s="57">
        <f t="shared" ref="T33" si="13">SUM(R33:S33)</f>
        <v>0</v>
      </c>
      <c r="U33" s="96">
        <f t="shared" ref="U33" si="14">IFERROR(R33/R$18,"")</f>
        <v>0</v>
      </c>
      <c r="V33" s="96" t="str">
        <f t="shared" ref="V33" si="15">IFERROR(S33/S$18,"")</f>
        <v/>
      </c>
      <c r="W33" s="96">
        <f t="shared" ref="W33" si="16">IFERROR(T33/T$18,"")</f>
        <v>0</v>
      </c>
      <c r="X33" s="424"/>
      <c r="Y33" s="424"/>
    </row>
    <row r="34" spans="2:25" x14ac:dyDescent="0.35">
      <c r="B34" s="55"/>
      <c r="D34" s="6" t="s">
        <v>181</v>
      </c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4"/>
      <c r="R34" s="62"/>
      <c r="S34" s="62"/>
      <c r="T34" s="57"/>
      <c r="U34" s="96"/>
      <c r="V34" s="96"/>
      <c r="W34" s="96"/>
      <c r="X34" s="424"/>
      <c r="Y34" s="424"/>
    </row>
    <row r="35" spans="2:25" x14ac:dyDescent="0.35">
      <c r="B35" s="55"/>
      <c r="D35" s="55"/>
      <c r="E35" s="2" t="s">
        <v>310</v>
      </c>
      <c r="F35" s="195">
        <v>76.623000000000005</v>
      </c>
      <c r="G35" s="195">
        <v>90.195999999999998</v>
      </c>
      <c r="H35" s="195">
        <f>91.221-14.145</f>
        <v>77.076000000000008</v>
      </c>
      <c r="I35" s="195">
        <v>85.495000000000005</v>
      </c>
      <c r="J35" s="195">
        <v>99.552999999999997</v>
      </c>
      <c r="K35" s="195">
        <v>93.4375</v>
      </c>
      <c r="L35" s="195">
        <v>95.37533333333333</v>
      </c>
      <c r="M35" s="195">
        <v>103.93899999999999</v>
      </c>
      <c r="N35" s="195">
        <v>110.73399999999999</v>
      </c>
      <c r="O35" s="195">
        <v>141.49</v>
      </c>
      <c r="P35" s="195">
        <v>134.20599999999999</v>
      </c>
      <c r="Q35" s="57">
        <v>140.196</v>
      </c>
      <c r="R35" s="62">
        <f t="shared" si="0"/>
        <v>1248.3208333333332</v>
      </c>
      <c r="S35" s="62">
        <f t="shared" si="8"/>
        <v>0</v>
      </c>
      <c r="T35" s="57">
        <f t="shared" si="9"/>
        <v>1248.3208333333332</v>
      </c>
      <c r="U35" s="96">
        <f t="shared" si="4"/>
        <v>0.20049293059130779</v>
      </c>
      <c r="V35" s="96" t="str">
        <f t="shared" si="5"/>
        <v/>
      </c>
      <c r="W35" s="96">
        <f t="shared" si="6"/>
        <v>0.20049293059130779</v>
      </c>
      <c r="X35" s="424"/>
      <c r="Y35" s="424"/>
    </row>
    <row r="36" spans="2:25" x14ac:dyDescent="0.35">
      <c r="B36" s="55"/>
      <c r="D36" s="55"/>
      <c r="E36" s="2" t="s">
        <v>408</v>
      </c>
      <c r="F36" s="195">
        <v>192.584</v>
      </c>
      <c r="G36" s="195">
        <v>192.584</v>
      </c>
      <c r="H36" s="195">
        <v>192.584</v>
      </c>
      <c r="I36" s="195">
        <v>192.584</v>
      </c>
      <c r="J36" s="195">
        <v>192.584</v>
      </c>
      <c r="K36" s="195">
        <v>192.584</v>
      </c>
      <c r="L36" s="195">
        <v>192.584</v>
      </c>
      <c r="M36" s="195">
        <v>192.584</v>
      </c>
      <c r="N36" s="195">
        <v>192.584</v>
      </c>
      <c r="O36" s="195">
        <v>192.584</v>
      </c>
      <c r="P36" s="195">
        <v>192.584</v>
      </c>
      <c r="Q36" s="57">
        <v>192.584</v>
      </c>
      <c r="R36" s="62">
        <f t="shared" si="0"/>
        <v>2311.0080000000003</v>
      </c>
      <c r="S36" s="62">
        <f t="shared" si="8"/>
        <v>0</v>
      </c>
      <c r="T36" s="57">
        <f t="shared" si="9"/>
        <v>2311.0080000000003</v>
      </c>
      <c r="U36" s="96">
        <f t="shared" si="4"/>
        <v>0.37117121990403679</v>
      </c>
      <c r="V36" s="96" t="str">
        <f t="shared" si="5"/>
        <v/>
      </c>
      <c r="W36" s="96">
        <f t="shared" si="6"/>
        <v>0.37117121990403679</v>
      </c>
      <c r="X36" s="424"/>
      <c r="Y36" s="424"/>
    </row>
    <row r="37" spans="2:25" x14ac:dyDescent="0.35">
      <c r="B37" s="55"/>
      <c r="D37" s="55"/>
      <c r="E37" s="2" t="s">
        <v>644</v>
      </c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57"/>
      <c r="R37" s="62"/>
      <c r="S37" s="62"/>
      <c r="T37" s="57"/>
      <c r="U37" s="96"/>
      <c r="V37" s="96"/>
      <c r="W37" s="96"/>
      <c r="X37" s="424"/>
      <c r="Y37" s="424"/>
    </row>
    <row r="38" spans="2:25" x14ac:dyDescent="0.35">
      <c r="B38" s="55"/>
      <c r="D38" s="55"/>
      <c r="E38" s="2" t="s">
        <v>631</v>
      </c>
      <c r="F38" s="195">
        <v>45.004458999999997</v>
      </c>
      <c r="G38" s="195">
        <v>40.650460000000002</v>
      </c>
      <c r="H38" s="195">
        <v>55.384644999999999</v>
      </c>
      <c r="I38" s="195">
        <v>58.629686</v>
      </c>
      <c r="J38" s="195">
        <v>76.798147999999998</v>
      </c>
      <c r="K38" s="195">
        <v>68.709605999999994</v>
      </c>
      <c r="L38" s="195">
        <v>82.808723999999998</v>
      </c>
      <c r="M38" s="195">
        <v>75.461545999999998</v>
      </c>
      <c r="N38" s="195">
        <v>79.676421000000005</v>
      </c>
      <c r="O38" s="195">
        <v>76.818787999999998</v>
      </c>
      <c r="P38" s="195">
        <v>65.156299000000004</v>
      </c>
      <c r="Q38" s="57">
        <v>66.507659000000004</v>
      </c>
      <c r="R38" s="62">
        <f t="shared" si="0"/>
        <v>791.60644100000002</v>
      </c>
      <c r="S38" s="62">
        <f t="shared" si="8"/>
        <v>0</v>
      </c>
      <c r="T38" s="57">
        <f t="shared" si="9"/>
        <v>791.60644100000002</v>
      </c>
      <c r="U38" s="96">
        <f t="shared" si="4"/>
        <v>0.12713998756813602</v>
      </c>
      <c r="V38" s="96" t="str">
        <f t="shared" si="5"/>
        <v/>
      </c>
      <c r="W38" s="96">
        <f t="shared" si="6"/>
        <v>0.12713998756813602</v>
      </c>
      <c r="X38" s="424"/>
      <c r="Y38" s="424"/>
    </row>
    <row r="39" spans="2:25" ht="13.15" thickBot="1" x14ac:dyDescent="0.4">
      <c r="B39" s="55"/>
      <c r="D39" s="55"/>
      <c r="E39" s="2" t="s">
        <v>188</v>
      </c>
      <c r="F39" s="195">
        <v>27.812000000000001</v>
      </c>
      <c r="G39" s="195">
        <v>61.576146000000001</v>
      </c>
      <c r="H39" s="195">
        <v>0</v>
      </c>
      <c r="I39" s="195">
        <v>0</v>
      </c>
      <c r="J39" s="195">
        <v>0</v>
      </c>
      <c r="K39" s="195">
        <v>9</v>
      </c>
      <c r="L39" s="195">
        <v>0</v>
      </c>
      <c r="M39" s="195">
        <v>20</v>
      </c>
      <c r="N39" s="195">
        <v>0</v>
      </c>
      <c r="O39" s="195">
        <v>0</v>
      </c>
      <c r="P39" s="195">
        <v>0</v>
      </c>
      <c r="Q39" s="195">
        <v>0</v>
      </c>
      <c r="R39" s="62">
        <f t="shared" si="0"/>
        <v>118.38814600000001</v>
      </c>
      <c r="S39" s="62">
        <f t="shared" si="8"/>
        <v>0</v>
      </c>
      <c r="T39" s="57">
        <f t="shared" si="9"/>
        <v>118.38814600000001</v>
      </c>
      <c r="U39" s="96">
        <f t="shared" si="4"/>
        <v>1.9014331656574623E-2</v>
      </c>
      <c r="V39" s="96" t="str">
        <f t="shared" si="5"/>
        <v/>
      </c>
      <c r="W39" s="96">
        <f t="shared" si="6"/>
        <v>1.9014331656574623E-2</v>
      </c>
      <c r="X39" s="424"/>
      <c r="Y39" s="424"/>
    </row>
    <row r="40" spans="2:25" x14ac:dyDescent="0.35">
      <c r="B40" s="89" t="s">
        <v>190</v>
      </c>
      <c r="C40" s="90"/>
      <c r="D40" s="90"/>
      <c r="E40" s="91"/>
      <c r="F40" s="92">
        <f t="shared" ref="F40:Q40" si="17">F18-SUM(F28:F39)</f>
        <v>-239.944018</v>
      </c>
      <c r="G40" s="92">
        <f t="shared" si="17"/>
        <v>-187.63403499999998</v>
      </c>
      <c r="H40" s="92">
        <f t="shared" si="17"/>
        <v>-90.442341999999996</v>
      </c>
      <c r="I40" s="92">
        <f t="shared" si="17"/>
        <v>-114.94900199999995</v>
      </c>
      <c r="J40" s="92">
        <f t="shared" si="17"/>
        <v>3.9802719999998999</v>
      </c>
      <c r="K40" s="92">
        <f t="shared" si="17"/>
        <v>43.293954000000099</v>
      </c>
      <c r="L40" s="92">
        <f t="shared" si="17"/>
        <v>72.920770666666613</v>
      </c>
      <c r="M40" s="92">
        <f t="shared" si="17"/>
        <v>2.8503989999999249</v>
      </c>
      <c r="N40" s="92">
        <f t="shared" si="17"/>
        <v>21.367915000000039</v>
      </c>
      <c r="O40" s="92">
        <f t="shared" si="17"/>
        <v>62.737022999999908</v>
      </c>
      <c r="P40" s="92">
        <f t="shared" si="17"/>
        <v>16.174483000000123</v>
      </c>
      <c r="Q40" s="92">
        <f t="shared" si="17"/>
        <v>101.08607299999994</v>
      </c>
      <c r="R40" s="92">
        <f t="shared" si="0"/>
        <v>-308.55850733333341</v>
      </c>
      <c r="S40" s="92">
        <f t="shared" si="8"/>
        <v>0</v>
      </c>
      <c r="T40" s="92">
        <f t="shared" si="9"/>
        <v>-308.55850733333341</v>
      </c>
      <c r="U40" s="104">
        <f t="shared" si="4"/>
        <v>-4.9557611907307127E-2</v>
      </c>
      <c r="V40" s="104" t="str">
        <f t="shared" si="5"/>
        <v/>
      </c>
      <c r="W40" s="104">
        <f t="shared" si="6"/>
        <v>-4.9557611907307127E-2</v>
      </c>
      <c r="X40" s="104"/>
      <c r="Y40" s="104"/>
    </row>
    <row r="41" spans="2:25" x14ac:dyDescent="0.35">
      <c r="C41" s="2" t="s">
        <v>641</v>
      </c>
      <c r="F41" s="62">
        <f>SUBTOTAL(9,F42:F44)</f>
        <v>196.83345700000001</v>
      </c>
      <c r="G41" s="62">
        <f t="shared" ref="G41:Q41" si="18">SUBTOTAL(9,G42:G44)</f>
        <v>196.83345700000001</v>
      </c>
      <c r="H41" s="62">
        <f t="shared" si="18"/>
        <v>196.83345700000001</v>
      </c>
      <c r="I41" s="62">
        <f t="shared" si="18"/>
        <v>196.83345700000001</v>
      </c>
      <c r="J41" s="62">
        <f t="shared" si="18"/>
        <v>196.83345700000001</v>
      </c>
      <c r="K41" s="62">
        <f t="shared" si="18"/>
        <v>196.83345700000001</v>
      </c>
      <c r="L41" s="62">
        <f t="shared" si="18"/>
        <v>196.83345700000001</v>
      </c>
      <c r="M41" s="62">
        <f t="shared" si="18"/>
        <v>203.98906900000003</v>
      </c>
      <c r="N41" s="62">
        <f t="shared" si="18"/>
        <v>203.98906899999997</v>
      </c>
      <c r="O41" s="62">
        <f t="shared" si="18"/>
        <v>203.98906899999997</v>
      </c>
      <c r="P41" s="62">
        <f t="shared" si="18"/>
        <v>203.98906899999997</v>
      </c>
      <c r="Q41" s="62">
        <f t="shared" si="18"/>
        <v>203.98906899999997</v>
      </c>
      <c r="R41" s="62">
        <f t="shared" si="0"/>
        <v>2397.779544</v>
      </c>
      <c r="S41" s="62">
        <f t="shared" si="8"/>
        <v>0</v>
      </c>
      <c r="T41" s="57">
        <f t="shared" si="9"/>
        <v>2397.779544</v>
      </c>
      <c r="U41" s="96">
        <f t="shared" si="4"/>
        <v>0.3851076060348666</v>
      </c>
      <c r="V41" s="96" t="str">
        <f t="shared" si="5"/>
        <v/>
      </c>
      <c r="W41" s="96">
        <f t="shared" si="6"/>
        <v>0.3851076060348666</v>
      </c>
      <c r="X41" s="96"/>
      <c r="Y41" s="96"/>
    </row>
    <row r="42" spans="2:25" x14ac:dyDescent="0.35">
      <c r="C42" s="479"/>
      <c r="D42" s="513"/>
      <c r="E42" s="494" t="s">
        <v>6</v>
      </c>
      <c r="F42" s="482">
        <f t="shared" ref="F42:L42" si="19">147618136/(10^6)</f>
        <v>147.61813599999999</v>
      </c>
      <c r="G42" s="482">
        <f t="shared" si="19"/>
        <v>147.61813599999999</v>
      </c>
      <c r="H42" s="482">
        <f t="shared" si="19"/>
        <v>147.61813599999999</v>
      </c>
      <c r="I42" s="482">
        <f t="shared" si="19"/>
        <v>147.61813599999999</v>
      </c>
      <c r="J42" s="482">
        <f t="shared" si="19"/>
        <v>147.61813599999999</v>
      </c>
      <c r="K42" s="482">
        <f t="shared" si="19"/>
        <v>147.61813599999999</v>
      </c>
      <c r="L42" s="482">
        <f t="shared" si="19"/>
        <v>147.61813599999999</v>
      </c>
      <c r="M42" s="482">
        <f>154773748/(10^6)</f>
        <v>154.77374800000001</v>
      </c>
      <c r="N42" s="482">
        <f>147618136/(10^6)</f>
        <v>147.61813599999999</v>
      </c>
      <c r="O42" s="482">
        <f>147618136/(10^6)</f>
        <v>147.61813599999999</v>
      </c>
      <c r="P42" s="482">
        <f>147618136/(10^6)</f>
        <v>147.61813599999999</v>
      </c>
      <c r="Q42" s="482">
        <f>147618136/(10^6)</f>
        <v>147.61813599999999</v>
      </c>
      <c r="R42" s="482">
        <f t="shared" si="0"/>
        <v>1778.5732440000004</v>
      </c>
      <c r="S42" s="482">
        <f t="shared" si="8"/>
        <v>0</v>
      </c>
      <c r="T42" s="515">
        <f t="shared" ref="T42:T44" si="20">SUM(R42:S42)</f>
        <v>1778.5732440000004</v>
      </c>
      <c r="U42" s="558">
        <f t="shared" ref="U42:U44" si="21">IFERROR(R42/R$18,"")</f>
        <v>0.28565682189943098</v>
      </c>
      <c r="V42" s="558" t="str">
        <f t="shared" ref="V42:V44" si="22">IFERROR(S42/S$18,"")</f>
        <v/>
      </c>
      <c r="W42" s="558">
        <f t="shared" ref="W42:W44" si="23">IFERROR(T42/T$18,"")</f>
        <v>0.28565682189943098</v>
      </c>
      <c r="X42" s="558"/>
      <c r="Y42" s="559"/>
    </row>
    <row r="43" spans="2:25" x14ac:dyDescent="0.35">
      <c r="C43" s="485"/>
      <c r="E43" s="442" t="s">
        <v>7</v>
      </c>
      <c r="F43" s="62">
        <f t="shared" ref="F43:M43" si="24">20231773/(10^6)</f>
        <v>20.231773</v>
      </c>
      <c r="G43" s="62">
        <f t="shared" si="24"/>
        <v>20.231773</v>
      </c>
      <c r="H43" s="62">
        <f t="shared" si="24"/>
        <v>20.231773</v>
      </c>
      <c r="I43" s="62">
        <f t="shared" si="24"/>
        <v>20.231773</v>
      </c>
      <c r="J43" s="62">
        <f t="shared" si="24"/>
        <v>20.231773</v>
      </c>
      <c r="K43" s="62">
        <f t="shared" si="24"/>
        <v>20.231773</v>
      </c>
      <c r="L43" s="62">
        <f t="shared" si="24"/>
        <v>20.231773</v>
      </c>
      <c r="M43" s="62">
        <f t="shared" si="24"/>
        <v>20.231773</v>
      </c>
      <c r="N43" s="62">
        <f>27387385/(10^6)</f>
        <v>27.387384999999998</v>
      </c>
      <c r="O43" s="62">
        <f>27387385/(10^6)</f>
        <v>27.387384999999998</v>
      </c>
      <c r="P43" s="62">
        <f>27387385/(10^6)</f>
        <v>27.387384999999998</v>
      </c>
      <c r="Q43" s="62">
        <f>27387385/(10^6)</f>
        <v>27.387384999999998</v>
      </c>
      <c r="R43" s="195">
        <f t="shared" si="0"/>
        <v>271.40372400000001</v>
      </c>
      <c r="S43" s="195">
        <f t="shared" si="8"/>
        <v>0</v>
      </c>
      <c r="T43" s="57">
        <f t="shared" si="20"/>
        <v>271.40372400000001</v>
      </c>
      <c r="U43" s="118">
        <f t="shared" si="21"/>
        <v>4.35901785383601E-2</v>
      </c>
      <c r="V43" s="118" t="str">
        <f t="shared" si="22"/>
        <v/>
      </c>
      <c r="W43" s="118">
        <f t="shared" si="23"/>
        <v>4.35901785383601E-2</v>
      </c>
      <c r="X43" s="118"/>
      <c r="Y43" s="560"/>
    </row>
    <row r="44" spans="2:25" x14ac:dyDescent="0.35">
      <c r="C44" s="487"/>
      <c r="D44" s="519"/>
      <c r="E44" s="507" t="s">
        <v>8</v>
      </c>
      <c r="F44" s="490">
        <f t="shared" ref="F44:Q44" si="25">28983548/(10^6)</f>
        <v>28.983547999999999</v>
      </c>
      <c r="G44" s="490">
        <f t="shared" si="25"/>
        <v>28.983547999999999</v>
      </c>
      <c r="H44" s="490">
        <f t="shared" si="25"/>
        <v>28.983547999999999</v>
      </c>
      <c r="I44" s="490">
        <f t="shared" si="25"/>
        <v>28.983547999999999</v>
      </c>
      <c r="J44" s="490">
        <f t="shared" si="25"/>
        <v>28.983547999999999</v>
      </c>
      <c r="K44" s="490">
        <f t="shared" si="25"/>
        <v>28.983547999999999</v>
      </c>
      <c r="L44" s="490">
        <f t="shared" si="25"/>
        <v>28.983547999999999</v>
      </c>
      <c r="M44" s="490">
        <f t="shared" si="25"/>
        <v>28.983547999999999</v>
      </c>
      <c r="N44" s="490">
        <f t="shared" si="25"/>
        <v>28.983547999999999</v>
      </c>
      <c r="O44" s="490">
        <f t="shared" si="25"/>
        <v>28.983547999999999</v>
      </c>
      <c r="P44" s="490">
        <f t="shared" si="25"/>
        <v>28.983547999999999</v>
      </c>
      <c r="Q44" s="490">
        <f t="shared" si="25"/>
        <v>28.983547999999999</v>
      </c>
      <c r="R44" s="490">
        <f t="shared" si="0"/>
        <v>347.80257599999987</v>
      </c>
      <c r="S44" s="490">
        <f t="shared" si="8"/>
        <v>0</v>
      </c>
      <c r="T44" s="521">
        <f t="shared" si="20"/>
        <v>347.80257599999987</v>
      </c>
      <c r="U44" s="561">
        <f t="shared" si="21"/>
        <v>5.5860605597075563E-2</v>
      </c>
      <c r="V44" s="561" t="str">
        <f t="shared" si="22"/>
        <v/>
      </c>
      <c r="W44" s="561">
        <f t="shared" si="23"/>
        <v>5.5860605597075563E-2</v>
      </c>
      <c r="X44" s="561"/>
      <c r="Y44" s="562"/>
    </row>
    <row r="45" spans="2:25" x14ac:dyDescent="0.35">
      <c r="C45" s="2" t="s">
        <v>195</v>
      </c>
      <c r="F45" s="62">
        <f>60922422/(10^6)</f>
        <v>60.922421999999997</v>
      </c>
      <c r="G45" s="62">
        <f t="shared" ref="G45:H45" si="26">60922422/(10^6)</f>
        <v>60.922421999999997</v>
      </c>
      <c r="H45" s="62">
        <f t="shared" si="26"/>
        <v>60.922421999999997</v>
      </c>
      <c r="I45" s="62">
        <v>61.197421999999996</v>
      </c>
      <c r="J45" s="62">
        <v>61.197421999999996</v>
      </c>
      <c r="K45" s="62">
        <v>61.197421999999996</v>
      </c>
      <c r="L45" s="62">
        <v>61.197421999999996</v>
      </c>
      <c r="M45" s="62">
        <v>61.197421999999996</v>
      </c>
      <c r="N45" s="62">
        <v>61.197421999999996</v>
      </c>
      <c r="O45" s="62">
        <v>61.197421999999996</v>
      </c>
      <c r="P45" s="62">
        <v>61.197421999999996</v>
      </c>
      <c r="Q45" s="62">
        <v>61.197421999999996</v>
      </c>
      <c r="R45" s="62">
        <f t="shared" si="0"/>
        <v>733.54406399999993</v>
      </c>
      <c r="S45" s="62">
        <f t="shared" si="8"/>
        <v>0</v>
      </c>
      <c r="T45" s="57">
        <f t="shared" si="9"/>
        <v>733.54406399999993</v>
      </c>
      <c r="U45" s="96">
        <f t="shared" si="4"/>
        <v>0.11781458354460252</v>
      </c>
      <c r="V45" s="96" t="str">
        <f t="shared" si="5"/>
        <v/>
      </c>
      <c r="W45" s="96">
        <f t="shared" si="6"/>
        <v>0.11781458354460252</v>
      </c>
      <c r="X45" s="96"/>
      <c r="Y45" s="96"/>
    </row>
    <row r="46" spans="2:25" x14ac:dyDescent="0.35">
      <c r="C46" s="2" t="s">
        <v>45</v>
      </c>
      <c r="F46" s="304">
        <v>99.96</v>
      </c>
      <c r="G46" s="62">
        <v>72.342500000000001</v>
      </c>
      <c r="H46" s="62">
        <v>72.342500000000001</v>
      </c>
      <c r="I46" s="62">
        <v>58.484999999999999</v>
      </c>
      <c r="J46" s="62">
        <v>103.47750000000001</v>
      </c>
      <c r="K46" s="62">
        <v>103.47750000000001</v>
      </c>
      <c r="L46" s="62">
        <v>187.25700000000001</v>
      </c>
      <c r="M46" s="62">
        <v>92.299374999999998</v>
      </c>
      <c r="N46" s="62">
        <v>92.299374999999998</v>
      </c>
      <c r="O46" s="62">
        <v>118.93525</v>
      </c>
      <c r="P46" s="62">
        <v>86.87</v>
      </c>
      <c r="Q46" s="57">
        <f>P46</f>
        <v>86.87</v>
      </c>
      <c r="R46" s="62">
        <f t="shared" si="0"/>
        <v>1174.616</v>
      </c>
      <c r="S46" s="62">
        <f t="shared" si="8"/>
        <v>0</v>
      </c>
      <c r="T46" s="57">
        <f t="shared" si="9"/>
        <v>1174.616</v>
      </c>
      <c r="U46" s="96">
        <f t="shared" si="4"/>
        <v>0.18865519013296364</v>
      </c>
      <c r="V46" s="96" t="str">
        <f t="shared" si="5"/>
        <v/>
      </c>
      <c r="W46" s="96">
        <f t="shared" si="6"/>
        <v>0.18865519013296364</v>
      </c>
      <c r="X46" s="96"/>
      <c r="Y46" s="96"/>
    </row>
    <row r="47" spans="2:25" x14ac:dyDescent="0.35">
      <c r="C47" s="2" t="s">
        <v>647</v>
      </c>
      <c r="F47" s="304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57"/>
      <c r="R47" s="62">
        <f t="shared" si="0"/>
        <v>0</v>
      </c>
      <c r="S47" s="62">
        <f t="shared" si="8"/>
        <v>0</v>
      </c>
      <c r="T47" s="57">
        <f t="shared" ref="T47" si="27">SUM(R47:S47)</f>
        <v>0</v>
      </c>
      <c r="U47" s="96">
        <f t="shared" ref="U47" si="28">IFERROR(R47/R$18,"")</f>
        <v>0</v>
      </c>
      <c r="V47" s="96" t="str">
        <f t="shared" ref="V47" si="29">IFERROR(S47/S$18,"")</f>
        <v/>
      </c>
      <c r="W47" s="96">
        <f t="shared" ref="W47" si="30">IFERROR(T47/T$18,"")</f>
        <v>0</v>
      </c>
      <c r="X47" s="96"/>
      <c r="Y47" s="96"/>
    </row>
    <row r="48" spans="2:25" x14ac:dyDescent="0.35">
      <c r="B48" s="87" t="s">
        <v>216</v>
      </c>
      <c r="C48" s="70"/>
      <c r="D48" s="70"/>
      <c r="E48" s="70"/>
      <c r="F48" s="328">
        <f>F40-SUBTOTAL(9,F41:F47)</f>
        <v>-597.659897</v>
      </c>
      <c r="G48" s="328">
        <f t="shared" ref="G48:Q48" si="31">G40-SUBTOTAL(9,G41:G47)</f>
        <v>-517.73241400000006</v>
      </c>
      <c r="H48" s="328">
        <f t="shared" si="31"/>
        <v>-420.54072100000002</v>
      </c>
      <c r="I48" s="328">
        <f t="shared" si="31"/>
        <v>-431.46488099999999</v>
      </c>
      <c r="J48" s="328">
        <f t="shared" si="31"/>
        <v>-357.52810700000015</v>
      </c>
      <c r="K48" s="328">
        <f t="shared" si="31"/>
        <v>-318.21442499999995</v>
      </c>
      <c r="L48" s="328">
        <f t="shared" si="31"/>
        <v>-372.36710833333342</v>
      </c>
      <c r="M48" s="328">
        <f t="shared" si="31"/>
        <v>-354.63546700000012</v>
      </c>
      <c r="N48" s="328">
        <f t="shared" si="31"/>
        <v>-336.11795099999995</v>
      </c>
      <c r="O48" s="328">
        <f t="shared" si="31"/>
        <v>-321.38471800000008</v>
      </c>
      <c r="P48" s="328">
        <f t="shared" si="31"/>
        <v>-335.88200799999987</v>
      </c>
      <c r="Q48" s="328">
        <f t="shared" si="31"/>
        <v>-250.97041800000005</v>
      </c>
      <c r="R48" s="328">
        <f t="shared" si="0"/>
        <v>-4614.4981153333338</v>
      </c>
      <c r="S48" s="328">
        <f t="shared" si="8"/>
        <v>0</v>
      </c>
      <c r="T48" s="328">
        <f t="shared" si="9"/>
        <v>-4614.4981153333338</v>
      </c>
      <c r="U48" s="563">
        <f t="shared" si="4"/>
        <v>-0.74113499161973995</v>
      </c>
      <c r="V48" s="563" t="str">
        <f t="shared" si="5"/>
        <v/>
      </c>
      <c r="W48" s="563">
        <f t="shared" si="6"/>
        <v>-0.74113499161973995</v>
      </c>
      <c r="X48" s="98"/>
      <c r="Y48" s="98"/>
    </row>
    <row r="49" spans="2:25" ht="13.15" thickBot="1" x14ac:dyDescent="0.4">
      <c r="C49" s="2" t="s">
        <v>193</v>
      </c>
      <c r="D49" s="55"/>
      <c r="F49" s="59">
        <f>IF(F48&lt;0,0,F48*20%)</f>
        <v>0</v>
      </c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>
        <f t="shared" si="0"/>
        <v>0</v>
      </c>
      <c r="S49" s="59">
        <f t="shared" si="8"/>
        <v>0</v>
      </c>
      <c r="T49" s="59">
        <f t="shared" ref="T49:T50" si="32">SUM(R49:S49)</f>
        <v>0</v>
      </c>
      <c r="U49" s="105">
        <f t="shared" ref="U49:U50" si="33">IFERROR(R49/R$18,"")</f>
        <v>0</v>
      </c>
      <c r="V49" s="105" t="str">
        <f t="shared" ref="V49:V50" si="34">IFERROR(S49/S$18,"")</f>
        <v/>
      </c>
      <c r="W49" s="105">
        <f t="shared" ref="W49:W50" si="35">IFERROR(T49/T$18,"")</f>
        <v>0</v>
      </c>
      <c r="X49" s="105"/>
      <c r="Y49" s="105"/>
    </row>
    <row r="50" spans="2:25" x14ac:dyDescent="0.35">
      <c r="B50" s="89" t="s">
        <v>194</v>
      </c>
      <c r="C50" s="90"/>
      <c r="D50" s="90"/>
      <c r="E50" s="91"/>
      <c r="F50" s="92">
        <f>F48-F49</f>
        <v>-597.659897</v>
      </c>
      <c r="G50" s="92">
        <f t="shared" ref="G50:Q50" si="36">G48-G49</f>
        <v>-517.73241400000006</v>
      </c>
      <c r="H50" s="92">
        <f t="shared" si="36"/>
        <v>-420.54072100000002</v>
      </c>
      <c r="I50" s="92">
        <f t="shared" si="36"/>
        <v>-431.46488099999999</v>
      </c>
      <c r="J50" s="92">
        <f t="shared" si="36"/>
        <v>-357.52810700000015</v>
      </c>
      <c r="K50" s="92">
        <f t="shared" si="36"/>
        <v>-318.21442499999995</v>
      </c>
      <c r="L50" s="92">
        <f t="shared" si="36"/>
        <v>-372.36710833333342</v>
      </c>
      <c r="M50" s="92">
        <f t="shared" si="36"/>
        <v>-354.63546700000012</v>
      </c>
      <c r="N50" s="92">
        <f t="shared" si="36"/>
        <v>-336.11795099999995</v>
      </c>
      <c r="O50" s="92">
        <f t="shared" si="36"/>
        <v>-321.38471800000008</v>
      </c>
      <c r="P50" s="92">
        <f t="shared" si="36"/>
        <v>-335.88200799999987</v>
      </c>
      <c r="Q50" s="92">
        <f t="shared" si="36"/>
        <v>-250.97041800000005</v>
      </c>
      <c r="R50" s="92">
        <f t="shared" si="0"/>
        <v>-4614.4981153333338</v>
      </c>
      <c r="S50" s="92">
        <f t="shared" si="8"/>
        <v>0</v>
      </c>
      <c r="T50" s="92">
        <f t="shared" si="32"/>
        <v>-4614.4981153333338</v>
      </c>
      <c r="U50" s="104">
        <f t="shared" si="33"/>
        <v>-0.74113499161973995</v>
      </c>
      <c r="V50" s="104" t="str">
        <f t="shared" si="34"/>
        <v/>
      </c>
      <c r="W50" s="92">
        <f t="shared" si="35"/>
        <v>-0.74113499161973995</v>
      </c>
      <c r="X50" s="92"/>
      <c r="Y50" s="92"/>
    </row>
    <row r="52" spans="2:25" x14ac:dyDescent="0.35">
      <c r="B52" s="27"/>
      <c r="D52" s="6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96"/>
      <c r="V52" s="57"/>
      <c r="W52" s="57"/>
      <c r="X52" s="57"/>
    </row>
    <row r="53" spans="2:25" outlineLevel="1" x14ac:dyDescent="0.35">
      <c r="B53" s="27" t="s">
        <v>338</v>
      </c>
      <c r="D53" s="6"/>
      <c r="E53" s="93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94"/>
      <c r="R53" s="94"/>
      <c r="S53" s="94"/>
      <c r="T53" s="95"/>
      <c r="U53" s="96"/>
      <c r="V53" s="94"/>
      <c r="W53" s="57"/>
      <c r="X53" s="95">
        <f>X18-X40</f>
        <v>0</v>
      </c>
    </row>
    <row r="55" spans="2:25" x14ac:dyDescent="0.35">
      <c r="B55" s="28" t="s">
        <v>99</v>
      </c>
    </row>
    <row r="56" spans="2:25" x14ac:dyDescent="0.35">
      <c r="C56" s="6" t="s">
        <v>137</v>
      </c>
    </row>
    <row r="57" spans="2:25" x14ac:dyDescent="0.35">
      <c r="E57" s="2" t="s">
        <v>6</v>
      </c>
      <c r="F57" s="57">
        <v>78</v>
      </c>
      <c r="G57" s="57">
        <v>141</v>
      </c>
      <c r="H57" s="57">
        <v>185</v>
      </c>
      <c r="I57" s="58">
        <v>151</v>
      </c>
      <c r="J57" s="58">
        <v>224</v>
      </c>
      <c r="K57" s="58">
        <v>287</v>
      </c>
      <c r="L57" s="58">
        <v>310</v>
      </c>
      <c r="M57" s="58">
        <v>286</v>
      </c>
      <c r="N57" s="58">
        <v>295</v>
      </c>
      <c r="O57" s="58">
        <v>299</v>
      </c>
      <c r="P57" s="58">
        <v>255</v>
      </c>
      <c r="Q57" s="2">
        <v>328</v>
      </c>
      <c r="R57" s="62">
        <f>SUMIFS($F57:$Q57,$F$7:$Q$7,"A")</f>
        <v>2839</v>
      </c>
      <c r="S57" s="62">
        <f>SUMIFS($F57:$Q57,$F$7:$Q$7,"B")</f>
        <v>0</v>
      </c>
      <c r="T57" s="57">
        <f>SUM(R57:S57)</f>
        <v>2839</v>
      </c>
    </row>
    <row r="58" spans="2:25" x14ac:dyDescent="0.35">
      <c r="E58" s="2" t="s">
        <v>7</v>
      </c>
      <c r="F58" s="57">
        <v>1</v>
      </c>
      <c r="G58" s="57">
        <v>4</v>
      </c>
      <c r="H58" s="58">
        <v>7</v>
      </c>
      <c r="I58" s="58">
        <v>1</v>
      </c>
      <c r="J58" s="58">
        <v>90</v>
      </c>
      <c r="K58" s="58">
        <v>11</v>
      </c>
      <c r="L58" s="58">
        <v>19</v>
      </c>
      <c r="M58" s="58">
        <v>6</v>
      </c>
      <c r="N58" s="58">
        <v>28</v>
      </c>
      <c r="O58" s="58">
        <v>4</v>
      </c>
      <c r="P58" s="58">
        <v>8</v>
      </c>
      <c r="Q58" s="2">
        <v>5</v>
      </c>
      <c r="R58" s="62">
        <f>SUMIFS($F58:$Q58,$F$7:$Q$7,"A")</f>
        <v>184</v>
      </c>
      <c r="S58" s="62">
        <f>SUMIFS($F58:$Q58,$F$7:$Q$7,"B")</f>
        <v>0</v>
      </c>
      <c r="T58" s="57">
        <f>SUM(R58:S58)</f>
        <v>184</v>
      </c>
    </row>
    <row r="59" spans="2:25" x14ac:dyDescent="0.35">
      <c r="E59" s="2" t="s">
        <v>8</v>
      </c>
      <c r="F59" s="57">
        <v>11</v>
      </c>
      <c r="G59" s="57">
        <v>20</v>
      </c>
      <c r="H59" s="58">
        <v>19</v>
      </c>
      <c r="I59" s="58">
        <v>16</v>
      </c>
      <c r="J59" s="58">
        <v>23</v>
      </c>
      <c r="K59" s="58">
        <v>28</v>
      </c>
      <c r="L59" s="58">
        <v>24</v>
      </c>
      <c r="M59" s="58">
        <v>19</v>
      </c>
      <c r="N59" s="58">
        <v>29</v>
      </c>
      <c r="O59" s="58">
        <v>30</v>
      </c>
      <c r="P59" s="58">
        <v>32</v>
      </c>
      <c r="Q59" s="2">
        <v>47</v>
      </c>
      <c r="R59" s="62">
        <f>SUMIFS($F59:$Q59,$F$7:$Q$7,"A")</f>
        <v>298</v>
      </c>
      <c r="S59" s="62">
        <f>SUMIFS($F59:$Q59,$F$7:$Q$7,"B")</f>
        <v>0</v>
      </c>
      <c r="T59" s="57">
        <f>SUM(R59:S59)</f>
        <v>298</v>
      </c>
    </row>
    <row r="60" spans="2:25" x14ac:dyDescent="0.35">
      <c r="E60" s="2" t="s">
        <v>9</v>
      </c>
      <c r="F60" s="57">
        <v>13</v>
      </c>
      <c r="G60" s="57">
        <v>26</v>
      </c>
      <c r="H60" s="57">
        <v>36</v>
      </c>
      <c r="I60" s="58">
        <v>34</v>
      </c>
      <c r="J60" s="58">
        <v>40</v>
      </c>
      <c r="K60" s="58">
        <v>56</v>
      </c>
      <c r="L60" s="58">
        <v>47</v>
      </c>
      <c r="M60" s="58">
        <v>33</v>
      </c>
      <c r="N60" s="58">
        <v>36</v>
      </c>
      <c r="O60" s="58">
        <v>60</v>
      </c>
      <c r="P60" s="58">
        <v>24</v>
      </c>
      <c r="Q60" s="2">
        <v>18</v>
      </c>
      <c r="R60" s="62">
        <f>SUMIFS($F60:$Q60,$F$7:$Q$7,"A")</f>
        <v>423</v>
      </c>
      <c r="S60" s="62">
        <f>SUMIFS($F60:$Q60,$F$7:$Q$7,"B")</f>
        <v>0</v>
      </c>
      <c r="T60" s="57">
        <f>SUM(R60:S60)</f>
        <v>423</v>
      </c>
    </row>
    <row r="61" spans="2:25" x14ac:dyDescent="0.35">
      <c r="E61" s="2" t="s">
        <v>10</v>
      </c>
      <c r="F61" s="57">
        <v>3</v>
      </c>
      <c r="G61" s="57">
        <v>0</v>
      </c>
      <c r="H61" s="57">
        <v>3</v>
      </c>
      <c r="I61" s="58">
        <v>1</v>
      </c>
      <c r="J61" s="57">
        <v>2</v>
      </c>
      <c r="K61" s="57">
        <v>1</v>
      </c>
      <c r="L61" s="57">
        <v>3</v>
      </c>
      <c r="M61" s="57">
        <v>0</v>
      </c>
      <c r="N61" s="57">
        <v>3</v>
      </c>
      <c r="O61" s="57">
        <v>20</v>
      </c>
      <c r="P61" s="57">
        <v>33</v>
      </c>
      <c r="Q61" s="2">
        <v>18</v>
      </c>
      <c r="R61" s="62">
        <f>SUMIFS($F61:$Q61,$F$7:$Q$7,"A")</f>
        <v>87</v>
      </c>
      <c r="S61" s="62">
        <f>SUMIFS($F61:$Q61,$F$7:$Q$7,"B")</f>
        <v>0</v>
      </c>
      <c r="T61" s="57">
        <f>SUM(R61:S61)</f>
        <v>87</v>
      </c>
    </row>
    <row r="62" spans="2:25" x14ac:dyDescent="0.35">
      <c r="D62" s="55" t="s">
        <v>134</v>
      </c>
    </row>
    <row r="63" spans="2:25" x14ac:dyDescent="0.35">
      <c r="D63" s="55"/>
    </row>
    <row r="64" spans="2:25" x14ac:dyDescent="0.35">
      <c r="C64" s="6" t="s">
        <v>140</v>
      </c>
      <c r="D64" s="55"/>
    </row>
    <row r="65" spans="3:20" x14ac:dyDescent="0.35">
      <c r="D65" s="55"/>
      <c r="E65" s="2" t="s">
        <v>6</v>
      </c>
      <c r="F65" s="2">
        <f t="shared" ref="F65:Q65" si="37">30*9*60/20</f>
        <v>810</v>
      </c>
      <c r="G65" s="2">
        <f t="shared" si="37"/>
        <v>810</v>
      </c>
      <c r="H65" s="2">
        <f t="shared" si="37"/>
        <v>810</v>
      </c>
      <c r="I65" s="2">
        <f t="shared" si="37"/>
        <v>810</v>
      </c>
      <c r="J65" s="2">
        <f t="shared" si="37"/>
        <v>810</v>
      </c>
      <c r="K65" s="2">
        <f t="shared" si="37"/>
        <v>810</v>
      </c>
      <c r="L65" s="2">
        <f t="shared" si="37"/>
        <v>810</v>
      </c>
      <c r="M65" s="2">
        <f t="shared" si="37"/>
        <v>810</v>
      </c>
      <c r="N65" s="2">
        <f t="shared" si="37"/>
        <v>810</v>
      </c>
      <c r="O65" s="2">
        <f t="shared" si="37"/>
        <v>810</v>
      </c>
      <c r="P65" s="2">
        <f t="shared" si="37"/>
        <v>810</v>
      </c>
      <c r="Q65" s="2">
        <f t="shared" si="37"/>
        <v>810</v>
      </c>
      <c r="R65" s="62">
        <f>SUMIFS($F65:$Q65,$F$7:$Q$7,"A")</f>
        <v>9720</v>
      </c>
      <c r="S65" s="62">
        <f>SUMIFS($F65:$Q65,$F$7:$Q$7,"B")</f>
        <v>0</v>
      </c>
      <c r="T65" s="57">
        <f>SUM(R65:S65)</f>
        <v>9720</v>
      </c>
    </row>
    <row r="66" spans="3:20" x14ac:dyDescent="0.35">
      <c r="D66" s="55"/>
      <c r="E66" s="2" t="s">
        <v>7</v>
      </c>
      <c r="F66" s="2">
        <f t="shared" ref="F66:Q66" si="38">30*9*60/15</f>
        <v>1080</v>
      </c>
      <c r="G66" s="2">
        <f t="shared" si="38"/>
        <v>1080</v>
      </c>
      <c r="H66" s="2">
        <f t="shared" si="38"/>
        <v>1080</v>
      </c>
      <c r="I66" s="2">
        <f t="shared" si="38"/>
        <v>1080</v>
      </c>
      <c r="J66" s="2">
        <f t="shared" si="38"/>
        <v>1080</v>
      </c>
      <c r="K66" s="2">
        <f t="shared" si="38"/>
        <v>1080</v>
      </c>
      <c r="L66" s="2">
        <f t="shared" si="38"/>
        <v>1080</v>
      </c>
      <c r="M66" s="2">
        <f t="shared" si="38"/>
        <v>1080</v>
      </c>
      <c r="N66" s="2">
        <f t="shared" si="38"/>
        <v>1080</v>
      </c>
      <c r="O66" s="2">
        <f t="shared" si="38"/>
        <v>1080</v>
      </c>
      <c r="P66" s="2">
        <f t="shared" si="38"/>
        <v>1080</v>
      </c>
      <c r="Q66" s="2">
        <f t="shared" si="38"/>
        <v>1080</v>
      </c>
      <c r="R66" s="62">
        <f>SUMIFS($F66:$Q66,$F$7:$Q$7,"A")</f>
        <v>12960</v>
      </c>
      <c r="S66" s="62">
        <f>SUMIFS($F66:$Q66,$F$7:$Q$7,"B")</f>
        <v>0</v>
      </c>
      <c r="T66" s="57">
        <f>SUM(R66:S66)</f>
        <v>12960</v>
      </c>
    </row>
    <row r="67" spans="3:20" x14ac:dyDescent="0.35">
      <c r="D67" s="55"/>
      <c r="E67" s="2" t="s">
        <v>8</v>
      </c>
      <c r="F67" s="2">
        <f t="shared" ref="F67:Q67" si="39">30*9*60/10</f>
        <v>1620</v>
      </c>
      <c r="G67" s="2">
        <f t="shared" si="39"/>
        <v>1620</v>
      </c>
      <c r="H67" s="2">
        <f t="shared" si="39"/>
        <v>1620</v>
      </c>
      <c r="I67" s="2">
        <f t="shared" si="39"/>
        <v>1620</v>
      </c>
      <c r="J67" s="2">
        <f t="shared" si="39"/>
        <v>1620</v>
      </c>
      <c r="K67" s="2">
        <f t="shared" si="39"/>
        <v>1620</v>
      </c>
      <c r="L67" s="2">
        <f t="shared" si="39"/>
        <v>1620</v>
      </c>
      <c r="M67" s="2">
        <f t="shared" si="39"/>
        <v>1620</v>
      </c>
      <c r="N67" s="2">
        <f t="shared" si="39"/>
        <v>1620</v>
      </c>
      <c r="O67" s="2">
        <f t="shared" si="39"/>
        <v>1620</v>
      </c>
      <c r="P67" s="2">
        <f t="shared" si="39"/>
        <v>1620</v>
      </c>
      <c r="Q67" s="2">
        <f t="shared" si="39"/>
        <v>1620</v>
      </c>
      <c r="R67" s="62">
        <f>SUMIFS($F67:$Q67,$F$7:$Q$7,"A")</f>
        <v>19440</v>
      </c>
      <c r="S67" s="62">
        <f>SUMIFS($F67:$Q67,$F$7:$Q$7,"B")</f>
        <v>0</v>
      </c>
      <c r="T67" s="57">
        <f>SUM(R67:S67)</f>
        <v>19440</v>
      </c>
    </row>
    <row r="68" spans="3:20" x14ac:dyDescent="0.35">
      <c r="D68" s="55"/>
      <c r="E68" s="2" t="s">
        <v>9</v>
      </c>
      <c r="F68" s="2">
        <f t="shared" ref="F68:Q68" si="40">30*9*60/8</f>
        <v>2025</v>
      </c>
      <c r="G68" s="2">
        <f t="shared" si="40"/>
        <v>2025</v>
      </c>
      <c r="H68" s="2">
        <f t="shared" si="40"/>
        <v>2025</v>
      </c>
      <c r="I68" s="2">
        <f t="shared" si="40"/>
        <v>2025</v>
      </c>
      <c r="J68" s="2">
        <f t="shared" si="40"/>
        <v>2025</v>
      </c>
      <c r="K68" s="2">
        <f t="shared" si="40"/>
        <v>2025</v>
      </c>
      <c r="L68" s="2">
        <f t="shared" si="40"/>
        <v>2025</v>
      </c>
      <c r="M68" s="2">
        <f t="shared" si="40"/>
        <v>2025</v>
      </c>
      <c r="N68" s="2">
        <f t="shared" si="40"/>
        <v>2025</v>
      </c>
      <c r="O68" s="2">
        <f t="shared" si="40"/>
        <v>2025</v>
      </c>
      <c r="P68" s="2">
        <f t="shared" si="40"/>
        <v>2025</v>
      </c>
      <c r="Q68" s="2">
        <f t="shared" si="40"/>
        <v>2025</v>
      </c>
      <c r="R68" s="62">
        <f>SUMIFS($F68:$Q68,$F$7:$Q$7,"A")</f>
        <v>24300</v>
      </c>
      <c r="S68" s="62">
        <f>SUMIFS($F68:$Q68,$F$7:$Q$7,"B")</f>
        <v>0</v>
      </c>
      <c r="T68" s="57">
        <f>SUM(R68:S68)</f>
        <v>24300</v>
      </c>
    </row>
    <row r="69" spans="3:20" x14ac:dyDescent="0.35">
      <c r="D69" s="55"/>
      <c r="E69" s="2" t="s">
        <v>10</v>
      </c>
      <c r="F69" s="2">
        <f t="shared" ref="F69:Q69" si="41">30*9*60/10</f>
        <v>1620</v>
      </c>
      <c r="G69" s="2">
        <f t="shared" si="41"/>
        <v>1620</v>
      </c>
      <c r="H69" s="2">
        <f t="shared" si="41"/>
        <v>1620</v>
      </c>
      <c r="I69" s="2">
        <f t="shared" si="41"/>
        <v>1620</v>
      </c>
      <c r="J69" s="2">
        <f t="shared" si="41"/>
        <v>1620</v>
      </c>
      <c r="K69" s="2">
        <f t="shared" si="41"/>
        <v>1620</v>
      </c>
      <c r="L69" s="2">
        <f t="shared" si="41"/>
        <v>1620</v>
      </c>
      <c r="M69" s="2">
        <f t="shared" si="41"/>
        <v>1620</v>
      </c>
      <c r="N69" s="2">
        <f t="shared" si="41"/>
        <v>1620</v>
      </c>
      <c r="O69" s="2">
        <f t="shared" si="41"/>
        <v>1620</v>
      </c>
      <c r="P69" s="2">
        <f t="shared" si="41"/>
        <v>1620</v>
      </c>
      <c r="Q69" s="2">
        <f t="shared" si="41"/>
        <v>1620</v>
      </c>
      <c r="R69" s="62">
        <f>SUMIFS($F69:$Q69,$F$7:$Q$7,"A")</f>
        <v>19440</v>
      </c>
      <c r="S69" s="62">
        <f>SUMIFS($F69:$Q69,$F$7:$Q$7,"B")</f>
        <v>0</v>
      </c>
      <c r="T69" s="57">
        <f>SUM(R69:S69)</f>
        <v>19440</v>
      </c>
    </row>
    <row r="70" spans="3:20" x14ac:dyDescent="0.35">
      <c r="C70" s="6" t="s">
        <v>139</v>
      </c>
    </row>
    <row r="71" spans="3:20" x14ac:dyDescent="0.35">
      <c r="E71" s="2" t="s">
        <v>6</v>
      </c>
      <c r="F71" s="96">
        <f>F57/F65</f>
        <v>9.6296296296296297E-2</v>
      </c>
      <c r="G71" s="96">
        <f t="shared" ref="G71:Q71" si="42">G57/G65</f>
        <v>0.17407407407407408</v>
      </c>
      <c r="H71" s="96">
        <f t="shared" si="42"/>
        <v>0.22839506172839505</v>
      </c>
      <c r="I71" s="96">
        <f t="shared" si="42"/>
        <v>0.18641975308641975</v>
      </c>
      <c r="J71" s="96">
        <f t="shared" si="42"/>
        <v>0.27654320987654318</v>
      </c>
      <c r="K71" s="96">
        <f t="shared" si="42"/>
        <v>0.35432098765432096</v>
      </c>
      <c r="L71" s="96">
        <f t="shared" si="42"/>
        <v>0.38271604938271603</v>
      </c>
      <c r="M71" s="96">
        <f t="shared" si="42"/>
        <v>0.35308641975308641</v>
      </c>
      <c r="N71" s="96">
        <f t="shared" si="42"/>
        <v>0.36419753086419754</v>
      </c>
      <c r="O71" s="96">
        <f t="shared" si="42"/>
        <v>0.3691358024691358</v>
      </c>
      <c r="P71" s="96">
        <f t="shared" si="42"/>
        <v>0.31481481481481483</v>
      </c>
      <c r="Q71" s="96">
        <f t="shared" si="42"/>
        <v>0.40493827160493828</v>
      </c>
      <c r="R71" s="96">
        <f>R57/R65</f>
        <v>0.29207818930041152</v>
      </c>
      <c r="T71" s="96">
        <f>T57/T65</f>
        <v>0.29207818930041152</v>
      </c>
    </row>
    <row r="72" spans="3:20" x14ac:dyDescent="0.35">
      <c r="E72" s="2" t="s">
        <v>7</v>
      </c>
      <c r="F72" s="96">
        <f t="shared" ref="F72:Q75" si="43">F58/F66</f>
        <v>9.2592592592592596E-4</v>
      </c>
      <c r="G72" s="96">
        <f t="shared" si="43"/>
        <v>3.7037037037037038E-3</v>
      </c>
      <c r="H72" s="96">
        <f t="shared" si="43"/>
        <v>6.4814814814814813E-3</v>
      </c>
      <c r="I72" s="96">
        <f t="shared" si="43"/>
        <v>9.2592592592592596E-4</v>
      </c>
      <c r="J72" s="96">
        <f t="shared" si="43"/>
        <v>8.3333333333333329E-2</v>
      </c>
      <c r="K72" s="96">
        <f t="shared" si="43"/>
        <v>1.0185185185185186E-2</v>
      </c>
      <c r="L72" s="96">
        <f t="shared" si="43"/>
        <v>1.7592592592592594E-2</v>
      </c>
      <c r="M72" s="96">
        <f t="shared" si="43"/>
        <v>5.5555555555555558E-3</v>
      </c>
      <c r="N72" s="96">
        <f t="shared" si="43"/>
        <v>2.5925925925925925E-2</v>
      </c>
      <c r="O72" s="96">
        <f t="shared" si="43"/>
        <v>3.7037037037037038E-3</v>
      </c>
      <c r="P72" s="96">
        <f t="shared" si="43"/>
        <v>7.4074074074074077E-3</v>
      </c>
      <c r="Q72" s="96">
        <f t="shared" si="43"/>
        <v>4.6296296296296294E-3</v>
      </c>
      <c r="R72" s="96">
        <f>R58/R66</f>
        <v>1.4197530864197531E-2</v>
      </c>
      <c r="T72" s="96">
        <f>T58/T66</f>
        <v>1.4197530864197531E-2</v>
      </c>
    </row>
    <row r="73" spans="3:20" x14ac:dyDescent="0.35">
      <c r="E73" s="2" t="s">
        <v>8</v>
      </c>
      <c r="F73" s="96">
        <f t="shared" si="43"/>
        <v>6.7901234567901234E-3</v>
      </c>
      <c r="G73" s="96">
        <f t="shared" si="43"/>
        <v>1.2345679012345678E-2</v>
      </c>
      <c r="H73" s="96">
        <f t="shared" si="43"/>
        <v>1.1728395061728396E-2</v>
      </c>
      <c r="I73" s="96">
        <f t="shared" si="43"/>
        <v>9.876543209876543E-3</v>
      </c>
      <c r="J73" s="96">
        <f t="shared" si="43"/>
        <v>1.4197530864197531E-2</v>
      </c>
      <c r="K73" s="96">
        <f t="shared" si="43"/>
        <v>1.7283950617283949E-2</v>
      </c>
      <c r="L73" s="96">
        <f t="shared" si="43"/>
        <v>1.4814814814814815E-2</v>
      </c>
      <c r="M73" s="96">
        <f t="shared" si="43"/>
        <v>1.1728395061728396E-2</v>
      </c>
      <c r="N73" s="96">
        <f t="shared" si="43"/>
        <v>1.7901234567901235E-2</v>
      </c>
      <c r="O73" s="96">
        <f t="shared" si="43"/>
        <v>1.8518518518518517E-2</v>
      </c>
      <c r="P73" s="96">
        <f t="shared" si="43"/>
        <v>1.9753086419753086E-2</v>
      </c>
      <c r="Q73" s="96">
        <f t="shared" si="43"/>
        <v>2.9012345679012345E-2</v>
      </c>
      <c r="R73" s="96">
        <f>R59/R67</f>
        <v>1.5329218106995885E-2</v>
      </c>
      <c r="T73" s="96">
        <f>T59/T67</f>
        <v>1.5329218106995885E-2</v>
      </c>
    </row>
    <row r="74" spans="3:20" x14ac:dyDescent="0.35">
      <c r="E74" s="2" t="s">
        <v>9</v>
      </c>
      <c r="F74" s="96">
        <f t="shared" si="43"/>
        <v>6.4197530864197527E-3</v>
      </c>
      <c r="G74" s="96">
        <f t="shared" si="43"/>
        <v>1.2839506172839505E-2</v>
      </c>
      <c r="H74" s="96">
        <f t="shared" si="43"/>
        <v>1.7777777777777778E-2</v>
      </c>
      <c r="I74" s="96">
        <f t="shared" si="43"/>
        <v>1.6790123456790124E-2</v>
      </c>
      <c r="J74" s="96">
        <f t="shared" si="43"/>
        <v>1.9753086419753086E-2</v>
      </c>
      <c r="K74" s="96">
        <f t="shared" si="43"/>
        <v>2.7654320987654323E-2</v>
      </c>
      <c r="L74" s="96">
        <f t="shared" si="43"/>
        <v>2.3209876543209877E-2</v>
      </c>
      <c r="M74" s="96">
        <f t="shared" si="43"/>
        <v>1.6296296296296295E-2</v>
      </c>
      <c r="N74" s="96">
        <f t="shared" si="43"/>
        <v>1.7777777777777778E-2</v>
      </c>
      <c r="O74" s="96">
        <f t="shared" si="43"/>
        <v>2.9629629629629631E-2</v>
      </c>
      <c r="P74" s="96">
        <f t="shared" si="43"/>
        <v>1.1851851851851851E-2</v>
      </c>
      <c r="Q74" s="96">
        <f t="shared" si="43"/>
        <v>8.8888888888888889E-3</v>
      </c>
      <c r="R74" s="96">
        <f>R60/R68</f>
        <v>1.7407407407407406E-2</v>
      </c>
      <c r="T74" s="96">
        <f>T60/T68</f>
        <v>1.7407407407407406E-2</v>
      </c>
    </row>
    <row r="75" spans="3:20" x14ac:dyDescent="0.35">
      <c r="E75" s="2" t="s">
        <v>10</v>
      </c>
      <c r="F75" s="96">
        <f t="shared" si="43"/>
        <v>1.8518518518518519E-3</v>
      </c>
      <c r="G75" s="96">
        <f t="shared" si="43"/>
        <v>0</v>
      </c>
      <c r="H75" s="96">
        <f t="shared" si="43"/>
        <v>1.8518518518518519E-3</v>
      </c>
      <c r="I75" s="96">
        <f t="shared" si="43"/>
        <v>6.1728395061728394E-4</v>
      </c>
      <c r="J75" s="96">
        <f t="shared" si="43"/>
        <v>1.2345679012345679E-3</v>
      </c>
      <c r="K75" s="96">
        <f t="shared" si="43"/>
        <v>6.1728395061728394E-4</v>
      </c>
      <c r="L75" s="96">
        <f t="shared" si="43"/>
        <v>1.8518518518518519E-3</v>
      </c>
      <c r="M75" s="96">
        <f t="shared" si="43"/>
        <v>0</v>
      </c>
      <c r="N75" s="96">
        <f t="shared" si="43"/>
        <v>1.8518518518518519E-3</v>
      </c>
      <c r="O75" s="96">
        <f t="shared" si="43"/>
        <v>1.2345679012345678E-2</v>
      </c>
      <c r="P75" s="96">
        <f t="shared" si="43"/>
        <v>2.0370370370370372E-2</v>
      </c>
      <c r="Q75" s="96">
        <f t="shared" si="43"/>
        <v>1.1111111111111112E-2</v>
      </c>
      <c r="R75" s="96">
        <f>R61/R69</f>
        <v>4.4753086419753087E-3</v>
      </c>
      <c r="T75" s="96">
        <f>T61/T69</f>
        <v>4.4753086419753087E-3</v>
      </c>
    </row>
    <row r="77" spans="3:20" x14ac:dyDescent="0.35"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</row>
    <row r="82" spans="20:21" x14ac:dyDescent="0.35">
      <c r="T82" s="240"/>
    </row>
    <row r="83" spans="20:21" x14ac:dyDescent="0.35">
      <c r="T83" s="240"/>
    </row>
    <row r="84" spans="20:21" x14ac:dyDescent="0.35">
      <c r="T84" s="240"/>
    </row>
    <row r="85" spans="20:21" x14ac:dyDescent="0.35">
      <c r="T85" s="240"/>
    </row>
    <row r="86" spans="20:21" x14ac:dyDescent="0.35">
      <c r="T86" s="240"/>
      <c r="U86" s="201"/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5158-B8C3-4899-A1DC-AAD1D393B371}">
  <dimension ref="B3:Z62"/>
  <sheetViews>
    <sheetView workbookViewId="0">
      <pane xSplit="5" ySplit="9" topLeftCell="F10" activePane="bottomRight" state="frozen"/>
      <selection activeCell="F44" sqref="F44"/>
      <selection pane="topRight" activeCell="F44" sqref="F44"/>
      <selection pane="bottomLeft" activeCell="F44" sqref="F44"/>
      <selection pane="bottomRight" activeCell="K19" sqref="K19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20" style="2" customWidth="1"/>
    <col min="6" max="7" width="9.1328125" style="2" customWidth="1" outlineLevel="1"/>
    <col min="8" max="8" width="9" style="2" customWidth="1" outlineLevel="1"/>
    <col min="9" max="16" width="9.1328125" style="2" customWidth="1" outlineLevel="1"/>
    <col min="17" max="17" width="10.265625" style="2" bestFit="1" customWidth="1"/>
    <col min="18" max="19" width="11.1328125" style="2" customWidth="1" outlineLevel="1"/>
    <col min="20" max="20" width="11.1328125" style="2" customWidth="1"/>
    <col min="21" max="21" width="8.59765625" style="2" customWidth="1"/>
    <col min="22" max="23" width="7.3984375" style="2" customWidth="1"/>
    <col min="24" max="24" width="11" style="2" customWidth="1"/>
    <col min="25" max="25" width="10.265625" style="2" customWidth="1"/>
    <col min="26" max="16384" width="9.1328125" style="2"/>
  </cols>
  <sheetData>
    <row r="3" spans="2:26" x14ac:dyDescent="0.35">
      <c r="H3" s="60"/>
    </row>
    <row r="4" spans="2:26" x14ac:dyDescent="0.35">
      <c r="B4" s="2" t="s">
        <v>25</v>
      </c>
    </row>
    <row r="6" spans="2:26" x14ac:dyDescent="0.35">
      <c r="B6" s="27" t="s">
        <v>135</v>
      </c>
    </row>
    <row r="7" spans="2:26" s="6" customFormat="1" x14ac:dyDescent="0.35">
      <c r="B7" s="6" t="s">
        <v>217</v>
      </c>
      <c r="F7" s="74" t="s">
        <v>141</v>
      </c>
      <c r="G7" s="74" t="s">
        <v>141</v>
      </c>
      <c r="H7" s="74" t="s">
        <v>141</v>
      </c>
      <c r="I7" s="74" t="s">
        <v>141</v>
      </c>
      <c r="J7" s="74" t="s">
        <v>141</v>
      </c>
      <c r="K7" s="74" t="s">
        <v>141</v>
      </c>
      <c r="L7" s="74" t="s">
        <v>141</v>
      </c>
      <c r="M7" s="74" t="s">
        <v>141</v>
      </c>
      <c r="N7" s="74" t="s">
        <v>141</v>
      </c>
      <c r="O7" s="74" t="s">
        <v>141</v>
      </c>
      <c r="P7" s="74" t="s">
        <v>141</v>
      </c>
      <c r="Q7" s="74" t="s">
        <v>141</v>
      </c>
    </row>
    <row r="8" spans="2:26" x14ac:dyDescent="0.35">
      <c r="B8" s="32" t="s">
        <v>55</v>
      </c>
      <c r="F8" s="32" t="s">
        <v>52</v>
      </c>
      <c r="R8" s="381" t="s">
        <v>622</v>
      </c>
      <c r="S8" s="380"/>
      <c r="T8" s="380"/>
      <c r="U8" s="381" t="s">
        <v>487</v>
      </c>
      <c r="V8" s="380"/>
      <c r="W8" s="380"/>
      <c r="X8" s="381" t="s">
        <v>505</v>
      </c>
      <c r="Y8" s="380"/>
    </row>
    <row r="9" spans="2:26" ht="13.5" x14ac:dyDescent="0.35">
      <c r="B9" s="45" t="s">
        <v>101</v>
      </c>
      <c r="F9" s="61">
        <v>1</v>
      </c>
      <c r="G9" s="61">
        <v>2</v>
      </c>
      <c r="H9" s="61">
        <v>3</v>
      </c>
      <c r="I9" s="61">
        <v>4</v>
      </c>
      <c r="J9" s="61">
        <v>5</v>
      </c>
      <c r="K9" s="61">
        <v>6</v>
      </c>
      <c r="L9" s="61">
        <v>7</v>
      </c>
      <c r="M9" s="61">
        <v>8</v>
      </c>
      <c r="N9" s="61">
        <v>9</v>
      </c>
      <c r="O9" s="61">
        <v>10</v>
      </c>
      <c r="P9" s="61">
        <v>11</v>
      </c>
      <c r="Q9" s="61">
        <v>12</v>
      </c>
      <c r="R9" s="32" t="s">
        <v>4</v>
      </c>
      <c r="S9" s="32" t="s">
        <v>5</v>
      </c>
      <c r="T9" s="32" t="s">
        <v>3</v>
      </c>
      <c r="U9" s="114" t="s">
        <v>484</v>
      </c>
      <c r="V9" s="113" t="s">
        <v>485</v>
      </c>
      <c r="W9" s="113" t="s">
        <v>486</v>
      </c>
      <c r="X9" s="537" t="s">
        <v>498</v>
      </c>
      <c r="Y9" s="537" t="s">
        <v>499</v>
      </c>
      <c r="Z9" s="73"/>
    </row>
    <row r="10" spans="2:26" x14ac:dyDescent="0.35">
      <c r="B10" s="27" t="s">
        <v>11</v>
      </c>
      <c r="D10" s="6"/>
      <c r="Q10" s="58"/>
    </row>
    <row r="11" spans="2:26" x14ac:dyDescent="0.35">
      <c r="D11" s="6" t="s">
        <v>12</v>
      </c>
      <c r="Q11" s="58"/>
    </row>
    <row r="12" spans="2:26" outlineLevel="1" x14ac:dyDescent="0.35">
      <c r="E12" s="2" t="s">
        <v>6</v>
      </c>
      <c r="F12" s="62">
        <v>176.64</v>
      </c>
      <c r="G12" s="62">
        <v>297.54000000000002</v>
      </c>
      <c r="H12" s="62">
        <v>407.7</v>
      </c>
      <c r="I12" s="62">
        <v>399.5</v>
      </c>
      <c r="J12" s="62">
        <v>377.15</v>
      </c>
      <c r="K12" s="62">
        <v>482.18</v>
      </c>
      <c r="L12" s="62">
        <v>496.74</v>
      </c>
      <c r="M12" s="62">
        <v>496.5</v>
      </c>
      <c r="N12" s="62">
        <v>413.18</v>
      </c>
      <c r="O12" s="62">
        <v>615.02099999999996</v>
      </c>
      <c r="P12" s="62">
        <v>414.02</v>
      </c>
      <c r="Q12" s="57">
        <v>530.14</v>
      </c>
      <c r="R12" s="62">
        <f>SUMIFS($F12:$Q12,$F$7:$Q$7,"A")</f>
        <v>5106.3110000000006</v>
      </c>
      <c r="S12" s="62">
        <f>SUMIFS($F12:$Q12,$F$7:$Q$7,"B")</f>
        <v>0</v>
      </c>
      <c r="T12" s="57">
        <f>SUM(R12:S12)</f>
        <v>5106.3110000000006</v>
      </c>
      <c r="U12" s="96">
        <f t="shared" ref="U12:U17" si="0">IFERROR(R12/R$16,"")</f>
        <v>0.92292525266838576</v>
      </c>
      <c r="V12" s="96" t="str">
        <f t="shared" ref="V12:V17" si="1">IFERROR(S12/S$16,"")</f>
        <v/>
      </c>
      <c r="W12" s="96">
        <f t="shared" ref="W12:W27" si="2">IFERROR(T12/T$16,"")</f>
        <v>0.92292525266838576</v>
      </c>
      <c r="X12" s="97"/>
      <c r="Z12" s="57"/>
    </row>
    <row r="13" spans="2:26" outlineLevel="1" x14ac:dyDescent="0.35">
      <c r="E13" s="2" t="s">
        <v>8</v>
      </c>
      <c r="F13" s="62">
        <v>7.3</v>
      </c>
      <c r="G13" s="62">
        <v>14.535</v>
      </c>
      <c r="H13" s="62">
        <v>17.55</v>
      </c>
      <c r="I13" s="62">
        <v>27.4</v>
      </c>
      <c r="J13" s="62">
        <v>13.45</v>
      </c>
      <c r="K13" s="62">
        <v>14.45</v>
      </c>
      <c r="L13" s="62">
        <v>14.425000000000001</v>
      </c>
      <c r="M13" s="62">
        <v>15.525</v>
      </c>
      <c r="N13" s="62">
        <v>21.2</v>
      </c>
      <c r="O13" s="62">
        <v>51.42</v>
      </c>
      <c r="P13" s="62">
        <v>115.56</v>
      </c>
      <c r="Q13" s="57">
        <v>40.65</v>
      </c>
      <c r="R13" s="62">
        <f>SUMIFS($F13:$Q13,$F$7:$Q$7,"A")</f>
        <v>353.46499999999997</v>
      </c>
      <c r="S13" s="62">
        <f>SUMIFS($F13:$Q13,$F$7:$Q$7,"B")</f>
        <v>0</v>
      </c>
      <c r="T13" s="57">
        <f>SUM(R13:S13)</f>
        <v>353.46499999999997</v>
      </c>
      <c r="U13" s="96">
        <f t="shared" si="0"/>
        <v>6.3885998019789808E-2</v>
      </c>
      <c r="V13" s="96" t="str">
        <f t="shared" si="1"/>
        <v/>
      </c>
      <c r="W13" s="96">
        <f t="shared" si="2"/>
        <v>6.3885998019789808E-2</v>
      </c>
      <c r="X13" s="97"/>
      <c r="Z13" s="57"/>
    </row>
    <row r="14" spans="2:26" outlineLevel="1" x14ac:dyDescent="0.35">
      <c r="E14" s="2" t="s">
        <v>7</v>
      </c>
      <c r="F14" s="62">
        <v>2.09</v>
      </c>
      <c r="G14" s="62">
        <v>1.1000000000000001</v>
      </c>
      <c r="H14" s="62">
        <v>3.3</v>
      </c>
      <c r="I14" s="62">
        <v>2.75</v>
      </c>
      <c r="J14" s="62">
        <v>1.375</v>
      </c>
      <c r="K14" s="62">
        <v>1.925</v>
      </c>
      <c r="L14" s="62">
        <v>4.4000000000000004</v>
      </c>
      <c r="M14" s="62">
        <v>2.75</v>
      </c>
      <c r="N14" s="62">
        <v>17.75</v>
      </c>
      <c r="O14" s="62">
        <v>11.865</v>
      </c>
      <c r="P14" s="62">
        <v>17.305</v>
      </c>
      <c r="Q14" s="57">
        <v>3.51</v>
      </c>
      <c r="R14" s="62">
        <f>SUMIFS($F14:$Q14,$F$7:$Q$7,"A")</f>
        <v>70.12</v>
      </c>
      <c r="S14" s="62">
        <f>SUMIFS($F14:$Q14,$F$7:$Q$7,"B")</f>
        <v>0</v>
      </c>
      <c r="T14" s="57">
        <f>SUM(R14:S14)</f>
        <v>70.12</v>
      </c>
      <c r="U14" s="96">
        <f t="shared" si="0"/>
        <v>1.2673634394204976E-2</v>
      </c>
      <c r="V14" s="96" t="str">
        <f t="shared" si="1"/>
        <v/>
      </c>
      <c r="W14" s="96">
        <f t="shared" si="2"/>
        <v>1.2673634394204976E-2</v>
      </c>
      <c r="X14" s="97"/>
      <c r="Z14" s="57"/>
    </row>
    <row r="15" spans="2:26" outlineLevel="1" x14ac:dyDescent="0.35">
      <c r="E15" s="2" t="s">
        <v>18</v>
      </c>
      <c r="F15" s="62">
        <v>0</v>
      </c>
      <c r="G15" s="62">
        <v>1.35</v>
      </c>
      <c r="H15" s="62">
        <v>0</v>
      </c>
      <c r="I15" s="62">
        <v>0</v>
      </c>
      <c r="J15" s="62">
        <v>0.3</v>
      </c>
      <c r="K15" s="62">
        <v>0.3</v>
      </c>
      <c r="L15" s="62">
        <v>0.5</v>
      </c>
      <c r="M15" s="62">
        <v>0.3</v>
      </c>
      <c r="N15" s="62">
        <v>0</v>
      </c>
      <c r="O15" s="62">
        <v>0</v>
      </c>
      <c r="P15" s="62">
        <v>0</v>
      </c>
      <c r="Q15" s="57">
        <v>0.1</v>
      </c>
      <c r="R15" s="62">
        <f>SUMIFS($F15:$Q15,$F$7:$Q$7,"A")</f>
        <v>2.85</v>
      </c>
      <c r="S15" s="62">
        <f>SUMIFS($F15:$Q15,$F$7:$Q$7,"B")</f>
        <v>0</v>
      </c>
      <c r="T15" s="57">
        <f>SUM(R15:S15)</f>
        <v>2.85</v>
      </c>
      <c r="U15" s="96">
        <f t="shared" si="0"/>
        <v>5.1511491761956898E-4</v>
      </c>
      <c r="V15" s="96" t="str">
        <f t="shared" si="1"/>
        <v/>
      </c>
      <c r="W15" s="96">
        <f t="shared" si="2"/>
        <v>5.1511491761956898E-4</v>
      </c>
      <c r="X15" s="97"/>
      <c r="Z15" s="57"/>
    </row>
    <row r="16" spans="2:26" x14ac:dyDescent="0.35">
      <c r="B16" s="65" t="s">
        <v>20</v>
      </c>
      <c r="C16" s="66"/>
      <c r="D16" s="65"/>
      <c r="E16" s="66"/>
      <c r="F16" s="116">
        <f>SUM(F12:F15)</f>
        <v>186.03</v>
      </c>
      <c r="G16" s="116">
        <f>SUM(G12:G15)</f>
        <v>314.52500000000009</v>
      </c>
      <c r="H16" s="116">
        <f t="shared" ref="H16:Q16" si="3">SUM(H12:H15)</f>
        <v>428.55</v>
      </c>
      <c r="I16" s="116">
        <f t="shared" si="3"/>
        <v>429.65</v>
      </c>
      <c r="J16" s="116">
        <f t="shared" si="3"/>
        <v>392.27499999999998</v>
      </c>
      <c r="K16" s="116">
        <f t="shared" si="3"/>
        <v>498.85500000000002</v>
      </c>
      <c r="L16" s="116">
        <f t="shared" si="3"/>
        <v>516.06500000000005</v>
      </c>
      <c r="M16" s="116">
        <f t="shared" si="3"/>
        <v>515.07499999999993</v>
      </c>
      <c r="N16" s="116">
        <f t="shared" si="3"/>
        <v>452.13</v>
      </c>
      <c r="O16" s="116">
        <f t="shared" si="3"/>
        <v>678.30599999999993</v>
      </c>
      <c r="P16" s="116">
        <f t="shared" si="3"/>
        <v>546.88499999999988</v>
      </c>
      <c r="Q16" s="116">
        <f t="shared" si="3"/>
        <v>574.4</v>
      </c>
      <c r="R16" s="116">
        <f>SUMIFS($F16:$Q16,$F$7:$Q$7,"A")</f>
        <v>5532.7460000000001</v>
      </c>
      <c r="S16" s="116">
        <f>SUMIFS($F16:$Q16,$F$7:$Q$7,"B")</f>
        <v>0</v>
      </c>
      <c r="T16" s="116">
        <f>SUM(R16:S16)</f>
        <v>5532.7460000000001</v>
      </c>
      <c r="U16" s="98">
        <f t="shared" si="0"/>
        <v>1</v>
      </c>
      <c r="V16" s="98" t="str">
        <f t="shared" si="1"/>
        <v/>
      </c>
      <c r="W16" s="98">
        <f t="shared" si="2"/>
        <v>1</v>
      </c>
      <c r="Z16" s="59"/>
    </row>
    <row r="17" spans="2:26" x14ac:dyDescent="0.35">
      <c r="C17" s="55" t="s">
        <v>21</v>
      </c>
      <c r="D17" s="55"/>
      <c r="F17" s="222">
        <f>SUBTOTAL(9,F18:F21)</f>
        <v>0</v>
      </c>
      <c r="G17" s="222">
        <f t="shared" ref="G17:Q17" si="4">SUBTOTAL(9,G18:G21)</f>
        <v>0</v>
      </c>
      <c r="H17" s="222">
        <f t="shared" si="4"/>
        <v>0</v>
      </c>
      <c r="I17" s="222">
        <f t="shared" si="4"/>
        <v>0</v>
      </c>
      <c r="J17" s="222">
        <f t="shared" si="4"/>
        <v>0</v>
      </c>
      <c r="K17" s="222">
        <f t="shared" si="4"/>
        <v>0</v>
      </c>
      <c r="L17" s="222">
        <f t="shared" si="4"/>
        <v>0</v>
      </c>
      <c r="M17" s="222">
        <f t="shared" si="4"/>
        <v>0</v>
      </c>
      <c r="N17" s="222">
        <f t="shared" si="4"/>
        <v>0</v>
      </c>
      <c r="O17" s="222">
        <f t="shared" si="4"/>
        <v>0</v>
      </c>
      <c r="P17" s="222">
        <f t="shared" si="4"/>
        <v>0</v>
      </c>
      <c r="Q17" s="222">
        <f t="shared" si="4"/>
        <v>0</v>
      </c>
      <c r="R17" s="222"/>
      <c r="S17" s="222"/>
      <c r="T17" s="222"/>
      <c r="U17" s="118">
        <f t="shared" si="0"/>
        <v>0</v>
      </c>
      <c r="V17" s="118" t="str">
        <f t="shared" si="1"/>
        <v/>
      </c>
      <c r="W17" s="118">
        <f t="shared" si="2"/>
        <v>0</v>
      </c>
      <c r="Z17" s="59"/>
    </row>
    <row r="18" spans="2:26" x14ac:dyDescent="0.35">
      <c r="B18" s="55"/>
      <c r="C18" s="493"/>
      <c r="D18" s="541"/>
      <c r="E18" s="494" t="s">
        <v>6</v>
      </c>
      <c r="F18" s="542"/>
      <c r="G18" s="542"/>
      <c r="H18" s="542"/>
      <c r="I18" s="542"/>
      <c r="J18" s="542"/>
      <c r="K18" s="542"/>
      <c r="L18" s="542"/>
      <c r="M18" s="542"/>
      <c r="N18" s="542"/>
      <c r="O18" s="542"/>
      <c r="P18" s="542"/>
      <c r="Q18" s="542"/>
      <c r="R18" s="542"/>
      <c r="S18" s="542"/>
      <c r="T18" s="542"/>
      <c r="U18" s="544">
        <f t="shared" ref="U18:V21" si="5">IFERROR(P18/P12,"")</f>
        <v>0</v>
      </c>
      <c r="V18" s="544">
        <f t="shared" si="5"/>
        <v>0</v>
      </c>
      <c r="W18" s="544">
        <f>IFERROR(R18/R12,"")</f>
        <v>0</v>
      </c>
      <c r="X18" s="494"/>
      <c r="Y18" s="499"/>
      <c r="Z18" s="59"/>
    </row>
    <row r="19" spans="2:26" x14ac:dyDescent="0.35">
      <c r="B19" s="55"/>
      <c r="C19" s="500"/>
      <c r="D19" s="478"/>
      <c r="E19" s="442" t="s">
        <v>8</v>
      </c>
      <c r="F19" s="547"/>
      <c r="G19" s="547"/>
      <c r="H19" s="547"/>
      <c r="I19" s="547"/>
      <c r="J19" s="547"/>
      <c r="K19" s="547"/>
      <c r="L19" s="547"/>
      <c r="M19" s="547"/>
      <c r="N19" s="547"/>
      <c r="O19" s="547"/>
      <c r="P19" s="547"/>
      <c r="Q19" s="547"/>
      <c r="R19" s="547"/>
      <c r="S19" s="547"/>
      <c r="T19" s="547"/>
      <c r="U19" s="549">
        <f t="shared" si="5"/>
        <v>0</v>
      </c>
      <c r="V19" s="549">
        <f t="shared" si="5"/>
        <v>0</v>
      </c>
      <c r="W19" s="549">
        <f t="shared" ref="W19:W21" si="6">IFERROR(R19/R13,"")</f>
        <v>0</v>
      </c>
      <c r="X19" s="442"/>
      <c r="Y19" s="505"/>
      <c r="Z19" s="59"/>
    </row>
    <row r="20" spans="2:26" x14ac:dyDescent="0.35">
      <c r="B20" s="55"/>
      <c r="C20" s="500"/>
      <c r="D20" s="478"/>
      <c r="E20" s="442" t="s">
        <v>7</v>
      </c>
      <c r="F20" s="547"/>
      <c r="G20" s="547"/>
      <c r="H20" s="547"/>
      <c r="I20" s="547"/>
      <c r="J20" s="547"/>
      <c r="K20" s="547"/>
      <c r="L20" s="547"/>
      <c r="M20" s="547"/>
      <c r="N20" s="547"/>
      <c r="O20" s="547"/>
      <c r="P20" s="547"/>
      <c r="Q20" s="547"/>
      <c r="R20" s="547"/>
      <c r="S20" s="547"/>
      <c r="T20" s="547"/>
      <c r="U20" s="549">
        <f t="shared" si="5"/>
        <v>0</v>
      </c>
      <c r="V20" s="549">
        <f t="shared" si="5"/>
        <v>0</v>
      </c>
      <c r="W20" s="549">
        <f t="shared" si="6"/>
        <v>0</v>
      </c>
      <c r="X20" s="442"/>
      <c r="Y20" s="505"/>
      <c r="Z20" s="59"/>
    </row>
    <row r="21" spans="2:26" x14ac:dyDescent="0.35">
      <c r="B21" s="55"/>
      <c r="C21" s="506"/>
      <c r="D21" s="552"/>
      <c r="E21" s="507" t="s">
        <v>18</v>
      </c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5" t="str">
        <f t="shared" si="5"/>
        <v/>
      </c>
      <c r="V21" s="555">
        <f t="shared" si="5"/>
        <v>0</v>
      </c>
      <c r="W21" s="555">
        <f t="shared" si="6"/>
        <v>0</v>
      </c>
      <c r="X21" s="507"/>
      <c r="Y21" s="512"/>
      <c r="Z21" s="59"/>
    </row>
    <row r="22" spans="2:26" x14ac:dyDescent="0.35">
      <c r="B22" s="27" t="s">
        <v>307</v>
      </c>
      <c r="D22" s="55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324"/>
      <c r="R22" s="59"/>
      <c r="S22" s="59"/>
      <c r="T22" s="59"/>
      <c r="U22" s="118"/>
      <c r="V22" s="118"/>
      <c r="W22" s="118"/>
      <c r="Z22" s="59"/>
    </row>
    <row r="23" spans="2:26" x14ac:dyDescent="0.35">
      <c r="B23" s="27"/>
      <c r="D23" s="6" t="s">
        <v>177</v>
      </c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324"/>
      <c r="R23" s="59"/>
      <c r="S23" s="59"/>
      <c r="T23" s="59"/>
      <c r="U23" s="105"/>
      <c r="V23" s="105"/>
      <c r="W23" s="105"/>
      <c r="Z23" s="59"/>
    </row>
    <row r="24" spans="2:26" x14ac:dyDescent="0.35">
      <c r="B24" s="27"/>
      <c r="D24" s="55"/>
      <c r="E24" s="2" t="s">
        <v>23</v>
      </c>
      <c r="F24" s="195">
        <v>7.5290720000000002</v>
      </c>
      <c r="G24" s="195">
        <v>11.864943999999999</v>
      </c>
      <c r="H24" s="195">
        <v>8.7173599999999993</v>
      </c>
      <c r="I24" s="195">
        <v>16.465295999999999</v>
      </c>
      <c r="J24" s="195">
        <v>15.169295999999999</v>
      </c>
      <c r="K24" s="195">
        <v>18.508288</v>
      </c>
      <c r="L24" s="195">
        <v>19.683792</v>
      </c>
      <c r="M24" s="195">
        <v>19.075776000000001</v>
      </c>
      <c r="N24" s="195">
        <v>18.83248</v>
      </c>
      <c r="O24" s="195">
        <v>26.572644</v>
      </c>
      <c r="P24" s="195">
        <v>23.961872</v>
      </c>
      <c r="Q24" s="57">
        <v>20.343222999999998</v>
      </c>
      <c r="R24" s="62">
        <f>SUMIFS($F24:$Q24,$F$7:$Q$7,"A")</f>
        <v>206.72404299999999</v>
      </c>
      <c r="S24" s="62">
        <f>SUMIFS($F24:$Q24,$F$7:$Q$7,"B")</f>
        <v>0</v>
      </c>
      <c r="T24" s="57">
        <f>SUM(R24:S24)</f>
        <v>206.72404299999999</v>
      </c>
      <c r="U24" s="96">
        <f t="shared" ref="U24:U43" si="7">IFERROR(R24/R$16,"")</f>
        <v>3.7363732764887449E-2</v>
      </c>
      <c r="V24" s="96" t="str">
        <f t="shared" ref="V24:V43" si="8">IFERROR(S24/S$16,"")</f>
        <v/>
      </c>
      <c r="W24" s="96">
        <f t="shared" si="2"/>
        <v>3.7363732764887449E-2</v>
      </c>
      <c r="Z24" s="59"/>
    </row>
    <row r="25" spans="2:26" x14ac:dyDescent="0.35">
      <c r="B25" s="27"/>
      <c r="D25" s="55"/>
      <c r="E25" s="2" t="s">
        <v>179</v>
      </c>
      <c r="F25" s="195">
        <v>12.472099999999999</v>
      </c>
      <c r="G25" s="195">
        <v>5.3552999999999997</v>
      </c>
      <c r="H25" s="195">
        <v>0</v>
      </c>
      <c r="I25" s="195">
        <v>7.7957000000000001</v>
      </c>
      <c r="J25" s="195">
        <v>9.0020000000000007</v>
      </c>
      <c r="K25" s="195">
        <v>8.7766000000000002</v>
      </c>
      <c r="L25" s="195">
        <v>10.048299999999999</v>
      </c>
      <c r="M25" s="195">
        <v>9.0939999999999994</v>
      </c>
      <c r="N25" s="195">
        <v>7.7577999999999996</v>
      </c>
      <c r="O25" s="195">
        <v>0</v>
      </c>
      <c r="P25" s="195">
        <v>10.4391</v>
      </c>
      <c r="Q25" s="307">
        <v>9.5587999999999997</v>
      </c>
      <c r="R25" s="62">
        <f>SUMIFS($F25:$Q25,$F$7:$Q$7,"A")</f>
        <v>90.299700000000001</v>
      </c>
      <c r="S25" s="62">
        <f>SUMIFS($F25:$Q25,$F$7:$Q$7,"B")</f>
        <v>0</v>
      </c>
      <c r="T25" s="57">
        <f>SUM(R25:S25)</f>
        <v>90.299700000000001</v>
      </c>
      <c r="U25" s="96">
        <f t="shared" si="7"/>
        <v>1.6320955272481331E-2</v>
      </c>
      <c r="V25" s="96" t="str">
        <f t="shared" si="8"/>
        <v/>
      </c>
      <c r="W25" s="96">
        <f t="shared" si="2"/>
        <v>1.6320955272481331E-2</v>
      </c>
      <c r="Z25" s="59"/>
    </row>
    <row r="26" spans="2:26" x14ac:dyDescent="0.35">
      <c r="B26" s="27"/>
      <c r="D26" s="55"/>
      <c r="E26" s="2" t="s">
        <v>612</v>
      </c>
      <c r="F26" s="195">
        <v>33.39</v>
      </c>
      <c r="G26" s="195">
        <v>55</v>
      </c>
      <c r="H26" s="195">
        <v>71.364999999999995</v>
      </c>
      <c r="I26" s="195">
        <v>73.06</v>
      </c>
      <c r="J26" s="195">
        <v>65.364999999999995</v>
      </c>
      <c r="K26" s="195">
        <v>83.795000000000002</v>
      </c>
      <c r="L26" s="195">
        <v>87.8</v>
      </c>
      <c r="M26" s="195">
        <v>89.125</v>
      </c>
      <c r="N26" s="195">
        <v>72.540000000000006</v>
      </c>
      <c r="O26" s="195">
        <v>105.735</v>
      </c>
      <c r="P26" s="195">
        <v>80.78</v>
      </c>
      <c r="Q26" s="57">
        <v>93.92</v>
      </c>
      <c r="R26" s="62">
        <f>SUMIFS($F26:$Q26,$F$7:$Q$7,"A")</f>
        <v>911.875</v>
      </c>
      <c r="S26" s="62">
        <f>SUMIFS($F26:$Q26,$F$7:$Q$7,"B")</f>
        <v>0</v>
      </c>
      <c r="T26" s="57">
        <f>SUM(R26:S26)</f>
        <v>911.875</v>
      </c>
      <c r="U26" s="96">
        <f t="shared" si="7"/>
        <v>0.16481418087871735</v>
      </c>
      <c r="V26" s="96" t="str">
        <f t="shared" si="8"/>
        <v/>
      </c>
      <c r="W26" s="96">
        <f t="shared" si="2"/>
        <v>0.16481418087871735</v>
      </c>
      <c r="Z26" s="59"/>
    </row>
    <row r="27" spans="2:26" x14ac:dyDescent="0.35">
      <c r="B27" s="55"/>
      <c r="D27" s="55"/>
      <c r="E27" s="2" t="s">
        <v>28</v>
      </c>
      <c r="F27" s="195">
        <v>12.09</v>
      </c>
      <c r="G27" s="195">
        <v>20.420000000000002</v>
      </c>
      <c r="H27" s="195">
        <v>27.795000000000002</v>
      </c>
      <c r="I27" s="195">
        <v>27.56</v>
      </c>
      <c r="J27" s="195">
        <v>25.195</v>
      </c>
      <c r="K27" s="195">
        <v>30.715</v>
      </c>
      <c r="L27" s="195">
        <v>33.265000000000001</v>
      </c>
      <c r="M27" s="195">
        <v>31.12</v>
      </c>
      <c r="N27" s="195">
        <v>33.909999999999997</v>
      </c>
      <c r="O27" s="195">
        <v>46.795000000000002</v>
      </c>
      <c r="P27" s="195">
        <v>46.55</v>
      </c>
      <c r="Q27" s="57">
        <v>38.090000000000003</v>
      </c>
      <c r="R27" s="62">
        <f>SUMIFS($F27:$Q27,$F$7:$Q$7,"A")</f>
        <v>373.505</v>
      </c>
      <c r="S27" s="62">
        <f>SUMIFS($F27:$Q27,$F$7:$Q$7,"B")</f>
        <v>0</v>
      </c>
      <c r="T27" s="57">
        <f>SUM(R27:S27)</f>
        <v>373.505</v>
      </c>
      <c r="U27" s="96">
        <f t="shared" si="7"/>
        <v>6.7508069229998996E-2</v>
      </c>
      <c r="V27" s="96" t="str">
        <f t="shared" si="8"/>
        <v/>
      </c>
      <c r="W27" s="96">
        <f t="shared" si="2"/>
        <v>6.7508069229998996E-2</v>
      </c>
      <c r="Z27" s="59"/>
    </row>
    <row r="28" spans="2:26" x14ac:dyDescent="0.35">
      <c r="B28" s="55"/>
      <c r="D28" s="55"/>
      <c r="E28" s="2" t="s">
        <v>183</v>
      </c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57"/>
      <c r="R28" s="62"/>
      <c r="S28" s="62"/>
      <c r="T28" s="57"/>
      <c r="U28" s="96">
        <f t="shared" si="7"/>
        <v>0</v>
      </c>
      <c r="V28" s="96" t="str">
        <f t="shared" si="8"/>
        <v/>
      </c>
      <c r="W28" s="96">
        <f t="shared" ref="W28:W43" si="9">IFERROR(T28/T$16,"")</f>
        <v>0</v>
      </c>
      <c r="Z28" s="59"/>
    </row>
    <row r="29" spans="2:26" x14ac:dyDescent="0.35">
      <c r="B29" s="55"/>
      <c r="D29" s="6" t="s">
        <v>181</v>
      </c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324"/>
      <c r="R29" s="59"/>
      <c r="S29" s="59"/>
      <c r="T29" s="59"/>
      <c r="U29" s="96">
        <f t="shared" si="7"/>
        <v>0</v>
      </c>
      <c r="V29" s="96" t="str">
        <f t="shared" si="8"/>
        <v/>
      </c>
      <c r="W29" s="96">
        <f t="shared" si="9"/>
        <v>0</v>
      </c>
      <c r="Z29" s="59"/>
    </row>
    <row r="30" spans="2:26" x14ac:dyDescent="0.35">
      <c r="B30" s="55"/>
      <c r="D30" s="55"/>
      <c r="E30" s="2" t="s">
        <v>310</v>
      </c>
      <c r="F30" s="195">
        <v>67.510000000000005</v>
      </c>
      <c r="G30" s="195">
        <v>91.83</v>
      </c>
      <c r="H30" s="195">
        <v>71.59</v>
      </c>
      <c r="I30" s="195">
        <v>76.11</v>
      </c>
      <c r="J30" s="195">
        <v>78.819800000000001</v>
      </c>
      <c r="K30" s="195">
        <v>71.31</v>
      </c>
      <c r="L30" s="195">
        <v>73.790000000000006</v>
      </c>
      <c r="M30" s="195">
        <v>90.05</v>
      </c>
      <c r="N30" s="195">
        <v>73.401200000000003</v>
      </c>
      <c r="O30" s="195">
        <v>94.488</v>
      </c>
      <c r="P30" s="195">
        <v>82.749899999999997</v>
      </c>
      <c r="Q30" s="57">
        <v>101.54300000000001</v>
      </c>
      <c r="R30" s="62">
        <f>SUMIFS($F30:$Q30,$F$7:$Q$7,"A")</f>
        <v>973.19189999999992</v>
      </c>
      <c r="S30" s="62">
        <f>SUMIFS($F30:$Q30,$F$7:$Q$7,"B")</f>
        <v>0</v>
      </c>
      <c r="T30" s="57">
        <f>SUM(R30:S30)</f>
        <v>973.19189999999992</v>
      </c>
      <c r="U30" s="96">
        <f t="shared" si="7"/>
        <v>0.17589672470053747</v>
      </c>
      <c r="V30" s="96" t="str">
        <f t="shared" si="8"/>
        <v/>
      </c>
      <c r="W30" s="96">
        <f t="shared" si="9"/>
        <v>0.17589672470053747</v>
      </c>
      <c r="Z30" s="59"/>
    </row>
    <row r="31" spans="2:26" x14ac:dyDescent="0.35">
      <c r="B31" s="55"/>
      <c r="D31" s="55"/>
      <c r="E31" s="2" t="s">
        <v>408</v>
      </c>
      <c r="F31" s="195">
        <v>102.09099999999999</v>
      </c>
      <c r="G31" s="195">
        <v>102.09099999999999</v>
      </c>
      <c r="H31" s="195">
        <v>102.09099999999999</v>
      </c>
      <c r="I31" s="195">
        <v>102.09099999999999</v>
      </c>
      <c r="J31" s="195">
        <v>102.09099999999999</v>
      </c>
      <c r="K31" s="195">
        <v>102.09099999999999</v>
      </c>
      <c r="L31" s="195">
        <v>102.09099999999999</v>
      </c>
      <c r="M31" s="195">
        <v>102.09099999999999</v>
      </c>
      <c r="N31" s="195">
        <v>102.09099999999999</v>
      </c>
      <c r="O31" s="195">
        <v>102.09099999999999</v>
      </c>
      <c r="P31" s="195">
        <v>102.09099999999999</v>
      </c>
      <c r="Q31" s="57">
        <v>102.09099999999999</v>
      </c>
      <c r="R31" s="62">
        <f>SUMIFS($F31:$Q31,$F$7:$Q$7,"A")</f>
        <v>1225.0919999999999</v>
      </c>
      <c r="S31" s="62">
        <f>SUMIFS($F31:$Q31,$F$7:$Q$7,"B")</f>
        <v>0</v>
      </c>
      <c r="T31" s="57">
        <f>SUM(R31:S31)</f>
        <v>1225.0919999999999</v>
      </c>
      <c r="U31" s="96">
        <f t="shared" si="7"/>
        <v>0.2214256718092607</v>
      </c>
      <c r="V31" s="96" t="str">
        <f t="shared" si="8"/>
        <v/>
      </c>
      <c r="W31" s="96">
        <f t="shared" si="9"/>
        <v>0.2214256718092607</v>
      </c>
      <c r="Z31" s="59"/>
    </row>
    <row r="32" spans="2:26" x14ac:dyDescent="0.35">
      <c r="B32" s="55"/>
      <c r="D32" s="55"/>
      <c r="E32" s="2" t="s">
        <v>631</v>
      </c>
      <c r="F32" s="195">
        <v>58.264583999999999</v>
      </c>
      <c r="G32" s="195">
        <v>57.032144833333255</v>
      </c>
      <c r="H32" s="195">
        <v>57.210025000000002</v>
      </c>
      <c r="I32" s="195">
        <v>60.308298999999998</v>
      </c>
      <c r="J32" s="195">
        <v>62.274586999999997</v>
      </c>
      <c r="K32" s="195">
        <v>66.005666000000005</v>
      </c>
      <c r="L32" s="195">
        <v>68.471884000000003</v>
      </c>
      <c r="M32" s="195">
        <v>63.473635999999999</v>
      </c>
      <c r="N32" s="195">
        <v>72.691816000000003</v>
      </c>
      <c r="O32" s="195">
        <v>73.141251999999994</v>
      </c>
      <c r="P32" s="195">
        <v>84.502037000000001</v>
      </c>
      <c r="Q32" s="238">
        <v>37.445856999999997</v>
      </c>
      <c r="R32" s="62">
        <f>SUMIFS($F32:$Q32,$F$7:$Q$7,"A")</f>
        <v>760.82178783333325</v>
      </c>
      <c r="S32" s="62">
        <f>SUMIFS($F32:$Q32,$F$7:$Q$7,"B")</f>
        <v>0</v>
      </c>
      <c r="T32" s="57">
        <f>SUM(R32:S32)</f>
        <v>760.82178783333325</v>
      </c>
      <c r="U32" s="96">
        <f t="shared" si="7"/>
        <v>0.13751250967120726</v>
      </c>
      <c r="V32" s="96" t="str">
        <f t="shared" si="8"/>
        <v/>
      </c>
      <c r="W32" s="96">
        <f t="shared" si="9"/>
        <v>0.13751250967120726</v>
      </c>
      <c r="Z32" s="59"/>
    </row>
    <row r="33" spans="2:26" ht="13.15" thickBot="1" x14ac:dyDescent="0.4">
      <c r="B33" s="55"/>
      <c r="D33" s="55"/>
      <c r="E33" s="2" t="s">
        <v>188</v>
      </c>
      <c r="F33" s="195">
        <v>0</v>
      </c>
      <c r="G33" s="195">
        <v>19.9528</v>
      </c>
      <c r="H33" s="195">
        <v>0</v>
      </c>
      <c r="I33" s="195">
        <v>30</v>
      </c>
      <c r="J33" s="195">
        <v>0</v>
      </c>
      <c r="K33" s="195">
        <v>0</v>
      </c>
      <c r="L33" s="195">
        <v>0</v>
      </c>
      <c r="M33" s="195">
        <v>0</v>
      </c>
      <c r="N33" s="195">
        <v>0</v>
      </c>
      <c r="O33" s="195">
        <v>5.7709999999999999</v>
      </c>
      <c r="P33" s="195">
        <v>5.0722740000000002</v>
      </c>
      <c r="Q33" s="57">
        <v>0</v>
      </c>
      <c r="R33" s="62">
        <f>SUMIFS($F33:$Q33,$F$7:$Q$7,"A")</f>
        <v>60.796073999999997</v>
      </c>
      <c r="S33" s="62">
        <f>SUMIFS($F33:$Q33,$F$7:$Q$7,"B")</f>
        <v>0</v>
      </c>
      <c r="T33" s="57">
        <f>SUM(R33:S33)</f>
        <v>60.796073999999997</v>
      </c>
      <c r="U33" s="96">
        <f t="shared" si="7"/>
        <v>1.0988408649159025E-2</v>
      </c>
      <c r="V33" s="96" t="str">
        <f t="shared" si="8"/>
        <v/>
      </c>
      <c r="W33" s="96">
        <f t="shared" si="9"/>
        <v>1.0988408649159025E-2</v>
      </c>
      <c r="Z33" s="59"/>
    </row>
    <row r="34" spans="2:26" x14ac:dyDescent="0.35">
      <c r="B34" s="89" t="s">
        <v>190</v>
      </c>
      <c r="C34" s="90"/>
      <c r="D34" s="90"/>
      <c r="E34" s="91"/>
      <c r="F34" s="92">
        <f>F16-F17-SUBTOTAL(9,F24:F33)</f>
        <v>-107.31675600000003</v>
      </c>
      <c r="G34" s="92">
        <f t="shared" ref="G34:Q34" si="10">G16-G17-SUBTOTAL(9,G24:G33)</f>
        <v>-49.021188833333156</v>
      </c>
      <c r="H34" s="92">
        <f t="shared" si="10"/>
        <v>89.781615000000045</v>
      </c>
      <c r="I34" s="92">
        <f t="shared" si="10"/>
        <v>36.259704999999997</v>
      </c>
      <c r="J34" s="92">
        <f t="shared" si="10"/>
        <v>34.358317</v>
      </c>
      <c r="K34" s="92">
        <f t="shared" si="10"/>
        <v>117.65344599999997</v>
      </c>
      <c r="L34" s="92">
        <f t="shared" si="10"/>
        <v>120.91502400000002</v>
      </c>
      <c r="M34" s="92">
        <f t="shared" si="10"/>
        <v>111.04558799999995</v>
      </c>
      <c r="N34" s="92">
        <f t="shared" si="10"/>
        <v>70.905703999999957</v>
      </c>
      <c r="O34" s="92">
        <f t="shared" si="10"/>
        <v>223.7121039999999</v>
      </c>
      <c r="P34" s="92">
        <f t="shared" si="10"/>
        <v>110.73881699999993</v>
      </c>
      <c r="Q34" s="92">
        <f t="shared" si="10"/>
        <v>171.40812</v>
      </c>
      <c r="R34" s="92">
        <f>SUMIFS($F34:$Q34,$F$7:$Q$7,"A")</f>
        <v>930.44049516666655</v>
      </c>
      <c r="S34" s="92">
        <f>SUMIFS($F34:$Q34,$F$7:$Q$7,"B")</f>
        <v>0</v>
      </c>
      <c r="T34" s="92">
        <f>SUM(R34:S34)</f>
        <v>930.44049516666655</v>
      </c>
      <c r="U34" s="104">
        <f t="shared" si="7"/>
        <v>0.16816974702375032</v>
      </c>
      <c r="V34" s="104" t="str">
        <f t="shared" si="8"/>
        <v/>
      </c>
      <c r="W34" s="104">
        <f t="shared" si="9"/>
        <v>0.16816974702375032</v>
      </c>
      <c r="X34" s="85"/>
      <c r="Y34" s="85"/>
      <c r="Z34" s="85"/>
    </row>
    <row r="35" spans="2:26" x14ac:dyDescent="0.35">
      <c r="C35" s="327"/>
      <c r="D35" s="6"/>
      <c r="F35" s="57"/>
      <c r="G35" s="57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105"/>
      <c r="V35" s="105"/>
      <c r="W35" s="105"/>
      <c r="X35" s="85"/>
      <c r="Y35" s="85"/>
      <c r="Z35" s="85"/>
    </row>
    <row r="36" spans="2:26" x14ac:dyDescent="0.35">
      <c r="C36" s="2" t="s">
        <v>208</v>
      </c>
      <c r="F36" s="62">
        <v>99.307946000000001</v>
      </c>
      <c r="G36" s="62">
        <v>72.83</v>
      </c>
      <c r="H36" s="62">
        <v>72.817499999999995</v>
      </c>
      <c r="I36" s="62">
        <v>57.153492999999997</v>
      </c>
      <c r="J36" s="62">
        <v>97.091250000000002</v>
      </c>
      <c r="K36" s="62">
        <v>97.091250000000002</v>
      </c>
      <c r="L36" s="62">
        <v>166.539007</v>
      </c>
      <c r="M36" s="62">
        <v>91.697292000000004</v>
      </c>
      <c r="N36" s="62">
        <v>91.697292000000004</v>
      </c>
      <c r="O36" s="62">
        <v>118.15941599999999</v>
      </c>
      <c r="P36" s="62">
        <v>86.303332999999995</v>
      </c>
      <c r="Q36" s="57">
        <f>P36</f>
        <v>86.303332999999995</v>
      </c>
      <c r="R36" s="62">
        <f>SUMIFS($F36:$Q36,$F$7:$Q$7,"A")</f>
        <v>1136.9911120000002</v>
      </c>
      <c r="S36" s="62">
        <f>SUMIFS($F36:$Q36,$F$7:$Q$7,"B")</f>
        <v>0</v>
      </c>
      <c r="T36" s="57">
        <f>SUM(R36:S36)</f>
        <v>1136.9911120000002</v>
      </c>
      <c r="U36" s="96">
        <f t="shared" si="7"/>
        <v>0.20550213438317974</v>
      </c>
      <c r="V36" s="96" t="str">
        <f t="shared" si="8"/>
        <v/>
      </c>
      <c r="W36" s="96">
        <f t="shared" si="9"/>
        <v>0.20550213438317974</v>
      </c>
      <c r="X36" s="97"/>
      <c r="Z36" s="57"/>
    </row>
    <row r="37" spans="2:26" x14ac:dyDescent="0.35">
      <c r="C37" s="2" t="s">
        <v>481</v>
      </c>
      <c r="F37" s="62">
        <f>SUBTOTAL(9,F38:F40)</f>
        <v>198.26141100000001</v>
      </c>
      <c r="G37" s="62">
        <f t="shared" ref="G37:Q37" si="11">SUBTOTAL(9,G38:G40)</f>
        <v>198.26141100000001</v>
      </c>
      <c r="H37" s="62">
        <f t="shared" si="11"/>
        <v>198.26141100000001</v>
      </c>
      <c r="I37" s="62">
        <f t="shared" si="11"/>
        <v>198.26141100000001</v>
      </c>
      <c r="J37" s="62">
        <f t="shared" si="11"/>
        <v>198.26141100000001</v>
      </c>
      <c r="K37" s="62">
        <f t="shared" si="11"/>
        <v>198.26141100000001</v>
      </c>
      <c r="L37" s="62">
        <f t="shared" si="11"/>
        <v>198.26141100000001</v>
      </c>
      <c r="M37" s="62">
        <f t="shared" si="11"/>
        <v>198.26141100000001</v>
      </c>
      <c r="N37" s="62">
        <f t="shared" si="11"/>
        <v>198.26141100000001</v>
      </c>
      <c r="O37" s="62">
        <f t="shared" si="11"/>
        <v>198.26141100000001</v>
      </c>
      <c r="P37" s="62">
        <f t="shared" si="11"/>
        <v>198.26141100000001</v>
      </c>
      <c r="Q37" s="62">
        <f t="shared" si="11"/>
        <v>198.26141100000001</v>
      </c>
      <c r="R37" s="62">
        <f>SUMIFS($F37:$Q37,$F$7:$Q$7,"A")</f>
        <v>2379.1369319999999</v>
      </c>
      <c r="S37" s="62">
        <f>SUMIFS($F37:$Q37,$F$7:$Q$7,"B")</f>
        <v>0</v>
      </c>
      <c r="T37" s="57">
        <f>SUM(R37:S37)</f>
        <v>2379.1369319999999</v>
      </c>
      <c r="U37" s="96">
        <f t="shared" si="7"/>
        <v>0.43001014902907159</v>
      </c>
      <c r="V37" s="96" t="str">
        <f t="shared" si="8"/>
        <v/>
      </c>
      <c r="W37" s="96">
        <f t="shared" si="9"/>
        <v>0.43001014902907159</v>
      </c>
      <c r="X37" s="97"/>
      <c r="Z37" s="57"/>
    </row>
    <row r="38" spans="2:26" outlineLevel="1" x14ac:dyDescent="0.35">
      <c r="C38" s="493"/>
      <c r="D38" s="494"/>
      <c r="E38" s="494" t="s">
        <v>6</v>
      </c>
      <c r="F38" s="572">
        <f t="shared" ref="F38:Q38" si="12">148308077/(10^6)</f>
        <v>148.308077</v>
      </c>
      <c r="G38" s="572">
        <f t="shared" si="12"/>
        <v>148.308077</v>
      </c>
      <c r="H38" s="572">
        <f t="shared" si="12"/>
        <v>148.308077</v>
      </c>
      <c r="I38" s="572">
        <f t="shared" si="12"/>
        <v>148.308077</v>
      </c>
      <c r="J38" s="572">
        <f t="shared" si="12"/>
        <v>148.308077</v>
      </c>
      <c r="K38" s="572">
        <f t="shared" si="12"/>
        <v>148.308077</v>
      </c>
      <c r="L38" s="572">
        <f t="shared" si="12"/>
        <v>148.308077</v>
      </c>
      <c r="M38" s="572">
        <f t="shared" si="12"/>
        <v>148.308077</v>
      </c>
      <c r="N38" s="572">
        <f t="shared" si="12"/>
        <v>148.308077</v>
      </c>
      <c r="O38" s="572">
        <f t="shared" si="12"/>
        <v>148.308077</v>
      </c>
      <c r="P38" s="572">
        <f t="shared" si="12"/>
        <v>148.308077</v>
      </c>
      <c r="Q38" s="572">
        <f t="shared" si="12"/>
        <v>148.308077</v>
      </c>
      <c r="R38" s="495"/>
      <c r="S38" s="495"/>
      <c r="T38" s="497"/>
      <c r="U38" s="544">
        <f t="shared" si="7"/>
        <v>0</v>
      </c>
      <c r="V38" s="544" t="str">
        <f t="shared" si="8"/>
        <v/>
      </c>
      <c r="W38" s="544">
        <f t="shared" si="9"/>
        <v>0</v>
      </c>
      <c r="X38" s="569"/>
      <c r="Y38" s="499"/>
      <c r="Z38" s="57"/>
    </row>
    <row r="39" spans="2:26" outlineLevel="1" x14ac:dyDescent="0.35">
      <c r="C39" s="500"/>
      <c r="D39" s="442"/>
      <c r="E39" s="442" t="s">
        <v>8</v>
      </c>
      <c r="F39" s="573">
        <f t="shared" ref="F39:Q39" si="13">29302578/(10^6)</f>
        <v>29.302578</v>
      </c>
      <c r="G39" s="573">
        <f t="shared" si="13"/>
        <v>29.302578</v>
      </c>
      <c r="H39" s="573">
        <f t="shared" si="13"/>
        <v>29.302578</v>
      </c>
      <c r="I39" s="573">
        <f t="shared" si="13"/>
        <v>29.302578</v>
      </c>
      <c r="J39" s="573">
        <f t="shared" si="13"/>
        <v>29.302578</v>
      </c>
      <c r="K39" s="573">
        <f t="shared" si="13"/>
        <v>29.302578</v>
      </c>
      <c r="L39" s="573">
        <f t="shared" si="13"/>
        <v>29.302578</v>
      </c>
      <c r="M39" s="573">
        <f t="shared" si="13"/>
        <v>29.302578</v>
      </c>
      <c r="N39" s="573">
        <f t="shared" si="13"/>
        <v>29.302578</v>
      </c>
      <c r="O39" s="573">
        <f t="shared" si="13"/>
        <v>29.302578</v>
      </c>
      <c r="P39" s="573">
        <f t="shared" si="13"/>
        <v>29.302578</v>
      </c>
      <c r="Q39" s="573">
        <f t="shared" si="13"/>
        <v>29.302578</v>
      </c>
      <c r="R39" s="501"/>
      <c r="S39" s="501"/>
      <c r="T39" s="503"/>
      <c r="U39" s="549">
        <f t="shared" si="7"/>
        <v>0</v>
      </c>
      <c r="V39" s="549" t="str">
        <f t="shared" si="8"/>
        <v/>
      </c>
      <c r="W39" s="549">
        <f t="shared" si="9"/>
        <v>0</v>
      </c>
      <c r="X39" s="570"/>
      <c r="Y39" s="505"/>
      <c r="Z39" s="57"/>
    </row>
    <row r="40" spans="2:26" outlineLevel="1" x14ac:dyDescent="0.35">
      <c r="C40" s="506"/>
      <c r="D40" s="507"/>
      <c r="E40" s="507" t="s">
        <v>7</v>
      </c>
      <c r="F40" s="574">
        <f t="shared" ref="F40:Q40" si="14">20650756/(10^6)</f>
        <v>20.650756000000001</v>
      </c>
      <c r="G40" s="574">
        <f t="shared" si="14"/>
        <v>20.650756000000001</v>
      </c>
      <c r="H40" s="574">
        <f t="shared" si="14"/>
        <v>20.650756000000001</v>
      </c>
      <c r="I40" s="574">
        <f t="shared" si="14"/>
        <v>20.650756000000001</v>
      </c>
      <c r="J40" s="574">
        <f t="shared" si="14"/>
        <v>20.650756000000001</v>
      </c>
      <c r="K40" s="574">
        <f t="shared" si="14"/>
        <v>20.650756000000001</v>
      </c>
      <c r="L40" s="574">
        <f t="shared" si="14"/>
        <v>20.650756000000001</v>
      </c>
      <c r="M40" s="574">
        <f t="shared" si="14"/>
        <v>20.650756000000001</v>
      </c>
      <c r="N40" s="574">
        <f t="shared" si="14"/>
        <v>20.650756000000001</v>
      </c>
      <c r="O40" s="574">
        <f t="shared" si="14"/>
        <v>20.650756000000001</v>
      </c>
      <c r="P40" s="574">
        <f t="shared" si="14"/>
        <v>20.650756000000001</v>
      </c>
      <c r="Q40" s="574">
        <f t="shared" si="14"/>
        <v>20.650756000000001</v>
      </c>
      <c r="R40" s="508"/>
      <c r="S40" s="508"/>
      <c r="T40" s="510"/>
      <c r="U40" s="555">
        <f t="shared" si="7"/>
        <v>0</v>
      </c>
      <c r="V40" s="555" t="str">
        <f t="shared" si="8"/>
        <v/>
      </c>
      <c r="W40" s="555">
        <f t="shared" si="9"/>
        <v>0</v>
      </c>
      <c r="X40" s="571"/>
      <c r="Y40" s="512"/>
      <c r="Z40" s="57"/>
    </row>
    <row r="41" spans="2:26" x14ac:dyDescent="0.35">
      <c r="C41" s="2" t="s">
        <v>643</v>
      </c>
      <c r="F41" s="62">
        <f>59630744/(10^6)+274.404014166667</f>
        <v>334.03475816666702</v>
      </c>
      <c r="G41" s="62">
        <f>59630744/(10^6)+274.404014166667</f>
        <v>334.03475816666702</v>
      </c>
      <c r="H41" s="62">
        <f t="shared" ref="H41:Q41" si="15">59630744/(10^6)</f>
        <v>59.630744</v>
      </c>
      <c r="I41" s="62">
        <f t="shared" si="15"/>
        <v>59.630744</v>
      </c>
      <c r="J41" s="62">
        <f t="shared" si="15"/>
        <v>59.630744</v>
      </c>
      <c r="K41" s="62">
        <f t="shared" si="15"/>
        <v>59.630744</v>
      </c>
      <c r="L41" s="62">
        <f t="shared" si="15"/>
        <v>59.630744</v>
      </c>
      <c r="M41" s="62">
        <f t="shared" si="15"/>
        <v>59.630744</v>
      </c>
      <c r="N41" s="62">
        <f t="shared" si="15"/>
        <v>59.630744</v>
      </c>
      <c r="O41" s="62">
        <f t="shared" si="15"/>
        <v>59.630744</v>
      </c>
      <c r="P41" s="62">
        <f t="shared" si="15"/>
        <v>59.630744</v>
      </c>
      <c r="Q41" s="62">
        <f t="shared" si="15"/>
        <v>59.630744</v>
      </c>
      <c r="R41" s="62">
        <f>SUMIFS($F41:$Q41,$F$7:$Q$7,"A")</f>
        <v>1264.3769563333344</v>
      </c>
      <c r="S41" s="62">
        <f>SUMIFS($F41:$Q41,$F$7:$Q$7,"B")</f>
        <v>0</v>
      </c>
      <c r="T41" s="57">
        <f>SUM(R41:S41)</f>
        <v>1264.3769563333344</v>
      </c>
      <c r="U41" s="96">
        <f t="shared" si="7"/>
        <v>0.22852611638657086</v>
      </c>
      <c r="V41" s="96" t="str">
        <f t="shared" si="8"/>
        <v/>
      </c>
      <c r="W41" s="96">
        <f t="shared" si="9"/>
        <v>0.22852611638657086</v>
      </c>
      <c r="X41" s="97"/>
      <c r="Z41" s="57"/>
    </row>
    <row r="42" spans="2:26" x14ac:dyDescent="0.35">
      <c r="C42" s="2" t="s">
        <v>647</v>
      </c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>
        <f>SUMIFS($F42:$Q42,$F$7:$Q$7,"A")</f>
        <v>0</v>
      </c>
      <c r="S42" s="62">
        <f>SUMIFS($F42:$Q42,$F$7:$Q$7,"B")</f>
        <v>0</v>
      </c>
      <c r="T42" s="57">
        <f>SUM(R42:S42)</f>
        <v>0</v>
      </c>
      <c r="U42" s="96">
        <f t="shared" ref="U42" si="16">IFERROR(R42/R$16,"")</f>
        <v>0</v>
      </c>
      <c r="V42" s="96" t="str">
        <f t="shared" ref="V42" si="17">IFERROR(S42/S$16,"")</f>
        <v/>
      </c>
      <c r="W42" s="96">
        <f t="shared" ref="W42" si="18">IFERROR(T42/T$16,"")</f>
        <v>0</v>
      </c>
      <c r="X42" s="97"/>
      <c r="Z42" s="57"/>
    </row>
    <row r="43" spans="2:26" x14ac:dyDescent="0.35">
      <c r="B43" s="87" t="s">
        <v>216</v>
      </c>
      <c r="C43" s="70"/>
      <c r="D43" s="70"/>
      <c r="E43" s="70"/>
      <c r="F43" s="328">
        <f>F34-SUBTOTAL(9,F36:F42)</f>
        <v>-738.9208711666671</v>
      </c>
      <c r="G43" s="328">
        <f t="shared" ref="G43:Q43" si="19">G34-SUBTOTAL(9,G36:G42)</f>
        <v>-654.14735800000017</v>
      </c>
      <c r="H43" s="328">
        <f t="shared" si="19"/>
        <v>-240.92803999999995</v>
      </c>
      <c r="I43" s="328">
        <f t="shared" si="19"/>
        <v>-278.78594300000003</v>
      </c>
      <c r="J43" s="328">
        <f t="shared" si="19"/>
        <v>-320.62508800000001</v>
      </c>
      <c r="K43" s="328">
        <f t="shared" si="19"/>
        <v>-237.32995900000003</v>
      </c>
      <c r="L43" s="328">
        <f t="shared" si="19"/>
        <v>-303.51613799999996</v>
      </c>
      <c r="M43" s="328">
        <f t="shared" si="19"/>
        <v>-238.54385900000005</v>
      </c>
      <c r="N43" s="328">
        <f t="shared" si="19"/>
        <v>-278.68374300000005</v>
      </c>
      <c r="O43" s="328">
        <f t="shared" si="19"/>
        <v>-152.33946700000007</v>
      </c>
      <c r="P43" s="328">
        <f t="shared" si="19"/>
        <v>-233.45667100000003</v>
      </c>
      <c r="Q43" s="328">
        <f t="shared" si="19"/>
        <v>-172.78736799999996</v>
      </c>
      <c r="R43" s="328">
        <f>SUMIFS($F43:$Q43,$F$7:$Q$7,"A")</f>
        <v>-3850.0645051666675</v>
      </c>
      <c r="S43" s="328">
        <f>SUMIFS($F43:$Q43,$F$7:$Q$7,"B")</f>
        <v>0</v>
      </c>
      <c r="T43" s="328">
        <f>SUM(R43:S43)</f>
        <v>-3850.0645051666675</v>
      </c>
      <c r="U43" s="101">
        <f t="shared" si="7"/>
        <v>-0.69586865277507182</v>
      </c>
      <c r="V43" s="101" t="str">
        <f t="shared" si="8"/>
        <v/>
      </c>
      <c r="W43" s="101">
        <f t="shared" si="9"/>
        <v>-0.69586865277507182</v>
      </c>
      <c r="X43" s="97"/>
      <c r="Z43" s="57"/>
    </row>
    <row r="44" spans="2:26" ht="13.15" thickBot="1" x14ac:dyDescent="0.4">
      <c r="C44" s="2" t="s">
        <v>193</v>
      </c>
      <c r="D44" s="55"/>
      <c r="F44" s="59">
        <f>IF(F43&lt;0,0,F43*20%)</f>
        <v>0</v>
      </c>
      <c r="G44" s="59">
        <f t="shared" ref="G44:Q44" si="20">IF(G43&lt;0,0,G43*20%)</f>
        <v>0</v>
      </c>
      <c r="H44" s="59">
        <f t="shared" si="20"/>
        <v>0</v>
      </c>
      <c r="I44" s="59">
        <f t="shared" si="20"/>
        <v>0</v>
      </c>
      <c r="J44" s="59">
        <f t="shared" si="20"/>
        <v>0</v>
      </c>
      <c r="K44" s="59">
        <f t="shared" si="20"/>
        <v>0</v>
      </c>
      <c r="L44" s="59">
        <f t="shared" si="20"/>
        <v>0</v>
      </c>
      <c r="M44" s="59">
        <f t="shared" si="20"/>
        <v>0</v>
      </c>
      <c r="N44" s="59">
        <f t="shared" si="20"/>
        <v>0</v>
      </c>
      <c r="O44" s="59">
        <f t="shared" si="20"/>
        <v>0</v>
      </c>
      <c r="P44" s="59">
        <f t="shared" si="20"/>
        <v>0</v>
      </c>
      <c r="Q44" s="59">
        <f t="shared" si="20"/>
        <v>0</v>
      </c>
      <c r="R44" s="59">
        <f t="shared" ref="R44:R45" si="21">SUMIFS($F44:$Q44,$F$7:$Q$7,"A")</f>
        <v>0</v>
      </c>
      <c r="S44" s="59">
        <f t="shared" ref="S44:S45" si="22">SUMIFS($F44:$Q44,$F$7:$Q$7,"B")</f>
        <v>0</v>
      </c>
      <c r="T44" s="59">
        <f t="shared" ref="T44:T45" si="23">SUM(R44:S44)</f>
        <v>0</v>
      </c>
      <c r="U44" s="105">
        <f t="shared" ref="U44:U45" si="24">IFERROR(R44/R$16,"")</f>
        <v>0</v>
      </c>
      <c r="V44" s="105" t="str">
        <f t="shared" ref="V44:V45" si="25">IFERROR(S44/S$16,"")</f>
        <v/>
      </c>
      <c r="W44" s="105">
        <f t="shared" ref="W44:W45" si="26">IFERROR(T44/T$16,"")</f>
        <v>0</v>
      </c>
      <c r="X44" s="105"/>
      <c r="Y44" s="105"/>
      <c r="Z44" s="57"/>
    </row>
    <row r="45" spans="2:26" x14ac:dyDescent="0.35">
      <c r="B45" s="89" t="s">
        <v>194</v>
      </c>
      <c r="C45" s="90"/>
      <c r="D45" s="90"/>
      <c r="E45" s="91"/>
      <c r="F45" s="92">
        <f>F43-F44</f>
        <v>-738.9208711666671</v>
      </c>
      <c r="G45" s="92">
        <f t="shared" ref="G45:Q45" si="27">G43-G44</f>
        <v>-654.14735800000017</v>
      </c>
      <c r="H45" s="92">
        <f t="shared" si="27"/>
        <v>-240.92803999999995</v>
      </c>
      <c r="I45" s="92">
        <f t="shared" si="27"/>
        <v>-278.78594300000003</v>
      </c>
      <c r="J45" s="92">
        <f t="shared" si="27"/>
        <v>-320.62508800000001</v>
      </c>
      <c r="K45" s="92">
        <f t="shared" si="27"/>
        <v>-237.32995900000003</v>
      </c>
      <c r="L45" s="92">
        <f t="shared" si="27"/>
        <v>-303.51613799999996</v>
      </c>
      <c r="M45" s="92">
        <f t="shared" si="27"/>
        <v>-238.54385900000005</v>
      </c>
      <c r="N45" s="92">
        <f t="shared" si="27"/>
        <v>-278.68374300000005</v>
      </c>
      <c r="O45" s="92">
        <f t="shared" si="27"/>
        <v>-152.33946700000007</v>
      </c>
      <c r="P45" s="92">
        <f t="shared" si="27"/>
        <v>-233.45667100000003</v>
      </c>
      <c r="Q45" s="92">
        <f t="shared" si="27"/>
        <v>-172.78736799999996</v>
      </c>
      <c r="R45" s="92">
        <f t="shared" si="21"/>
        <v>-3850.0645051666675</v>
      </c>
      <c r="S45" s="92">
        <f t="shared" si="22"/>
        <v>0</v>
      </c>
      <c r="T45" s="92">
        <f t="shared" si="23"/>
        <v>-3850.0645051666675</v>
      </c>
      <c r="U45" s="104">
        <f t="shared" si="24"/>
        <v>-0.69586865277507182</v>
      </c>
      <c r="V45" s="104" t="str">
        <f t="shared" si="25"/>
        <v/>
      </c>
      <c r="W45" s="104">
        <f t="shared" si="26"/>
        <v>-0.69586865277507182</v>
      </c>
      <c r="X45" s="92"/>
      <c r="Y45" s="92"/>
      <c r="Z45" s="57"/>
    </row>
    <row r="46" spans="2:26" x14ac:dyDescent="0.35">
      <c r="B46" s="6"/>
      <c r="F46" s="222"/>
      <c r="G46" s="222"/>
      <c r="H46" s="222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105"/>
      <c r="X46" s="97"/>
      <c r="Z46" s="57"/>
    </row>
    <row r="47" spans="2:26" x14ac:dyDescent="0.35">
      <c r="B47" s="27"/>
      <c r="D47" s="6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96"/>
      <c r="X47" s="57"/>
      <c r="Y47" s="57"/>
      <c r="Z47" s="57"/>
    </row>
    <row r="48" spans="2:26" outlineLevel="1" x14ac:dyDescent="0.35">
      <c r="B48" s="27"/>
      <c r="D48" s="6"/>
      <c r="E48" s="93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94"/>
      <c r="R48" s="94"/>
      <c r="S48" s="94"/>
      <c r="T48" s="95"/>
      <c r="U48" s="95"/>
      <c r="V48" s="95"/>
      <c r="W48" s="96"/>
      <c r="X48" s="94"/>
      <c r="Y48" s="57"/>
      <c r="Z48" s="95"/>
    </row>
    <row r="49" spans="2:23" x14ac:dyDescent="0.35">
      <c r="B49" s="28" t="s">
        <v>99</v>
      </c>
    </row>
    <row r="51" spans="2:23" x14ac:dyDescent="0.35">
      <c r="C51" s="6" t="s">
        <v>137</v>
      </c>
    </row>
    <row r="52" spans="2:23" x14ac:dyDescent="0.35">
      <c r="E52" s="2" t="s">
        <v>6</v>
      </c>
      <c r="F52" s="84">
        <v>94</v>
      </c>
      <c r="G52" s="84">
        <v>160</v>
      </c>
      <c r="H52" s="84">
        <v>218</v>
      </c>
      <c r="I52" s="84">
        <v>207</v>
      </c>
      <c r="J52" s="84">
        <v>202</v>
      </c>
      <c r="K52" s="84">
        <v>249</v>
      </c>
      <c r="L52" s="84">
        <v>267</v>
      </c>
      <c r="M52" s="84">
        <v>251</v>
      </c>
      <c r="N52" s="84">
        <v>221</v>
      </c>
      <c r="O52" s="84">
        <v>322</v>
      </c>
      <c r="P52" s="84">
        <v>213</v>
      </c>
      <c r="Q52" s="2">
        <v>280</v>
      </c>
      <c r="R52" s="62">
        <f>SUMIFS($F52:$Q52,$F$7:$Q$7,"A")</f>
        <v>2684</v>
      </c>
      <c r="S52" s="62">
        <f t="shared" ref="S52:S54" si="28">SUMIFS($F52:$Q52,$F$7:$Q$7,"B")</f>
        <v>0</v>
      </c>
      <c r="T52" s="84">
        <f>SUM(F52:Q52)</f>
        <v>2684</v>
      </c>
      <c r="U52" s="84"/>
      <c r="V52" s="84"/>
    </row>
    <row r="53" spans="2:23" x14ac:dyDescent="0.35">
      <c r="E53" s="2" t="s">
        <v>8</v>
      </c>
      <c r="F53" s="84">
        <v>8</v>
      </c>
      <c r="G53" s="84">
        <v>16</v>
      </c>
      <c r="H53" s="84">
        <v>19</v>
      </c>
      <c r="I53" s="84">
        <v>29</v>
      </c>
      <c r="J53" s="84">
        <v>15</v>
      </c>
      <c r="K53" s="84">
        <v>16</v>
      </c>
      <c r="L53" s="84">
        <v>16</v>
      </c>
      <c r="M53" s="84">
        <v>17</v>
      </c>
      <c r="N53" s="84">
        <v>47</v>
      </c>
      <c r="O53" s="84">
        <v>63</v>
      </c>
      <c r="P53" s="84">
        <v>143</v>
      </c>
      <c r="Q53" s="2">
        <v>47</v>
      </c>
      <c r="R53" s="62">
        <f>SUMIFS($F53:$Q53,$F$7:$Q$7,"A")</f>
        <v>436</v>
      </c>
      <c r="S53" s="62">
        <f t="shared" si="28"/>
        <v>0</v>
      </c>
      <c r="T53" s="84">
        <f>SUM(F53:Q53)</f>
        <v>436</v>
      </c>
      <c r="U53" s="84"/>
      <c r="V53" s="84"/>
    </row>
    <row r="54" spans="2:23" x14ac:dyDescent="0.35">
      <c r="E54" s="2" t="s">
        <v>7</v>
      </c>
      <c r="F54" s="84">
        <v>6</v>
      </c>
      <c r="G54" s="84">
        <v>3</v>
      </c>
      <c r="H54" s="84">
        <v>9</v>
      </c>
      <c r="I54" s="84">
        <v>7</v>
      </c>
      <c r="J54" s="84">
        <v>4</v>
      </c>
      <c r="K54" s="84">
        <v>4</v>
      </c>
      <c r="L54" s="84">
        <v>12</v>
      </c>
      <c r="M54" s="84">
        <v>5</v>
      </c>
      <c r="N54" s="84">
        <v>59</v>
      </c>
      <c r="O54" s="84">
        <v>43</v>
      </c>
      <c r="P54" s="84">
        <v>47</v>
      </c>
      <c r="Q54" s="2">
        <v>7</v>
      </c>
      <c r="R54" s="62">
        <f>SUMIFS($F54:$Q54,$F$7:$Q$7,"A")</f>
        <v>206</v>
      </c>
      <c r="S54" s="62">
        <f t="shared" si="28"/>
        <v>0</v>
      </c>
      <c r="T54" s="84">
        <f>SUM(F54:Q54)</f>
        <v>206</v>
      </c>
      <c r="U54" s="84"/>
      <c r="V54" s="84"/>
    </row>
    <row r="55" spans="2:23" x14ac:dyDescent="0.35">
      <c r="C55" s="6" t="s">
        <v>140</v>
      </c>
    </row>
    <row r="56" spans="2:23" x14ac:dyDescent="0.35">
      <c r="C56" s="55"/>
      <c r="D56" s="2" t="s">
        <v>6</v>
      </c>
      <c r="F56" s="2">
        <f>30*9*60/20</f>
        <v>810</v>
      </c>
      <c r="G56" s="2">
        <f>$F56</f>
        <v>810</v>
      </c>
      <c r="H56" s="2">
        <f t="shared" ref="H56:Q58" si="29">$F56</f>
        <v>810</v>
      </c>
      <c r="I56" s="2">
        <f t="shared" si="29"/>
        <v>810</v>
      </c>
      <c r="J56" s="2">
        <f t="shared" si="29"/>
        <v>810</v>
      </c>
      <c r="K56" s="2">
        <f t="shared" si="29"/>
        <v>810</v>
      </c>
      <c r="L56" s="2">
        <f t="shared" si="29"/>
        <v>810</v>
      </c>
      <c r="M56" s="2">
        <f t="shared" si="29"/>
        <v>810</v>
      </c>
      <c r="N56" s="2">
        <f t="shared" si="29"/>
        <v>810</v>
      </c>
      <c r="O56" s="2">
        <f t="shared" si="29"/>
        <v>810</v>
      </c>
      <c r="P56" s="2">
        <f t="shared" si="29"/>
        <v>810</v>
      </c>
      <c r="Q56" s="2">
        <f t="shared" si="29"/>
        <v>810</v>
      </c>
      <c r="R56" s="62">
        <f>SUMIFS($F56:$Q56,$F$7:$Q$7,"A")</f>
        <v>9720</v>
      </c>
      <c r="S56" s="62">
        <f>SUMIFS($F56:$Q56,$F$7:$Q$7,"B")</f>
        <v>0</v>
      </c>
      <c r="T56" s="57">
        <f>SUM(R56:S56)</f>
        <v>9720</v>
      </c>
      <c r="U56" s="57"/>
      <c r="V56" s="57"/>
    </row>
    <row r="57" spans="2:23" x14ac:dyDescent="0.35">
      <c r="C57" s="55"/>
      <c r="D57" s="2" t="s">
        <v>7</v>
      </c>
      <c r="F57" s="2">
        <f>30*9*60/15</f>
        <v>1080</v>
      </c>
      <c r="G57" s="2">
        <f>$F57</f>
        <v>1080</v>
      </c>
      <c r="H57" s="2">
        <f t="shared" si="29"/>
        <v>1080</v>
      </c>
      <c r="I57" s="2">
        <f t="shared" si="29"/>
        <v>1080</v>
      </c>
      <c r="J57" s="2">
        <f t="shared" si="29"/>
        <v>1080</v>
      </c>
      <c r="K57" s="2">
        <f t="shared" si="29"/>
        <v>1080</v>
      </c>
      <c r="L57" s="2">
        <f t="shared" si="29"/>
        <v>1080</v>
      </c>
      <c r="M57" s="2">
        <f t="shared" si="29"/>
        <v>1080</v>
      </c>
      <c r="N57" s="2">
        <f t="shared" si="29"/>
        <v>1080</v>
      </c>
      <c r="O57" s="2">
        <f t="shared" si="29"/>
        <v>1080</v>
      </c>
      <c r="P57" s="2">
        <f t="shared" si="29"/>
        <v>1080</v>
      </c>
      <c r="Q57" s="2">
        <f t="shared" si="29"/>
        <v>1080</v>
      </c>
      <c r="R57" s="62">
        <f>SUMIFS($F57:$Q57,$F$7:$Q$7,"A")</f>
        <v>12960</v>
      </c>
      <c r="S57" s="62">
        <f>SUMIFS($F57:$Q57,$F$7:$Q$7,"B")</f>
        <v>0</v>
      </c>
      <c r="T57" s="57">
        <f>SUM(R57:S57)</f>
        <v>12960</v>
      </c>
      <c r="U57" s="57"/>
      <c r="V57" s="57"/>
    </row>
    <row r="58" spans="2:23" x14ac:dyDescent="0.35">
      <c r="C58" s="55"/>
      <c r="D58" s="2" t="s">
        <v>8</v>
      </c>
      <c r="F58" s="2">
        <f>30*9*60/10</f>
        <v>1620</v>
      </c>
      <c r="G58" s="2">
        <f>$F58</f>
        <v>1620</v>
      </c>
      <c r="H58" s="2">
        <f t="shared" si="29"/>
        <v>1620</v>
      </c>
      <c r="I58" s="2">
        <f t="shared" si="29"/>
        <v>1620</v>
      </c>
      <c r="J58" s="2">
        <f t="shared" si="29"/>
        <v>1620</v>
      </c>
      <c r="K58" s="2">
        <f t="shared" si="29"/>
        <v>1620</v>
      </c>
      <c r="L58" s="2">
        <f t="shared" si="29"/>
        <v>1620</v>
      </c>
      <c r="M58" s="2">
        <f t="shared" si="29"/>
        <v>1620</v>
      </c>
      <c r="N58" s="2">
        <f t="shared" si="29"/>
        <v>1620</v>
      </c>
      <c r="O58" s="2">
        <f t="shared" si="29"/>
        <v>1620</v>
      </c>
      <c r="P58" s="2">
        <f t="shared" si="29"/>
        <v>1620</v>
      </c>
      <c r="Q58" s="2">
        <f t="shared" si="29"/>
        <v>1620</v>
      </c>
      <c r="R58" s="62">
        <f>SUMIFS($F58:$Q58,$F$7:$Q$7,"A")</f>
        <v>19440</v>
      </c>
      <c r="S58" s="62">
        <f>SUMIFS($F58:$Q58,$F$7:$Q$7,"B")</f>
        <v>0</v>
      </c>
      <c r="T58" s="57">
        <f>SUM(R58:S58)</f>
        <v>19440</v>
      </c>
      <c r="U58" s="57"/>
      <c r="V58" s="57"/>
    </row>
    <row r="59" spans="2:23" x14ac:dyDescent="0.35">
      <c r="C59" s="6" t="s">
        <v>139</v>
      </c>
      <c r="T59" s="238"/>
      <c r="U59" s="238"/>
      <c r="V59" s="238"/>
      <c r="W59" s="201"/>
    </row>
    <row r="60" spans="2:23" x14ac:dyDescent="0.35">
      <c r="D60" s="2" t="s">
        <v>6</v>
      </c>
      <c r="F60" s="97">
        <f>F52/F56</f>
        <v>0.11604938271604938</v>
      </c>
      <c r="G60" s="97">
        <f t="shared" ref="G60:Q60" si="30">G52/G56</f>
        <v>0.19753086419753085</v>
      </c>
      <c r="H60" s="97">
        <f t="shared" si="30"/>
        <v>0.26913580246913582</v>
      </c>
      <c r="I60" s="97">
        <f t="shared" si="30"/>
        <v>0.25555555555555554</v>
      </c>
      <c r="J60" s="97">
        <f t="shared" si="30"/>
        <v>0.24938271604938272</v>
      </c>
      <c r="K60" s="97">
        <f t="shared" si="30"/>
        <v>0.30740740740740741</v>
      </c>
      <c r="L60" s="97">
        <f t="shared" si="30"/>
        <v>0.32962962962962961</v>
      </c>
      <c r="M60" s="97">
        <f t="shared" si="30"/>
        <v>0.30987654320987656</v>
      </c>
      <c r="N60" s="97">
        <f t="shared" si="30"/>
        <v>0.27283950617283953</v>
      </c>
      <c r="O60" s="97">
        <f t="shared" si="30"/>
        <v>0.39753086419753086</v>
      </c>
      <c r="P60" s="97">
        <f t="shared" si="30"/>
        <v>0.26296296296296295</v>
      </c>
      <c r="Q60" s="97">
        <f t="shared" si="30"/>
        <v>0.34567901234567899</v>
      </c>
      <c r="R60" s="97">
        <f t="shared" ref="R60:T62" si="31">R52/R56</f>
        <v>0.27613168724279835</v>
      </c>
      <c r="S60" s="97" t="e">
        <f t="shared" si="31"/>
        <v>#DIV/0!</v>
      </c>
      <c r="T60" s="97">
        <f t="shared" si="31"/>
        <v>0.27613168724279835</v>
      </c>
      <c r="U60" s="97"/>
      <c r="V60" s="97"/>
    </row>
    <row r="61" spans="2:23" x14ac:dyDescent="0.35">
      <c r="D61" s="2" t="s">
        <v>7</v>
      </c>
      <c r="F61" s="97">
        <f t="shared" ref="F61:Q62" si="32">F53/F57</f>
        <v>7.4074074074074077E-3</v>
      </c>
      <c r="G61" s="97">
        <f t="shared" si="32"/>
        <v>1.4814814814814815E-2</v>
      </c>
      <c r="H61" s="97">
        <f t="shared" si="32"/>
        <v>1.7592592592592594E-2</v>
      </c>
      <c r="I61" s="97">
        <f t="shared" si="32"/>
        <v>2.6851851851851852E-2</v>
      </c>
      <c r="J61" s="97">
        <f t="shared" si="32"/>
        <v>1.3888888888888888E-2</v>
      </c>
      <c r="K61" s="97">
        <f t="shared" si="32"/>
        <v>1.4814814814814815E-2</v>
      </c>
      <c r="L61" s="97">
        <f t="shared" si="32"/>
        <v>1.4814814814814815E-2</v>
      </c>
      <c r="M61" s="97">
        <f t="shared" si="32"/>
        <v>1.5740740740740739E-2</v>
      </c>
      <c r="N61" s="97">
        <f t="shared" si="32"/>
        <v>4.3518518518518519E-2</v>
      </c>
      <c r="O61" s="97">
        <f t="shared" si="32"/>
        <v>5.8333333333333334E-2</v>
      </c>
      <c r="P61" s="97">
        <f t="shared" si="32"/>
        <v>0.13240740740740742</v>
      </c>
      <c r="Q61" s="97">
        <f t="shared" si="32"/>
        <v>4.3518518518518519E-2</v>
      </c>
      <c r="R61" s="97">
        <f t="shared" si="31"/>
        <v>3.3641975308641978E-2</v>
      </c>
      <c r="S61" s="97" t="e">
        <f t="shared" si="31"/>
        <v>#DIV/0!</v>
      </c>
      <c r="T61" s="97">
        <f t="shared" si="31"/>
        <v>3.3641975308641978E-2</v>
      </c>
      <c r="U61" s="97"/>
      <c r="V61" s="97"/>
    </row>
    <row r="62" spans="2:23" x14ac:dyDescent="0.35">
      <c r="D62" s="2" t="s">
        <v>8</v>
      </c>
      <c r="F62" s="97">
        <f t="shared" si="32"/>
        <v>3.7037037037037038E-3</v>
      </c>
      <c r="G62" s="97">
        <f t="shared" si="32"/>
        <v>1.8518518518518519E-3</v>
      </c>
      <c r="H62" s="97">
        <f t="shared" si="32"/>
        <v>5.5555555555555558E-3</v>
      </c>
      <c r="I62" s="97">
        <f t="shared" si="32"/>
        <v>4.3209876543209872E-3</v>
      </c>
      <c r="J62" s="97">
        <f t="shared" si="32"/>
        <v>2.4691358024691358E-3</v>
      </c>
      <c r="K62" s="97">
        <f t="shared" si="32"/>
        <v>2.4691358024691358E-3</v>
      </c>
      <c r="L62" s="97">
        <f t="shared" si="32"/>
        <v>7.4074074074074077E-3</v>
      </c>
      <c r="M62" s="97">
        <f t="shared" si="32"/>
        <v>3.0864197530864196E-3</v>
      </c>
      <c r="N62" s="97">
        <f t="shared" si="32"/>
        <v>3.6419753086419752E-2</v>
      </c>
      <c r="O62" s="97">
        <f t="shared" si="32"/>
        <v>2.6543209876543211E-2</v>
      </c>
      <c r="P62" s="97">
        <f t="shared" si="32"/>
        <v>2.9012345679012345E-2</v>
      </c>
      <c r="Q62" s="97">
        <f t="shared" si="32"/>
        <v>4.3209876543209872E-3</v>
      </c>
      <c r="R62" s="97">
        <f t="shared" si="31"/>
        <v>1.059670781893004E-2</v>
      </c>
      <c r="S62" s="97" t="e">
        <f t="shared" si="31"/>
        <v>#DIV/0!</v>
      </c>
      <c r="T62" s="97">
        <f t="shared" si="31"/>
        <v>1.059670781893004E-2</v>
      </c>
      <c r="U62" s="97"/>
      <c r="V62" s="97"/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F9BF3-5E26-4E6B-9461-7A81AD5ABF76}">
  <dimension ref="B3:AA50"/>
  <sheetViews>
    <sheetView workbookViewId="0">
      <pane xSplit="5" ySplit="9" topLeftCell="F25" activePane="bottomRight" state="frozen"/>
      <selection activeCell="X38" sqref="X38"/>
      <selection pane="topRight" activeCell="X38" sqref="X38"/>
      <selection pane="bottomLeft" activeCell="X38" sqref="X38"/>
      <selection pane="bottomRight" activeCell="Y1" sqref="Y1:AB1048576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45.1328125" style="2" customWidth="1"/>
    <col min="6" max="7" width="9.1328125" style="2" customWidth="1" outlineLevel="1"/>
    <col min="8" max="8" width="9" style="2" customWidth="1" outlineLevel="1"/>
    <col min="9" max="16" width="9.1328125" style="2" customWidth="1" outlineLevel="1"/>
    <col min="17" max="17" width="10.265625" style="2" bestFit="1" customWidth="1"/>
    <col min="18" max="18" width="10.86328125" style="2" customWidth="1"/>
    <col min="19" max="19" width="9.3984375" style="2" customWidth="1"/>
    <col min="20" max="20" width="8.73046875" style="2" customWidth="1"/>
    <col min="21" max="23" width="6.73046875" style="2" customWidth="1"/>
    <col min="24" max="24" width="12.86328125" style="2" customWidth="1"/>
    <col min="25" max="25" width="8.86328125" style="2" customWidth="1"/>
    <col min="26" max="26" width="12.265625" style="2" customWidth="1"/>
    <col min="27" max="16384" width="9.1328125" style="2"/>
  </cols>
  <sheetData>
    <row r="3" spans="2:27" x14ac:dyDescent="0.35">
      <c r="H3" s="60"/>
    </row>
    <row r="4" spans="2:27" x14ac:dyDescent="0.35">
      <c r="B4" s="2" t="s">
        <v>25</v>
      </c>
    </row>
    <row r="6" spans="2:27" x14ac:dyDescent="0.35">
      <c r="B6" s="27" t="s">
        <v>135</v>
      </c>
      <c r="Z6" s="84"/>
    </row>
    <row r="7" spans="2:27" s="6" customFormat="1" x14ac:dyDescent="0.35">
      <c r="B7" s="6" t="s">
        <v>218</v>
      </c>
      <c r="F7" s="74" t="s">
        <v>141</v>
      </c>
      <c r="G7" s="74" t="s">
        <v>141</v>
      </c>
      <c r="H7" s="74" t="s">
        <v>141</v>
      </c>
      <c r="I7" s="74" t="s">
        <v>141</v>
      </c>
      <c r="J7" s="74" t="s">
        <v>141</v>
      </c>
      <c r="K7" s="74" t="s">
        <v>141</v>
      </c>
      <c r="L7" s="74" t="s">
        <v>141</v>
      </c>
      <c r="M7" s="74" t="s">
        <v>141</v>
      </c>
      <c r="N7" s="74" t="s">
        <v>141</v>
      </c>
      <c r="O7" s="74" t="s">
        <v>141</v>
      </c>
      <c r="P7" s="74" t="s">
        <v>141</v>
      </c>
      <c r="Q7" s="74" t="s">
        <v>141</v>
      </c>
    </row>
    <row r="8" spans="2:27" x14ac:dyDescent="0.35">
      <c r="B8" s="32" t="s">
        <v>55</v>
      </c>
      <c r="F8" s="32" t="s">
        <v>52</v>
      </c>
      <c r="R8" s="381" t="s">
        <v>622</v>
      </c>
      <c r="S8" s="380"/>
      <c r="T8" s="380"/>
      <c r="U8" s="381" t="s">
        <v>487</v>
      </c>
      <c r="V8" s="380"/>
      <c r="W8" s="380"/>
      <c r="X8" s="381" t="s">
        <v>505</v>
      </c>
      <c r="Y8" s="380"/>
    </row>
    <row r="9" spans="2:27" ht="13.5" x14ac:dyDescent="0.35">
      <c r="B9" s="45" t="s">
        <v>101</v>
      </c>
      <c r="F9" s="61">
        <v>1</v>
      </c>
      <c r="G9" s="61">
        <v>2</v>
      </c>
      <c r="H9" s="61">
        <v>3</v>
      </c>
      <c r="I9" s="61">
        <v>4</v>
      </c>
      <c r="J9" s="61">
        <v>5</v>
      </c>
      <c r="K9" s="61">
        <v>6</v>
      </c>
      <c r="L9" s="61">
        <v>7</v>
      </c>
      <c r="M9" s="61">
        <v>8</v>
      </c>
      <c r="N9" s="61">
        <v>9</v>
      </c>
      <c r="O9" s="61">
        <v>10</v>
      </c>
      <c r="P9" s="61">
        <v>11</v>
      </c>
      <c r="Q9" s="61">
        <v>12</v>
      </c>
      <c r="R9" s="32" t="s">
        <v>4</v>
      </c>
      <c r="S9" s="32" t="s">
        <v>5</v>
      </c>
      <c r="T9" s="32" t="s">
        <v>3</v>
      </c>
      <c r="U9" s="114" t="s">
        <v>484</v>
      </c>
      <c r="V9" s="113" t="s">
        <v>485</v>
      </c>
      <c r="W9" s="113" t="s">
        <v>486</v>
      </c>
      <c r="X9" s="537" t="s">
        <v>498</v>
      </c>
      <c r="Y9" s="537" t="s">
        <v>499</v>
      </c>
      <c r="Z9" s="73" t="s">
        <v>198</v>
      </c>
    </row>
    <row r="10" spans="2:27" x14ac:dyDescent="0.35">
      <c r="B10" s="27" t="s">
        <v>11</v>
      </c>
      <c r="D10" s="6"/>
      <c r="F10" s="312"/>
      <c r="G10" s="312"/>
      <c r="H10" s="312"/>
      <c r="I10" s="312"/>
      <c r="J10" s="312"/>
      <c r="K10" s="312"/>
      <c r="L10" s="312"/>
      <c r="M10" s="312"/>
      <c r="Q10" s="58"/>
    </row>
    <row r="11" spans="2:27" x14ac:dyDescent="0.35">
      <c r="D11" s="6" t="s">
        <v>12</v>
      </c>
      <c r="F11" s="312"/>
      <c r="G11" s="312"/>
      <c r="H11" s="312"/>
      <c r="I11" s="312"/>
      <c r="J11" s="312"/>
      <c r="K11" s="312"/>
      <c r="L11" s="312"/>
      <c r="M11" s="312"/>
      <c r="Q11" s="58"/>
    </row>
    <row r="12" spans="2:27" outlineLevel="1" x14ac:dyDescent="0.35">
      <c r="E12" s="2" t="s">
        <v>8</v>
      </c>
      <c r="F12" s="330"/>
      <c r="G12" s="330"/>
      <c r="H12" s="330"/>
      <c r="I12" s="330"/>
      <c r="J12" s="330"/>
      <c r="K12" s="330"/>
      <c r="L12" s="330"/>
      <c r="M12" s="330"/>
      <c r="N12" s="62">
        <v>232.4</v>
      </c>
      <c r="O12" s="62">
        <v>202.3</v>
      </c>
      <c r="P12" s="62">
        <v>174.6</v>
      </c>
      <c r="Q12" s="62">
        <v>84</v>
      </c>
      <c r="R12" s="62">
        <f>SUMIFS($F12:$Q12,$F$7:$Q$7,"A")</f>
        <v>693.30000000000007</v>
      </c>
      <c r="S12" s="62">
        <f>SUMIFS($F12:$Q12,$F$7:$Q$7,"B")</f>
        <v>0</v>
      </c>
      <c r="T12" s="57">
        <f>SUM(R12:S12)</f>
        <v>693.30000000000007</v>
      </c>
      <c r="U12" s="96">
        <f t="shared" ref="U12:V26" si="0">IFERROR(R12/R$13,"")</f>
        <v>1</v>
      </c>
      <c r="V12" s="96" t="str">
        <f t="shared" si="0"/>
        <v/>
      </c>
      <c r="W12" s="96">
        <f>IFERROR(T12/T$13,"")</f>
        <v>1</v>
      </c>
      <c r="X12" s="97"/>
      <c r="Z12" s="57">
        <f>Z37*Z40/10^6</f>
        <v>3276</v>
      </c>
      <c r="AA12" s="84"/>
    </row>
    <row r="13" spans="2:27" x14ac:dyDescent="0.35">
      <c r="B13" s="65" t="s">
        <v>20</v>
      </c>
      <c r="C13" s="66"/>
      <c r="D13" s="65"/>
      <c r="E13" s="66"/>
      <c r="F13" s="331"/>
      <c r="G13" s="331"/>
      <c r="H13" s="331"/>
      <c r="I13" s="331"/>
      <c r="J13" s="331"/>
      <c r="K13" s="331"/>
      <c r="L13" s="331"/>
      <c r="M13" s="331"/>
      <c r="N13" s="328">
        <f>SUM(N12)</f>
        <v>232.4</v>
      </c>
      <c r="O13" s="328">
        <f>SUM(O12)</f>
        <v>202.3</v>
      </c>
      <c r="P13" s="328">
        <f>SUM(P12)</f>
        <v>174.6</v>
      </c>
      <c r="Q13" s="328">
        <f>SUM(Q12)</f>
        <v>84</v>
      </c>
      <c r="R13" s="328">
        <f>SUMIFS($F13:$Q13,$F$7:$Q$7,"A")</f>
        <v>693.30000000000007</v>
      </c>
      <c r="S13" s="328">
        <f>SUMIFS($F13:$Q13,$F$7:$Q$7,"B")</f>
        <v>0</v>
      </c>
      <c r="T13" s="72">
        <f>SUM(R13:S13)</f>
        <v>693.30000000000007</v>
      </c>
      <c r="U13" s="98">
        <f t="shared" si="0"/>
        <v>1</v>
      </c>
      <c r="V13" s="98" t="str">
        <f t="shared" si="0"/>
        <v/>
      </c>
      <c r="W13" s="98">
        <f t="shared" ref="W13:W26" si="1">IFERROR(T13/T$13,"")</f>
        <v>1</v>
      </c>
      <c r="X13" s="70"/>
      <c r="Y13" s="70"/>
      <c r="Z13" s="72">
        <f>Z12</f>
        <v>3276</v>
      </c>
    </row>
    <row r="14" spans="2:27" x14ac:dyDescent="0.35">
      <c r="B14" s="55" t="s">
        <v>21</v>
      </c>
      <c r="D14" s="55"/>
      <c r="F14" s="332"/>
      <c r="G14" s="332"/>
      <c r="H14" s="332"/>
      <c r="I14" s="332"/>
      <c r="J14" s="332"/>
      <c r="K14" s="332"/>
      <c r="L14" s="332"/>
      <c r="M14" s="332"/>
      <c r="N14" s="222">
        <v>0</v>
      </c>
      <c r="O14" s="222">
        <v>0</v>
      </c>
      <c r="P14" s="222">
        <v>0</v>
      </c>
      <c r="Q14" s="222">
        <v>0</v>
      </c>
      <c r="R14" s="222">
        <f>SUMIFS($F14:$Q14,$F$7:$Q$7,"A")</f>
        <v>0</v>
      </c>
      <c r="S14" s="222">
        <f>SUMIFS($F14:$Q14,$F$7:$Q$7,"B")</f>
        <v>0</v>
      </c>
      <c r="T14" s="59">
        <f>SUM(R14:S14)</f>
        <v>0</v>
      </c>
      <c r="U14" s="118">
        <f t="shared" si="0"/>
        <v>0</v>
      </c>
      <c r="V14" s="118" t="str">
        <f t="shared" si="0"/>
        <v/>
      </c>
      <c r="W14" s="118">
        <f t="shared" si="1"/>
        <v>0</v>
      </c>
      <c r="Z14" s="59"/>
    </row>
    <row r="15" spans="2:27" x14ac:dyDescent="0.35">
      <c r="B15" s="27" t="s">
        <v>307</v>
      </c>
      <c r="D15" s="55"/>
      <c r="F15" s="332"/>
      <c r="G15" s="332"/>
      <c r="H15" s="332"/>
      <c r="I15" s="332"/>
      <c r="J15" s="332"/>
      <c r="K15" s="332"/>
      <c r="L15" s="332"/>
      <c r="M15" s="332"/>
      <c r="N15" s="222"/>
      <c r="O15" s="222"/>
      <c r="P15" s="222"/>
      <c r="Q15" s="222"/>
      <c r="R15" s="222"/>
      <c r="S15" s="222"/>
      <c r="T15" s="59"/>
      <c r="U15" s="118">
        <f t="shared" si="0"/>
        <v>0</v>
      </c>
      <c r="V15" s="118" t="str">
        <f t="shared" si="0"/>
        <v/>
      </c>
      <c r="W15" s="118">
        <f t="shared" si="1"/>
        <v>0</v>
      </c>
      <c r="Z15" s="59"/>
    </row>
    <row r="16" spans="2:27" x14ac:dyDescent="0.35">
      <c r="B16" s="27"/>
      <c r="D16" s="6" t="s">
        <v>177</v>
      </c>
      <c r="F16" s="332"/>
      <c r="G16" s="332"/>
      <c r="H16" s="332"/>
      <c r="I16" s="332"/>
      <c r="J16" s="332"/>
      <c r="K16" s="332"/>
      <c r="L16" s="332"/>
      <c r="M16" s="332"/>
      <c r="N16" s="222"/>
      <c r="O16" s="222"/>
      <c r="P16" s="222"/>
      <c r="Q16" s="222"/>
      <c r="R16" s="222"/>
      <c r="S16" s="222"/>
      <c r="T16" s="59"/>
      <c r="U16" s="118">
        <f t="shared" si="0"/>
        <v>0</v>
      </c>
      <c r="V16" s="118" t="str">
        <f t="shared" si="0"/>
        <v/>
      </c>
      <c r="W16" s="118">
        <f t="shared" si="1"/>
        <v>0</v>
      </c>
      <c r="Z16" s="59"/>
    </row>
    <row r="17" spans="2:26" x14ac:dyDescent="0.35">
      <c r="B17" s="27"/>
      <c r="D17" s="55"/>
      <c r="E17" s="2" t="s">
        <v>23</v>
      </c>
      <c r="F17" s="332"/>
      <c r="G17" s="332"/>
      <c r="H17" s="332"/>
      <c r="I17" s="332"/>
      <c r="J17" s="332"/>
      <c r="K17" s="332"/>
      <c r="L17" s="332"/>
      <c r="M17" s="332"/>
      <c r="N17" s="195">
        <v>11.277200000000001</v>
      </c>
      <c r="O17" s="195">
        <v>9.0495009999999994</v>
      </c>
      <c r="P17" s="195">
        <v>9.7677990000000001</v>
      </c>
      <c r="Q17" s="195">
        <v>3.9615</v>
      </c>
      <c r="R17" s="62">
        <f>SUMIFS($F17:$Q17,$F$7:$Q$7,"A")</f>
        <v>34.055999999999997</v>
      </c>
      <c r="S17" s="62">
        <f>SUMIFS($F17:$Q17,$F$7:$Q$7,"B")</f>
        <v>0</v>
      </c>
      <c r="T17" s="57">
        <f t="shared" ref="T17:T26" si="2">SUM(R17:S17)</f>
        <v>34.055999999999997</v>
      </c>
      <c r="U17" s="118">
        <f t="shared" si="0"/>
        <v>4.9121592384249235E-2</v>
      </c>
      <c r="V17" s="118" t="str">
        <f t="shared" si="0"/>
        <v/>
      </c>
      <c r="W17" s="118">
        <f t="shared" si="1"/>
        <v>4.9121592384249235E-2</v>
      </c>
      <c r="Z17" s="57">
        <f>T47*$Z$37/10^6</f>
        <v>136.72482352941176</v>
      </c>
    </row>
    <row r="18" spans="2:26" x14ac:dyDescent="0.35">
      <c r="B18" s="27"/>
      <c r="D18" s="55"/>
      <c r="E18" s="2" t="s">
        <v>642</v>
      </c>
      <c r="F18" s="332"/>
      <c r="G18" s="332"/>
      <c r="H18" s="332"/>
      <c r="I18" s="332"/>
      <c r="J18" s="332"/>
      <c r="K18" s="332"/>
      <c r="L18" s="332"/>
      <c r="M18" s="332"/>
      <c r="N18" s="195">
        <v>0</v>
      </c>
      <c r="O18" s="195">
        <v>0</v>
      </c>
      <c r="P18" s="195">
        <v>0</v>
      </c>
      <c r="Q18" s="195">
        <v>0</v>
      </c>
      <c r="R18" s="62">
        <f>SUMIFS($F18:$Q18,$F$7:$Q$7,"A")</f>
        <v>0</v>
      </c>
      <c r="S18" s="62">
        <f>SUMIFS($F18:$Q18,$F$7:$Q$7,"B")</f>
        <v>0</v>
      </c>
      <c r="T18" s="57">
        <f t="shared" si="2"/>
        <v>0</v>
      </c>
      <c r="U18" s="118">
        <f t="shared" si="0"/>
        <v>0</v>
      </c>
      <c r="V18" s="118" t="str">
        <f t="shared" si="0"/>
        <v/>
      </c>
      <c r="W18" s="118">
        <f t="shared" si="1"/>
        <v>0</v>
      </c>
      <c r="Z18" s="57">
        <f>T48*$Z$37/10^6</f>
        <v>0</v>
      </c>
    </row>
    <row r="19" spans="2:26" x14ac:dyDescent="0.35">
      <c r="B19" s="27"/>
      <c r="D19" s="55"/>
      <c r="E19" s="2" t="s">
        <v>612</v>
      </c>
      <c r="F19" s="332"/>
      <c r="G19" s="332"/>
      <c r="H19" s="332"/>
      <c r="I19" s="332"/>
      <c r="J19" s="332"/>
      <c r="K19" s="332"/>
      <c r="L19" s="332"/>
      <c r="M19" s="332"/>
      <c r="N19" s="195">
        <v>25.6</v>
      </c>
      <c r="O19" s="195">
        <v>22.4</v>
      </c>
      <c r="P19" s="195">
        <v>40.450000000000003</v>
      </c>
      <c r="Q19" s="195">
        <v>14.55</v>
      </c>
      <c r="R19" s="62">
        <f>SUMIFS($F19:$Q19,$F$7:$Q$7,"A")</f>
        <v>103</v>
      </c>
      <c r="S19" s="62">
        <f>SUMIFS($F19:$Q19,$F$7:$Q$7,"B")</f>
        <v>0</v>
      </c>
      <c r="T19" s="57">
        <f t="shared" si="2"/>
        <v>103</v>
      </c>
      <c r="U19" s="118">
        <f t="shared" si="0"/>
        <v>0.1485648348478292</v>
      </c>
      <c r="V19" s="118" t="str">
        <f t="shared" si="0"/>
        <v/>
      </c>
      <c r="W19" s="118">
        <f t="shared" si="1"/>
        <v>0.1485648348478292</v>
      </c>
      <c r="Z19" s="57">
        <f>T49*$Z$37/10^6</f>
        <v>413.51470588235293</v>
      </c>
    </row>
    <row r="20" spans="2:26" x14ac:dyDescent="0.35">
      <c r="B20" s="55"/>
      <c r="D20" s="55"/>
      <c r="E20" s="2" t="s">
        <v>28</v>
      </c>
      <c r="F20" s="332"/>
      <c r="G20" s="332"/>
      <c r="H20" s="332"/>
      <c r="I20" s="332"/>
      <c r="J20" s="332"/>
      <c r="K20" s="332"/>
      <c r="L20" s="332"/>
      <c r="M20" s="332"/>
      <c r="N20" s="195">
        <v>31.74</v>
      </c>
      <c r="O20" s="195">
        <v>27.254999999999999</v>
      </c>
      <c r="P20" s="195">
        <v>23.69</v>
      </c>
      <c r="Q20" s="195">
        <v>11.845000000000001</v>
      </c>
      <c r="R20" s="62">
        <f>SUMIFS($F20:$Q20,$F$7:$Q$7,"A")</f>
        <v>94.53</v>
      </c>
      <c r="S20" s="62">
        <f>SUMIFS($F20:$Q20,$F$7:$Q$7,"B")</f>
        <v>0</v>
      </c>
      <c r="T20" s="57">
        <f t="shared" si="2"/>
        <v>94.53</v>
      </c>
      <c r="U20" s="118">
        <f t="shared" si="0"/>
        <v>0.13634790134141064</v>
      </c>
      <c r="V20" s="118" t="str">
        <f t="shared" si="0"/>
        <v/>
      </c>
      <c r="W20" s="118">
        <f t="shared" si="1"/>
        <v>0.13634790134141064</v>
      </c>
      <c r="Z20" s="57">
        <f>T50*$Z$37/10^6</f>
        <v>379.51014705882352</v>
      </c>
    </row>
    <row r="21" spans="2:26" x14ac:dyDescent="0.35">
      <c r="B21" s="55"/>
      <c r="D21" s="55"/>
      <c r="E21" s="2" t="s">
        <v>183</v>
      </c>
      <c r="F21" s="332"/>
      <c r="G21" s="332"/>
      <c r="H21" s="332"/>
      <c r="I21" s="332"/>
      <c r="J21" s="332"/>
      <c r="K21" s="332"/>
      <c r="L21" s="332"/>
      <c r="M21" s="332"/>
      <c r="N21" s="195"/>
      <c r="O21" s="195"/>
      <c r="P21" s="195"/>
      <c r="Q21" s="195"/>
      <c r="R21" s="62"/>
      <c r="S21" s="62"/>
      <c r="T21" s="57"/>
      <c r="U21" s="118"/>
      <c r="V21" s="118"/>
      <c r="W21" s="118"/>
      <c r="Z21" s="57"/>
    </row>
    <row r="22" spans="2:26" x14ac:dyDescent="0.35">
      <c r="B22" s="55"/>
      <c r="D22" s="6" t="s">
        <v>181</v>
      </c>
      <c r="F22" s="332"/>
      <c r="G22" s="332"/>
      <c r="H22" s="332"/>
      <c r="I22" s="332"/>
      <c r="J22" s="332"/>
      <c r="K22" s="332"/>
      <c r="L22" s="332"/>
      <c r="M22" s="332"/>
      <c r="N22" s="222"/>
      <c r="O22" s="222"/>
      <c r="P22" s="222"/>
      <c r="Q22" s="222"/>
      <c r="R22" s="222"/>
      <c r="S22" s="222"/>
      <c r="T22" s="57"/>
      <c r="U22" s="118"/>
      <c r="V22" s="118"/>
      <c r="W22" s="118"/>
      <c r="Z22" s="59"/>
    </row>
    <row r="23" spans="2:26" x14ac:dyDescent="0.35">
      <c r="B23" s="55"/>
      <c r="D23" s="55"/>
      <c r="E23" s="2" t="s">
        <v>310</v>
      </c>
      <c r="F23" s="332"/>
      <c r="G23" s="332"/>
      <c r="H23" s="332"/>
      <c r="I23" s="332"/>
      <c r="J23" s="332"/>
      <c r="K23" s="332"/>
      <c r="L23" s="332"/>
      <c r="M23" s="332"/>
      <c r="N23" s="195">
        <v>43.7</v>
      </c>
      <c r="O23" s="195">
        <v>52.12</v>
      </c>
      <c r="P23" s="195">
        <v>45.1</v>
      </c>
      <c r="Q23" s="195">
        <v>35.619999999999997</v>
      </c>
      <c r="R23" s="62">
        <f>SUMIFS($F23:$Q23,$F$7:$Q$7,"A")</f>
        <v>176.54</v>
      </c>
      <c r="S23" s="62">
        <f>SUMIFS($F23:$Q23,$F$7:$Q$7,"B")</f>
        <v>0</v>
      </c>
      <c r="T23" s="57">
        <f t="shared" si="2"/>
        <v>176.54</v>
      </c>
      <c r="U23" s="118">
        <f t="shared" si="0"/>
        <v>0.25463724217510453</v>
      </c>
      <c r="V23" s="118" t="str">
        <f t="shared" si="0"/>
        <v/>
      </c>
      <c r="W23" s="118">
        <f t="shared" si="1"/>
        <v>0.25463724217510453</v>
      </c>
      <c r="Z23" s="57">
        <f>'Điểm hòa vốn'!M43*12</f>
        <v>289.92</v>
      </c>
    </row>
    <row r="24" spans="2:26" x14ac:dyDescent="0.35">
      <c r="B24" s="55"/>
      <c r="D24" s="55"/>
      <c r="E24" s="2" t="s">
        <v>408</v>
      </c>
      <c r="F24" s="332"/>
      <c r="G24" s="332"/>
      <c r="H24" s="332"/>
      <c r="I24" s="332"/>
      <c r="J24" s="332"/>
      <c r="K24" s="332"/>
      <c r="L24" s="332"/>
      <c r="M24" s="332"/>
      <c r="N24" s="329">
        <v>11</v>
      </c>
      <c r="O24" s="329">
        <v>11</v>
      </c>
      <c r="P24" s="329">
        <v>11</v>
      </c>
      <c r="Q24" s="329">
        <v>11</v>
      </c>
      <c r="R24" s="62">
        <f>SUMIFS($F24:$Q24,$F$7:$Q$7,"A")</f>
        <v>44</v>
      </c>
      <c r="S24" s="62">
        <f>SUMIFS($F24:$Q24,$F$7:$Q$7,"B")</f>
        <v>0</v>
      </c>
      <c r="T24" s="57">
        <f t="shared" si="2"/>
        <v>44</v>
      </c>
      <c r="U24" s="118">
        <f t="shared" si="0"/>
        <v>6.346458964373286E-2</v>
      </c>
      <c r="V24" s="118" t="str">
        <f t="shared" si="0"/>
        <v/>
      </c>
      <c r="W24" s="118">
        <f t="shared" si="1"/>
        <v>6.346458964373286E-2</v>
      </c>
      <c r="Z24" s="57">
        <f>'Điểm hòa vốn'!M42*12</f>
        <v>132</v>
      </c>
    </row>
    <row r="25" spans="2:26" x14ac:dyDescent="0.35">
      <c r="B25" s="55"/>
      <c r="D25" s="55"/>
      <c r="E25" s="2" t="s">
        <v>182</v>
      </c>
      <c r="F25" s="332"/>
      <c r="G25" s="332"/>
      <c r="H25" s="332"/>
      <c r="I25" s="332"/>
      <c r="J25" s="332"/>
      <c r="K25" s="332"/>
      <c r="L25" s="332"/>
      <c r="M25" s="332"/>
      <c r="N25" s="329"/>
      <c r="O25" s="329"/>
      <c r="P25" s="329"/>
      <c r="Q25" s="329"/>
      <c r="R25" s="62"/>
      <c r="S25" s="62"/>
      <c r="T25" s="57"/>
      <c r="U25" s="118"/>
      <c r="V25" s="118"/>
      <c r="W25" s="118"/>
      <c r="Z25" s="57"/>
    </row>
    <row r="26" spans="2:26" x14ac:dyDescent="0.35">
      <c r="B26" s="55"/>
      <c r="D26" s="55"/>
      <c r="E26" s="2" t="s">
        <v>631</v>
      </c>
      <c r="F26" s="332"/>
      <c r="G26" s="332"/>
      <c r="H26" s="332"/>
      <c r="I26" s="332"/>
      <c r="J26" s="332"/>
      <c r="K26" s="332"/>
      <c r="L26" s="332"/>
      <c r="M26" s="332"/>
      <c r="N26" s="195">
        <v>4.5417540000000001</v>
      </c>
      <c r="O26" s="195">
        <v>20.40288</v>
      </c>
      <c r="P26" s="195">
        <v>3.9303279999999998</v>
      </c>
      <c r="Q26" s="195">
        <v>1.764</v>
      </c>
      <c r="R26" s="62">
        <f>SUMIFS($F26:$Q26,$F$7:$Q$7,"A")</f>
        <v>30.638961999999999</v>
      </c>
      <c r="S26" s="62">
        <f>SUMIFS($F26:$Q26,$F$7:$Q$7,"B")</f>
        <v>0</v>
      </c>
      <c r="T26" s="57">
        <f t="shared" si="2"/>
        <v>30.638961999999999</v>
      </c>
      <c r="U26" s="118">
        <f t="shared" si="0"/>
        <v>4.4192935237271018E-2</v>
      </c>
      <c r="V26" s="118" t="str">
        <f t="shared" si="0"/>
        <v/>
      </c>
      <c r="W26" s="118">
        <f t="shared" si="1"/>
        <v>4.4192935237271018E-2</v>
      </c>
      <c r="Z26" s="57">
        <f>'Điểm hòa vốn'!M44*12</f>
        <v>120</v>
      </c>
    </row>
    <row r="27" spans="2:26" ht="13.15" thickBot="1" x14ac:dyDescent="0.4">
      <c r="B27" s="55"/>
      <c r="D27" s="55"/>
      <c r="E27" s="2" t="s">
        <v>188</v>
      </c>
      <c r="F27" s="332"/>
      <c r="G27" s="332"/>
      <c r="H27" s="332"/>
      <c r="I27" s="332"/>
      <c r="J27" s="332"/>
      <c r="K27" s="332"/>
      <c r="L27" s="332"/>
      <c r="M27" s="332"/>
      <c r="N27" s="222">
        <v>0</v>
      </c>
      <c r="O27" s="222">
        <v>0</v>
      </c>
      <c r="P27" s="222">
        <v>0</v>
      </c>
      <c r="Q27" s="222">
        <v>0</v>
      </c>
      <c r="R27" s="62">
        <f t="shared" ref="R27:R35" si="3">SUMIFS($F27:$Q27,$F$7:$Q$7,"A")</f>
        <v>0</v>
      </c>
      <c r="S27" s="62">
        <f t="shared" ref="S27:S35" si="4">SUMIFS($F27:$Q27,$F$7:$Q$7,"B")</f>
        <v>0</v>
      </c>
      <c r="T27" s="57">
        <f t="shared" ref="T27:T35" si="5">SUM(R27:S27)</f>
        <v>0</v>
      </c>
      <c r="U27" s="118">
        <f t="shared" ref="U27:U35" si="6">IFERROR(R27/R$13,"")</f>
        <v>0</v>
      </c>
      <c r="V27" s="118" t="str">
        <f t="shared" ref="V27:V35" si="7">IFERROR(S27/S$13,"")</f>
        <v/>
      </c>
      <c r="W27" s="118">
        <f t="shared" ref="W27:W35" si="8">IFERROR(T27/T$13,"")</f>
        <v>0</v>
      </c>
      <c r="Z27" s="57">
        <f>'Điểm hòa vốn'!M45*12</f>
        <v>403.33333333333326</v>
      </c>
    </row>
    <row r="28" spans="2:26" x14ac:dyDescent="0.35">
      <c r="B28" s="89" t="s">
        <v>190</v>
      </c>
      <c r="C28" s="90"/>
      <c r="D28" s="90"/>
      <c r="E28" s="91"/>
      <c r="F28" s="333">
        <f t="shared" ref="F28:M28" si="9">SUM(F30:F30)</f>
        <v>0</v>
      </c>
      <c r="G28" s="333">
        <f t="shared" si="9"/>
        <v>0</v>
      </c>
      <c r="H28" s="333">
        <f t="shared" si="9"/>
        <v>0</v>
      </c>
      <c r="I28" s="333">
        <f t="shared" si="9"/>
        <v>0</v>
      </c>
      <c r="J28" s="333">
        <f t="shared" si="9"/>
        <v>0</v>
      </c>
      <c r="K28" s="333">
        <f t="shared" si="9"/>
        <v>0</v>
      </c>
      <c r="L28" s="333">
        <f t="shared" si="9"/>
        <v>0</v>
      </c>
      <c r="M28" s="333">
        <f t="shared" si="9"/>
        <v>0</v>
      </c>
      <c r="N28" s="92">
        <f>N13-SUM(N17:N27)</f>
        <v>104.54104600000001</v>
      </c>
      <c r="O28" s="92">
        <f>O13-SUM(O17:O27)</f>
        <v>60.072619000000003</v>
      </c>
      <c r="P28" s="92">
        <f>P13-SUM(P17:P27)</f>
        <v>40.661872999999986</v>
      </c>
      <c r="Q28" s="92">
        <f>Q13-SUM(Q17:Q27)</f>
        <v>5.2595000000000027</v>
      </c>
      <c r="R28" s="92">
        <f t="shared" si="3"/>
        <v>210.53503800000001</v>
      </c>
      <c r="S28" s="92">
        <f t="shared" si="4"/>
        <v>0</v>
      </c>
      <c r="T28" s="92">
        <f t="shared" si="5"/>
        <v>210.53503800000001</v>
      </c>
      <c r="U28" s="104">
        <f t="shared" si="6"/>
        <v>0.30367090437040239</v>
      </c>
      <c r="V28" s="104" t="str">
        <f t="shared" si="7"/>
        <v/>
      </c>
      <c r="W28" s="104">
        <f t="shared" si="8"/>
        <v>0.30367090437040239</v>
      </c>
      <c r="X28" s="92"/>
      <c r="Y28" s="92"/>
      <c r="Z28" s="92">
        <f>Z13-SUM(Z17:Z27)</f>
        <v>1400.9969901960785</v>
      </c>
    </row>
    <row r="29" spans="2:26" x14ac:dyDescent="0.35">
      <c r="B29" s="568" t="s">
        <v>45</v>
      </c>
      <c r="C29" s="6"/>
      <c r="D29" s="6"/>
      <c r="F29" s="578"/>
      <c r="G29" s="578"/>
      <c r="H29" s="578"/>
      <c r="I29" s="578"/>
      <c r="J29" s="578"/>
      <c r="K29" s="578"/>
      <c r="L29" s="578"/>
      <c r="M29" s="578"/>
      <c r="N29" s="85"/>
      <c r="O29" s="85"/>
      <c r="P29" s="85"/>
      <c r="Q29" s="85"/>
      <c r="R29" s="85">
        <f t="shared" si="3"/>
        <v>0</v>
      </c>
      <c r="S29" s="85">
        <f t="shared" si="4"/>
        <v>0</v>
      </c>
      <c r="T29" s="85">
        <f t="shared" si="5"/>
        <v>0</v>
      </c>
      <c r="U29" s="105">
        <f t="shared" si="6"/>
        <v>0</v>
      </c>
      <c r="V29" s="105" t="str">
        <f t="shared" si="7"/>
        <v/>
      </c>
      <c r="W29" s="105">
        <f t="shared" si="8"/>
        <v>0</v>
      </c>
      <c r="X29" s="85"/>
      <c r="Y29" s="85"/>
      <c r="Z29" s="85"/>
    </row>
    <row r="30" spans="2:26" x14ac:dyDescent="0.35">
      <c r="B30" s="2" t="s">
        <v>641</v>
      </c>
      <c r="F30" s="330"/>
      <c r="G30" s="330"/>
      <c r="H30" s="330"/>
      <c r="I30" s="330"/>
      <c r="J30" s="330"/>
      <c r="K30" s="330"/>
      <c r="L30" s="330"/>
      <c r="M30" s="330"/>
      <c r="N30" s="62">
        <f>33333333/(10^6)</f>
        <v>33.333333000000003</v>
      </c>
      <c r="O30" s="62">
        <f>33333333/(10^6)</f>
        <v>33.333333000000003</v>
      </c>
      <c r="P30" s="62">
        <f>33333333/(10^6)</f>
        <v>33.333333000000003</v>
      </c>
      <c r="Q30" s="57">
        <f>P30</f>
        <v>33.333333000000003</v>
      </c>
      <c r="R30" s="62">
        <f t="shared" si="3"/>
        <v>133.33333200000001</v>
      </c>
      <c r="S30" s="62">
        <f t="shared" si="4"/>
        <v>0</v>
      </c>
      <c r="T30" s="57">
        <f t="shared" si="5"/>
        <v>133.33333200000001</v>
      </c>
      <c r="U30" s="118">
        <f t="shared" si="6"/>
        <v>0.19231693639117264</v>
      </c>
      <c r="V30" s="118" t="str">
        <f t="shared" si="7"/>
        <v/>
      </c>
      <c r="W30" s="118">
        <f t="shared" si="8"/>
        <v>0.19231693639117264</v>
      </c>
      <c r="X30" s="97"/>
      <c r="Z30" s="57">
        <f>Q30*12</f>
        <v>399.99999600000001</v>
      </c>
    </row>
    <row r="31" spans="2:26" x14ac:dyDescent="0.35">
      <c r="B31" s="2" t="s">
        <v>195</v>
      </c>
      <c r="F31" s="330"/>
      <c r="G31" s="330"/>
      <c r="H31" s="330"/>
      <c r="I31" s="330"/>
      <c r="J31" s="330"/>
      <c r="K31" s="330"/>
      <c r="L31" s="330"/>
      <c r="M31" s="330"/>
      <c r="N31" s="62"/>
      <c r="O31" s="62"/>
      <c r="P31" s="62"/>
      <c r="Q31" s="57"/>
      <c r="R31" s="62">
        <f t="shared" si="3"/>
        <v>0</v>
      </c>
      <c r="S31" s="62">
        <f t="shared" si="4"/>
        <v>0</v>
      </c>
      <c r="T31" s="57">
        <f t="shared" si="5"/>
        <v>0</v>
      </c>
      <c r="U31" s="118">
        <f t="shared" si="6"/>
        <v>0</v>
      </c>
      <c r="V31" s="118" t="str">
        <f t="shared" si="7"/>
        <v/>
      </c>
      <c r="W31" s="118">
        <f t="shared" si="8"/>
        <v>0</v>
      </c>
      <c r="X31" s="97"/>
      <c r="Z31" s="57"/>
    </row>
    <row r="32" spans="2:26" x14ac:dyDescent="0.35">
      <c r="B32" s="2" t="s">
        <v>647</v>
      </c>
      <c r="F32" s="330"/>
      <c r="G32" s="330"/>
      <c r="H32" s="330"/>
      <c r="I32" s="330"/>
      <c r="J32" s="330"/>
      <c r="K32" s="330"/>
      <c r="L32" s="330"/>
      <c r="M32" s="330"/>
      <c r="N32" s="62"/>
      <c r="O32" s="62"/>
      <c r="P32" s="62"/>
      <c r="Q32" s="57"/>
      <c r="R32" s="62">
        <f t="shared" si="3"/>
        <v>0</v>
      </c>
      <c r="S32" s="62">
        <f t="shared" si="4"/>
        <v>0</v>
      </c>
      <c r="T32" s="57">
        <f t="shared" si="5"/>
        <v>0</v>
      </c>
      <c r="U32" s="118">
        <f t="shared" si="6"/>
        <v>0</v>
      </c>
      <c r="V32" s="118" t="str">
        <f t="shared" si="7"/>
        <v/>
      </c>
      <c r="W32" s="118">
        <f t="shared" si="8"/>
        <v>0</v>
      </c>
      <c r="X32" s="97"/>
      <c r="Z32" s="57"/>
    </row>
    <row r="33" spans="2:26" x14ac:dyDescent="0.35">
      <c r="B33" s="308" t="s">
        <v>216</v>
      </c>
      <c r="C33" s="66"/>
      <c r="D33" s="66"/>
      <c r="E33" s="66"/>
      <c r="F33" s="575">
        <f>F28-SUBTOTAL(9,F29:F32)</f>
        <v>0</v>
      </c>
      <c r="G33" s="575">
        <f t="shared" ref="G33:M33" si="10">G28-SUBTOTAL(9,G29:G32)</f>
        <v>0</v>
      </c>
      <c r="H33" s="575">
        <f t="shared" si="10"/>
        <v>0</v>
      </c>
      <c r="I33" s="575">
        <f t="shared" si="10"/>
        <v>0</v>
      </c>
      <c r="J33" s="575">
        <f t="shared" si="10"/>
        <v>0</v>
      </c>
      <c r="K33" s="575">
        <f t="shared" si="10"/>
        <v>0</v>
      </c>
      <c r="L33" s="575">
        <f t="shared" si="10"/>
        <v>0</v>
      </c>
      <c r="M33" s="575">
        <f t="shared" si="10"/>
        <v>0</v>
      </c>
      <c r="N33" s="116">
        <f t="shared" ref="N33" si="11">N28-SUBTOTAL(9,N29:N32)</f>
        <v>71.207713000000012</v>
      </c>
      <c r="O33" s="116">
        <f t="shared" ref="O33" si="12">O28-SUBTOTAL(9,O29:O32)</f>
        <v>26.739286</v>
      </c>
      <c r="P33" s="116">
        <f t="shared" ref="P33" si="13">P28-SUBTOTAL(9,P29:P32)</f>
        <v>7.3285399999999825</v>
      </c>
      <c r="Q33" s="116">
        <f t="shared" ref="Q33" si="14">Q28-SUBTOTAL(9,Q29:Q32)</f>
        <v>-28.073833</v>
      </c>
      <c r="R33" s="116">
        <f t="shared" si="3"/>
        <v>77.201705999999973</v>
      </c>
      <c r="S33" s="576">
        <f t="shared" si="4"/>
        <v>0</v>
      </c>
      <c r="T33" s="116">
        <f t="shared" si="5"/>
        <v>77.201705999999973</v>
      </c>
      <c r="U33" s="563">
        <f t="shared" si="6"/>
        <v>0.11135396797922972</v>
      </c>
      <c r="V33" s="563" t="str">
        <f t="shared" si="7"/>
        <v/>
      </c>
      <c r="W33" s="563">
        <f t="shared" si="8"/>
        <v>0.11135396797922972</v>
      </c>
      <c r="X33" s="577"/>
      <c r="Y33" s="66"/>
      <c r="Z33" s="229">
        <f>W33*Z13</f>
        <v>364.79559909995658</v>
      </c>
    </row>
    <row r="34" spans="2:26" ht="13.15" thickBot="1" x14ac:dyDescent="0.4">
      <c r="C34" s="2" t="s">
        <v>638</v>
      </c>
      <c r="D34" s="55"/>
      <c r="F34" s="59">
        <f>IF(F33&lt;0,0,F33*20%)</f>
        <v>0</v>
      </c>
      <c r="G34" s="59"/>
      <c r="H34" s="59"/>
      <c r="I34" s="59"/>
      <c r="J34" s="59"/>
      <c r="K34" s="59"/>
      <c r="L34" s="59"/>
      <c r="M34" s="59"/>
      <c r="N34" s="356">
        <f>IF(N33&lt;0,0,N33*20%)</f>
        <v>14.241542600000002</v>
      </c>
      <c r="O34" s="356">
        <f t="shared" ref="O34:Q34" si="15">IF(O33&lt;0,0,O33*20%)</f>
        <v>5.3478572</v>
      </c>
      <c r="P34" s="356">
        <f t="shared" si="15"/>
        <v>1.4657079999999967</v>
      </c>
      <c r="Q34" s="356">
        <f t="shared" si="15"/>
        <v>0</v>
      </c>
      <c r="R34" s="59">
        <f t="shared" si="3"/>
        <v>21.055107799999998</v>
      </c>
      <c r="S34" s="59">
        <f t="shared" si="4"/>
        <v>0</v>
      </c>
      <c r="T34" s="59">
        <f t="shared" si="5"/>
        <v>21.055107799999998</v>
      </c>
      <c r="U34" s="540">
        <f t="shared" si="6"/>
        <v>3.0369404009808157E-2</v>
      </c>
      <c r="V34" s="540" t="str">
        <f t="shared" si="7"/>
        <v/>
      </c>
      <c r="W34" s="540">
        <f t="shared" si="8"/>
        <v>3.0369404009808157E-2</v>
      </c>
      <c r="X34" s="105"/>
      <c r="Y34" s="105"/>
      <c r="Z34" s="57"/>
    </row>
    <row r="35" spans="2:26" outlineLevel="1" x14ac:dyDescent="0.35">
      <c r="B35" s="89" t="s">
        <v>194</v>
      </c>
      <c r="C35" s="90"/>
      <c r="D35" s="90"/>
      <c r="E35" s="91"/>
      <c r="F35" s="92">
        <f>F33-F34</f>
        <v>0</v>
      </c>
      <c r="G35" s="92">
        <f t="shared" ref="G35:Q35" si="16">G33-G34</f>
        <v>0</v>
      </c>
      <c r="H35" s="92">
        <f t="shared" si="16"/>
        <v>0</v>
      </c>
      <c r="I35" s="92">
        <f t="shared" si="16"/>
        <v>0</v>
      </c>
      <c r="J35" s="92">
        <f t="shared" si="16"/>
        <v>0</v>
      </c>
      <c r="K35" s="92">
        <f t="shared" si="16"/>
        <v>0</v>
      </c>
      <c r="L35" s="92">
        <f t="shared" si="16"/>
        <v>0</v>
      </c>
      <c r="M35" s="92">
        <f t="shared" si="16"/>
        <v>0</v>
      </c>
      <c r="N35" s="92">
        <f t="shared" si="16"/>
        <v>56.96617040000001</v>
      </c>
      <c r="O35" s="92">
        <f t="shared" si="16"/>
        <v>21.3914288</v>
      </c>
      <c r="P35" s="92">
        <f t="shared" si="16"/>
        <v>5.8628319999999858</v>
      </c>
      <c r="Q35" s="92">
        <f t="shared" si="16"/>
        <v>-28.073833</v>
      </c>
      <c r="R35" s="92">
        <f t="shared" si="3"/>
        <v>56.146598199999993</v>
      </c>
      <c r="S35" s="92">
        <f t="shared" si="4"/>
        <v>0</v>
      </c>
      <c r="T35" s="92">
        <f t="shared" si="5"/>
        <v>56.146598199999993</v>
      </c>
      <c r="U35" s="104">
        <f t="shared" si="6"/>
        <v>8.0984563969421594E-2</v>
      </c>
      <c r="V35" s="104" t="str">
        <f t="shared" si="7"/>
        <v/>
      </c>
      <c r="W35" s="104">
        <f t="shared" si="8"/>
        <v>8.0984563969421594E-2</v>
      </c>
      <c r="X35" s="92"/>
      <c r="Y35" s="92"/>
      <c r="Z35" s="95"/>
    </row>
    <row r="37" spans="2:26" x14ac:dyDescent="0.35">
      <c r="B37" s="6" t="s">
        <v>301</v>
      </c>
      <c r="N37" s="57">
        <v>273</v>
      </c>
      <c r="O37" s="57">
        <v>237</v>
      </c>
      <c r="P37" s="57">
        <v>206</v>
      </c>
      <c r="Q37" s="58">
        <v>100</v>
      </c>
      <c r="R37" s="62">
        <f>SUMIFS($F37:$Q37,$F$7:$Q$7,"A")</f>
        <v>816</v>
      </c>
      <c r="S37" s="62">
        <f>SUMIFS($F37:$Q37,$F$7:$Q$7,"B")</f>
        <v>0</v>
      </c>
      <c r="T37" s="57">
        <f>SUM(N37:Q37)</f>
        <v>816</v>
      </c>
      <c r="U37" s="57"/>
      <c r="V37" s="57"/>
      <c r="Z37" s="57">
        <f>Z39*Z38</f>
        <v>3276</v>
      </c>
    </row>
    <row r="38" spans="2:26" x14ac:dyDescent="0.35">
      <c r="B38" s="6" t="s">
        <v>438</v>
      </c>
      <c r="N38" s="58">
        <f>30*9*60/10</f>
        <v>1620</v>
      </c>
      <c r="O38" s="58">
        <f>30*9*60/10</f>
        <v>1620</v>
      </c>
      <c r="P38" s="58">
        <f>30*9*60/10</f>
        <v>1620</v>
      </c>
      <c r="Q38" s="58">
        <f>30*9*60/10</f>
        <v>1620</v>
      </c>
      <c r="R38" s="62">
        <f>SUMIFS($F38:$Q38,$F$7:$Q$7,"A")</f>
        <v>6480</v>
      </c>
      <c r="S38" s="62">
        <f>SUMIFS($F38:$Q38,$F$7:$Q$7,"B")</f>
        <v>0</v>
      </c>
      <c r="T38" s="58">
        <f>SUM(N38:Q38)</f>
        <v>6480</v>
      </c>
      <c r="U38" s="58"/>
      <c r="V38" s="58"/>
      <c r="Z38" s="62">
        <f>Q38*12</f>
        <v>19440</v>
      </c>
    </row>
    <row r="39" spans="2:26" x14ac:dyDescent="0.35">
      <c r="B39" s="6" t="s">
        <v>439</v>
      </c>
      <c r="N39" s="96">
        <f>N37/N38</f>
        <v>0.16851851851851851</v>
      </c>
      <c r="O39" s="96">
        <f>O37/O38</f>
        <v>0.14629629629629629</v>
      </c>
      <c r="P39" s="96">
        <f>P37/P38</f>
        <v>0.12716049382716049</v>
      </c>
      <c r="Q39" s="96">
        <f>Q37/Q38</f>
        <v>6.1728395061728392E-2</v>
      </c>
      <c r="R39" s="96">
        <f>R37/R38</f>
        <v>0.12592592592592591</v>
      </c>
      <c r="T39" s="96">
        <f>T37/T38</f>
        <v>0.12592592592592591</v>
      </c>
      <c r="U39" s="96"/>
      <c r="V39" s="96"/>
      <c r="Z39" s="97">
        <f>N39</f>
        <v>0.16851851851851851</v>
      </c>
    </row>
    <row r="40" spans="2:26" x14ac:dyDescent="0.35">
      <c r="B40" s="6" t="s">
        <v>444</v>
      </c>
      <c r="N40" s="62">
        <f>N13*10^6/N37</f>
        <v>851282.05128205125</v>
      </c>
      <c r="O40" s="62">
        <f>O13*10^6/O37</f>
        <v>853586.49789029534</v>
      </c>
      <c r="P40" s="62">
        <f>P13*10^6/P37</f>
        <v>847572.81553398061</v>
      </c>
      <c r="Q40" s="62">
        <f>Q13*10^6/Q37</f>
        <v>840000</v>
      </c>
      <c r="R40" s="62">
        <f>R13*10^6/R37</f>
        <v>849632.35294117662</v>
      </c>
      <c r="T40" s="62">
        <f>T13*10^6/T37</f>
        <v>849632.35294117662</v>
      </c>
      <c r="U40" s="62"/>
      <c r="V40" s="62"/>
      <c r="Z40" s="238">
        <f>'Điểm hòa vốn'!M84</f>
        <v>1000000</v>
      </c>
    </row>
    <row r="43" spans="2:26" hidden="1" x14ac:dyDescent="0.35">
      <c r="B43" s="2" t="s">
        <v>177</v>
      </c>
      <c r="Z43" s="62">
        <f>SUM('Điểm hòa vốn'!M59,'Điểm hòa vốn'!M68,'Điểm hòa vốn'!M72,'Điểm hòa vốn'!M76)*ThachThat!Z38/10^6</f>
        <v>7270.7315294117643</v>
      </c>
    </row>
    <row r="44" spans="2:26" hidden="1" x14ac:dyDescent="0.35">
      <c r="B44" s="2" t="s">
        <v>449</v>
      </c>
      <c r="Z44" s="62"/>
    </row>
    <row r="45" spans="2:26" hidden="1" x14ac:dyDescent="0.35">
      <c r="B45" s="2" t="s">
        <v>190</v>
      </c>
      <c r="Z45" s="85">
        <f>Z13-SUM(Z43:Z44)</f>
        <v>-3994.7315294117643</v>
      </c>
    </row>
    <row r="46" spans="2:26" hidden="1" x14ac:dyDescent="0.35"/>
    <row r="47" spans="2:26" hidden="1" x14ac:dyDescent="0.35">
      <c r="E47" s="2" t="s">
        <v>23</v>
      </c>
      <c r="N47" s="60">
        <f t="shared" ref="N47:R50" si="17">N17*10^6/N$37</f>
        <v>41308.42490842491</v>
      </c>
      <c r="O47" s="60">
        <f t="shared" si="17"/>
        <v>38183.548523206751</v>
      </c>
      <c r="P47" s="60">
        <f t="shared" si="17"/>
        <v>47416.5</v>
      </c>
      <c r="Q47" s="60">
        <f t="shared" si="17"/>
        <v>39615</v>
      </c>
      <c r="R47" s="60">
        <f t="shared" si="17"/>
        <v>41735.294117647056</v>
      </c>
      <c r="S47" s="60"/>
      <c r="T47" s="60">
        <f>T17*10^6/T$37</f>
        <v>41735.294117647056</v>
      </c>
      <c r="U47" s="60"/>
      <c r="V47" s="60"/>
    </row>
    <row r="48" spans="2:26" hidden="1" x14ac:dyDescent="0.35">
      <c r="E48" s="2" t="s">
        <v>179</v>
      </c>
      <c r="N48" s="60">
        <f t="shared" si="17"/>
        <v>0</v>
      </c>
      <c r="O48" s="60">
        <f t="shared" si="17"/>
        <v>0</v>
      </c>
      <c r="P48" s="60">
        <f t="shared" si="17"/>
        <v>0</v>
      </c>
      <c r="Q48" s="60">
        <f t="shared" si="17"/>
        <v>0</v>
      </c>
      <c r="R48" s="60">
        <f t="shared" si="17"/>
        <v>0</v>
      </c>
      <c r="S48" s="60"/>
      <c r="T48" s="60">
        <f>T18*10^6/T$37</f>
        <v>0</v>
      </c>
      <c r="U48" s="60"/>
      <c r="V48" s="60"/>
    </row>
    <row r="49" spans="5:22" hidden="1" x14ac:dyDescent="0.35">
      <c r="E49" s="2" t="s">
        <v>312</v>
      </c>
      <c r="N49" s="60">
        <f t="shared" si="17"/>
        <v>93772.893772893774</v>
      </c>
      <c r="O49" s="60">
        <f t="shared" si="17"/>
        <v>94514.767932489456</v>
      </c>
      <c r="P49" s="60">
        <f t="shared" si="17"/>
        <v>196359.22330097089</v>
      </c>
      <c r="Q49" s="60">
        <f t="shared" si="17"/>
        <v>145500</v>
      </c>
      <c r="R49" s="60">
        <f t="shared" si="17"/>
        <v>126225.49019607843</v>
      </c>
      <c r="S49" s="60"/>
      <c r="T49" s="60">
        <f>T19*10^6/T$37</f>
        <v>126225.49019607843</v>
      </c>
      <c r="U49" s="60"/>
      <c r="V49" s="60"/>
    </row>
    <row r="50" spans="5:22" hidden="1" x14ac:dyDescent="0.35">
      <c r="E50" s="2" t="s">
        <v>28</v>
      </c>
      <c r="N50" s="60">
        <f t="shared" si="17"/>
        <v>116263.73626373627</v>
      </c>
      <c r="O50" s="60">
        <f t="shared" si="17"/>
        <v>115000</v>
      </c>
      <c r="P50" s="60">
        <f t="shared" si="17"/>
        <v>115000</v>
      </c>
      <c r="Q50" s="60">
        <f t="shared" si="17"/>
        <v>118450</v>
      </c>
      <c r="R50" s="60">
        <f t="shared" si="17"/>
        <v>115845.58823529411</v>
      </c>
      <c r="S50" s="60"/>
      <c r="T50" s="60">
        <f>T20*10^6/T$37</f>
        <v>115845.58823529411</v>
      </c>
      <c r="U50" s="60"/>
      <c r="V50" s="60"/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06E20-20E4-445B-882F-C792C3512F4B}">
  <dimension ref="B3:Y65"/>
  <sheetViews>
    <sheetView zoomScale="130" zoomScaleNormal="130" workbookViewId="0">
      <pane xSplit="5" ySplit="9" topLeftCell="F22" activePane="bottomRight" state="frozen"/>
      <selection pane="topRight" activeCell="E1" sqref="E1"/>
      <selection pane="bottomLeft" activeCell="A4" sqref="A4"/>
      <selection pane="bottomRight" activeCell="H51" sqref="H51"/>
    </sheetView>
  </sheetViews>
  <sheetFormatPr defaultColWidth="9.1328125" defaultRowHeight="12.75" outlineLevelRow="1" x14ac:dyDescent="0.35"/>
  <cols>
    <col min="1" max="3" width="3.73046875" style="2" customWidth="1"/>
    <col min="4" max="4" width="3.86328125" style="2" customWidth="1"/>
    <col min="5" max="5" width="45.1328125" style="2" customWidth="1"/>
    <col min="6" max="6" width="12.265625" style="2" customWidth="1"/>
    <col min="7" max="8" width="9.1328125" style="2" customWidth="1"/>
    <col min="9" max="9" width="9" style="2" customWidth="1"/>
    <col min="10" max="17" width="9.1328125" style="2" customWidth="1"/>
    <col min="18" max="18" width="10.265625" style="2" bestFit="1" customWidth="1"/>
    <col min="19" max="19" width="12.1328125" style="2" customWidth="1"/>
    <col min="20" max="20" width="10.59765625" style="2" customWidth="1"/>
    <col min="21" max="21" width="18.59765625" style="2" customWidth="1"/>
    <col min="22" max="22" width="11.3984375" style="2" customWidth="1"/>
    <col min="23" max="23" width="12.86328125" style="2" customWidth="1"/>
    <col min="24" max="24" width="13.1328125" style="2" customWidth="1"/>
    <col min="25" max="16384" width="9.1328125" style="2"/>
  </cols>
  <sheetData>
    <row r="3" spans="2:25" x14ac:dyDescent="0.35">
      <c r="I3" s="60"/>
    </row>
    <row r="4" spans="2:25" x14ac:dyDescent="0.35">
      <c r="B4" s="2" t="s">
        <v>25</v>
      </c>
      <c r="I4" s="2">
        <f>10^6</f>
        <v>1000000</v>
      </c>
    </row>
    <row r="6" spans="2:25" x14ac:dyDescent="0.35">
      <c r="B6" s="27" t="s">
        <v>358</v>
      </c>
    </row>
    <row r="7" spans="2:25" s="6" customFormat="1" x14ac:dyDescent="0.35">
      <c r="B7" s="6" t="s">
        <v>359</v>
      </c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</row>
    <row r="8" spans="2:25" x14ac:dyDescent="0.35">
      <c r="B8" s="32" t="s">
        <v>212</v>
      </c>
      <c r="G8" s="32"/>
    </row>
    <row r="9" spans="2:25" ht="13.5" x14ac:dyDescent="0.35">
      <c r="B9" s="45" t="s">
        <v>101</v>
      </c>
      <c r="F9" s="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113"/>
      <c r="T9" s="114"/>
      <c r="U9" s="114"/>
      <c r="V9" s="32"/>
      <c r="W9" s="32"/>
      <c r="X9" s="6"/>
      <c r="Y9" s="73"/>
    </row>
    <row r="10" spans="2:25" ht="3" customHeight="1" x14ac:dyDescent="0.35">
      <c r="B10" s="27"/>
      <c r="D10" s="6"/>
      <c r="R10" s="58"/>
    </row>
    <row r="11" spans="2:25" x14ac:dyDescent="0.35">
      <c r="B11" s="27" t="s">
        <v>360</v>
      </c>
      <c r="D11" s="6"/>
      <c r="R11" s="58"/>
    </row>
    <row r="12" spans="2:25" x14ac:dyDescent="0.35">
      <c r="B12" s="27"/>
      <c r="C12" s="6" t="s">
        <v>361</v>
      </c>
      <c r="D12" s="6"/>
      <c r="F12" s="282">
        <f>15000000000/10^6</f>
        <v>15000</v>
      </c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</row>
    <row r="13" spans="2:25" x14ac:dyDescent="0.35">
      <c r="B13" s="27"/>
      <c r="C13" s="6" t="s">
        <v>362</v>
      </c>
      <c r="D13" s="6"/>
      <c r="F13" s="282">
        <v>13359.375077999999</v>
      </c>
      <c r="G13" s="225"/>
      <c r="H13" s="225"/>
      <c r="I13" s="225"/>
      <c r="J13" s="225"/>
      <c r="K13" s="225"/>
      <c r="L13" s="225"/>
      <c r="M13" s="225"/>
      <c r="N13" s="225"/>
      <c r="O13" s="225"/>
      <c r="P13" s="225"/>
      <c r="Q13" s="225"/>
      <c r="R13" s="225"/>
    </row>
    <row r="14" spans="2:25" x14ac:dyDescent="0.35">
      <c r="B14" s="27"/>
      <c r="D14" s="279" t="s">
        <v>363</v>
      </c>
      <c r="F14" s="281">
        <v>205.47531799999999</v>
      </c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</row>
    <row r="15" spans="2:25" x14ac:dyDescent="0.35">
      <c r="B15" s="27"/>
      <c r="D15" s="279" t="s">
        <v>364</v>
      </c>
      <c r="F15" s="281">
        <f>10890000000/(10^6)</f>
        <v>10890</v>
      </c>
      <c r="G15" s="225"/>
      <c r="H15" s="225"/>
      <c r="I15" s="225"/>
      <c r="J15" s="225"/>
      <c r="K15" s="225"/>
      <c r="L15" s="225"/>
      <c r="M15" s="225"/>
      <c r="N15" s="225"/>
      <c r="O15" s="225"/>
      <c r="P15" s="225"/>
      <c r="Q15" s="225"/>
      <c r="R15" s="225"/>
    </row>
    <row r="16" spans="2:25" x14ac:dyDescent="0.35">
      <c r="B16" s="27"/>
      <c r="D16" s="279" t="s">
        <v>365</v>
      </c>
      <c r="F16" s="281">
        <v>1736.086804</v>
      </c>
      <c r="G16" s="225"/>
      <c r="H16" s="225"/>
      <c r="I16" s="225"/>
      <c r="J16" s="225"/>
      <c r="K16" s="225"/>
      <c r="L16" s="225"/>
      <c r="M16" s="225"/>
      <c r="N16" s="225"/>
      <c r="O16" s="225"/>
      <c r="P16" s="225"/>
      <c r="Q16" s="225"/>
      <c r="R16" s="225"/>
    </row>
    <row r="17" spans="2:18" x14ac:dyDescent="0.35">
      <c r="B17" s="27"/>
      <c r="D17" s="279" t="s">
        <v>109</v>
      </c>
      <c r="F17" s="281">
        <f>288874265/(10^6)</f>
        <v>288.87426499999998</v>
      </c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5"/>
    </row>
    <row r="18" spans="2:18" x14ac:dyDescent="0.35">
      <c r="B18" s="27"/>
      <c r="D18" s="279" t="s">
        <v>401</v>
      </c>
      <c r="F18" s="281">
        <v>238.93869100000001</v>
      </c>
      <c r="G18" s="225"/>
      <c r="H18" s="225"/>
      <c r="I18" s="225"/>
      <c r="J18" s="225"/>
      <c r="K18" s="225"/>
      <c r="L18" s="225"/>
      <c r="M18" s="225"/>
      <c r="N18" s="225"/>
      <c r="O18" s="225"/>
      <c r="P18" s="225"/>
      <c r="Q18" s="225"/>
      <c r="R18" s="225"/>
    </row>
    <row r="19" spans="2:18" x14ac:dyDescent="0.35">
      <c r="B19" s="27"/>
      <c r="C19" s="280" t="s">
        <v>366</v>
      </c>
      <c r="D19" s="6"/>
      <c r="F19" s="282">
        <f>2400000000/(10^6)</f>
        <v>2400</v>
      </c>
      <c r="G19" s="225"/>
      <c r="H19" s="225"/>
      <c r="I19" s="225"/>
      <c r="J19" s="225"/>
      <c r="K19" s="225"/>
      <c r="L19" s="225"/>
      <c r="M19" s="225"/>
      <c r="N19" s="225"/>
      <c r="O19" s="225"/>
      <c r="P19" s="225"/>
      <c r="Q19" s="225"/>
      <c r="R19" s="225"/>
    </row>
    <row r="20" spans="2:18" x14ac:dyDescent="0.35">
      <c r="B20" s="27"/>
      <c r="C20" s="280"/>
      <c r="D20" s="6" t="s">
        <v>367</v>
      </c>
      <c r="F20" s="281">
        <v>2434.86</v>
      </c>
      <c r="G20" s="225"/>
      <c r="H20" s="225"/>
      <c r="I20" s="225"/>
      <c r="J20" s="225"/>
      <c r="K20" s="225"/>
      <c r="L20" s="225"/>
      <c r="M20" s="225"/>
      <c r="N20" s="225"/>
      <c r="O20" s="225"/>
      <c r="P20" s="225"/>
      <c r="Q20" s="225"/>
      <c r="R20" s="225"/>
    </row>
    <row r="21" spans="2:18" x14ac:dyDescent="0.35">
      <c r="B21" s="27"/>
      <c r="C21" s="291" t="s">
        <v>402</v>
      </c>
      <c r="D21" s="292"/>
      <c r="E21" s="293"/>
      <c r="F21" s="294">
        <f>G32-F15</f>
        <v>-6341.5118631064661</v>
      </c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5"/>
    </row>
    <row r="22" spans="2:18" x14ac:dyDescent="0.35">
      <c r="B22" s="27"/>
      <c r="C22" s="280" t="s">
        <v>400</v>
      </c>
      <c r="D22" s="279"/>
      <c r="F22" s="85">
        <f>F13-F19+F21</f>
        <v>4617.863214893533</v>
      </c>
      <c r="R22" s="58"/>
    </row>
    <row r="23" spans="2:18" x14ac:dyDescent="0.35">
      <c r="B23" s="27"/>
      <c r="D23" s="279"/>
      <c r="R23" s="58"/>
    </row>
    <row r="24" spans="2:18" x14ac:dyDescent="0.35">
      <c r="B24" s="27" t="s">
        <v>359</v>
      </c>
      <c r="D24" s="279"/>
      <c r="R24" s="58"/>
    </row>
    <row r="25" spans="2:18" x14ac:dyDescent="0.35">
      <c r="B25" s="27"/>
      <c r="C25" s="6" t="s">
        <v>361</v>
      </c>
      <c r="D25" s="279"/>
      <c r="F25" s="218">
        <v>23200</v>
      </c>
      <c r="R25" s="58"/>
    </row>
    <row r="26" spans="2:18" x14ac:dyDescent="0.35">
      <c r="B26" s="27"/>
      <c r="C26" s="6" t="s">
        <v>368</v>
      </c>
      <c r="D26" s="279"/>
      <c r="F26" s="218">
        <v>22490</v>
      </c>
      <c r="R26" s="58"/>
    </row>
    <row r="27" spans="2:18" x14ac:dyDescent="0.35">
      <c r="B27" s="27"/>
      <c r="D27" s="279" t="s">
        <v>369</v>
      </c>
      <c r="F27" s="57">
        <v>10890</v>
      </c>
      <c r="G27" s="201">
        <f>F27/$F$25</f>
        <v>0.46939655172413791</v>
      </c>
      <c r="H27" s="2" t="s">
        <v>372</v>
      </c>
      <c r="R27" s="58"/>
    </row>
    <row r="28" spans="2:18" x14ac:dyDescent="0.35">
      <c r="B28" s="27"/>
      <c r="D28" s="279" t="s">
        <v>370</v>
      </c>
      <c r="F28" s="57">
        <v>8120</v>
      </c>
      <c r="G28" s="201">
        <f>F28/$F$25</f>
        <v>0.35</v>
      </c>
      <c r="R28" s="58"/>
    </row>
    <row r="29" spans="2:18" x14ac:dyDescent="0.35">
      <c r="B29" s="27"/>
      <c r="D29" s="279" t="s">
        <v>371</v>
      </c>
      <c r="F29" s="57">
        <v>3480</v>
      </c>
      <c r="G29" s="201">
        <f>F29/$F$25</f>
        <v>0.15</v>
      </c>
      <c r="R29" s="58"/>
    </row>
    <row r="30" spans="2:18" x14ac:dyDescent="0.35">
      <c r="B30" s="27"/>
      <c r="C30" s="6" t="s">
        <v>373</v>
      </c>
      <c r="D30" s="279"/>
      <c r="F30" s="85">
        <v>44021.890481000002</v>
      </c>
      <c r="R30" s="58"/>
    </row>
    <row r="31" spans="2:18" x14ac:dyDescent="0.35">
      <c r="B31" s="27"/>
      <c r="C31" s="6" t="s">
        <v>374</v>
      </c>
      <c r="D31" s="279"/>
      <c r="F31" s="85">
        <v>34331.814744000003</v>
      </c>
      <c r="R31" s="58"/>
    </row>
    <row r="32" spans="2:18" x14ac:dyDescent="0.35">
      <c r="B32" s="27"/>
      <c r="C32" s="6" t="s">
        <v>399</v>
      </c>
      <c r="D32" s="279"/>
      <c r="F32" s="57">
        <f>F30-F31</f>
        <v>9690.0757369999992</v>
      </c>
      <c r="G32" s="84">
        <f>G27*F32</f>
        <v>4548.4881368935339</v>
      </c>
      <c r="R32" s="58"/>
    </row>
    <row r="33" spans="2:18" x14ac:dyDescent="0.35">
      <c r="B33" s="27"/>
      <c r="C33" s="6" t="s">
        <v>406</v>
      </c>
      <c r="D33" s="279"/>
      <c r="F33" s="85">
        <f>SUM(F34:F36)</f>
        <v>18961</v>
      </c>
      <c r="R33" s="58"/>
    </row>
    <row r="34" spans="2:18" x14ac:dyDescent="0.35">
      <c r="B34" s="27"/>
      <c r="D34" s="279" t="s">
        <v>375</v>
      </c>
      <c r="F34" s="57">
        <v>6991</v>
      </c>
      <c r="H34" s="2" t="s">
        <v>398</v>
      </c>
      <c r="R34" s="58"/>
    </row>
    <row r="35" spans="2:18" x14ac:dyDescent="0.35">
      <c r="B35" s="27"/>
      <c r="D35" s="279" t="s">
        <v>378</v>
      </c>
      <c r="F35" s="57">
        <v>10500</v>
      </c>
      <c r="R35" s="58"/>
    </row>
    <row r="36" spans="2:18" x14ac:dyDescent="0.35">
      <c r="B36" s="27"/>
      <c r="D36" s="279" t="s">
        <v>376</v>
      </c>
      <c r="F36" s="57">
        <f>200+1270</f>
        <v>1470</v>
      </c>
      <c r="R36" s="58"/>
    </row>
    <row r="37" spans="2:18" x14ac:dyDescent="0.35">
      <c r="B37" s="27"/>
      <c r="D37" s="279" t="s">
        <v>371</v>
      </c>
      <c r="F37" s="57">
        <v>370</v>
      </c>
      <c r="R37" s="58"/>
    </row>
    <row r="38" spans="2:18" x14ac:dyDescent="0.35">
      <c r="R38" s="58"/>
    </row>
    <row r="39" spans="2:18" x14ac:dyDescent="0.35">
      <c r="B39" s="27" t="s">
        <v>377</v>
      </c>
      <c r="D39" s="6"/>
      <c r="R39" s="58"/>
    </row>
    <row r="40" spans="2:18" x14ac:dyDescent="0.35">
      <c r="B40" s="27"/>
      <c r="C40" s="2" t="s">
        <v>403</v>
      </c>
      <c r="D40" s="6"/>
      <c r="F40" s="57">
        <f>F29</f>
        <v>3480</v>
      </c>
      <c r="R40" s="58"/>
    </row>
    <row r="41" spans="2:18" x14ac:dyDescent="0.35">
      <c r="B41" s="27"/>
      <c r="C41" s="2" t="s">
        <v>404</v>
      </c>
      <c r="D41" s="6"/>
      <c r="F41" s="57">
        <f>F37</f>
        <v>370</v>
      </c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</row>
    <row r="42" spans="2:18" x14ac:dyDescent="0.35">
      <c r="B42" s="27"/>
      <c r="C42" s="2" t="s">
        <v>405</v>
      </c>
      <c r="D42" s="6"/>
      <c r="F42" s="57">
        <f>F25-F26</f>
        <v>710</v>
      </c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</row>
    <row r="43" spans="2:18" x14ac:dyDescent="0.35">
      <c r="B43" s="27"/>
      <c r="D43" s="6"/>
      <c r="F43" s="85">
        <f>SUM(F40:F42)</f>
        <v>4560</v>
      </c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</row>
    <row r="44" spans="2:18" x14ac:dyDescent="0.35">
      <c r="B44" s="27"/>
      <c r="C44" s="2" t="s">
        <v>407</v>
      </c>
      <c r="F44" s="62">
        <f>600*6</f>
        <v>3600</v>
      </c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</row>
    <row r="45" spans="2:18" x14ac:dyDescent="0.35">
      <c r="B45" s="27"/>
      <c r="C45" s="2" t="s">
        <v>400</v>
      </c>
      <c r="D45" s="6"/>
      <c r="F45" s="57">
        <f>F22</f>
        <v>4617.863214893533</v>
      </c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</row>
    <row r="46" spans="2:18" x14ac:dyDescent="0.35">
      <c r="B46" s="6"/>
      <c r="R46" s="58"/>
    </row>
    <row r="47" spans="2:18" x14ac:dyDescent="0.35">
      <c r="B47" s="27"/>
      <c r="D47" s="224"/>
      <c r="E47" s="224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</row>
    <row r="48" spans="2:18" x14ac:dyDescent="0.35">
      <c r="B48" s="27"/>
      <c r="D48" s="224"/>
      <c r="E48" s="224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</row>
    <row r="49" spans="2:25" x14ac:dyDescent="0.35">
      <c r="B49" s="27"/>
      <c r="D49" s="224"/>
      <c r="E49" s="224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</row>
    <row r="50" spans="2:25" x14ac:dyDescent="0.35">
      <c r="B50" s="27"/>
      <c r="D50" s="6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</row>
    <row r="51" spans="2:25" x14ac:dyDescent="0.35">
      <c r="B51" s="27"/>
      <c r="D51" s="6"/>
      <c r="R51" s="58"/>
    </row>
    <row r="52" spans="2:25" outlineLevel="1" x14ac:dyDescent="0.35">
      <c r="F52" s="57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57"/>
      <c r="V52" s="96"/>
      <c r="W52" s="97"/>
      <c r="Y52" s="57"/>
    </row>
    <row r="53" spans="2:25" x14ac:dyDescent="0.35">
      <c r="B53" s="27"/>
      <c r="D53" s="55"/>
      <c r="F53" s="58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59"/>
      <c r="S53" s="59"/>
      <c r="T53" s="59"/>
      <c r="U53" s="59"/>
      <c r="V53" s="118"/>
      <c r="Y53" s="59"/>
    </row>
    <row r="54" spans="2:25" x14ac:dyDescent="0.35">
      <c r="B54" s="27"/>
      <c r="D54" s="55"/>
      <c r="F54" s="57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59"/>
      <c r="T54" s="59"/>
      <c r="U54" s="59"/>
      <c r="V54" s="118"/>
      <c r="Y54" s="59"/>
    </row>
    <row r="55" spans="2:25" x14ac:dyDescent="0.35">
      <c r="B55" s="27"/>
      <c r="D55" s="55"/>
      <c r="F55" s="57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59"/>
      <c r="T55" s="59"/>
      <c r="U55" s="59"/>
      <c r="V55" s="118"/>
      <c r="Y55" s="59"/>
    </row>
    <row r="56" spans="2:25" x14ac:dyDescent="0.35">
      <c r="C56" s="6"/>
      <c r="D56" s="6"/>
      <c r="F56" s="57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85"/>
      <c r="T56" s="85"/>
      <c r="U56" s="85"/>
      <c r="V56" s="85"/>
      <c r="W56" s="85"/>
      <c r="X56" s="85"/>
      <c r="Y56" s="85"/>
    </row>
    <row r="57" spans="2:25" x14ac:dyDescent="0.35">
      <c r="C57" s="6"/>
      <c r="D57" s="6"/>
      <c r="F57" s="57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85"/>
      <c r="T57" s="85"/>
      <c r="U57" s="85"/>
      <c r="V57" s="85"/>
      <c r="W57" s="85"/>
      <c r="X57" s="85"/>
      <c r="Y57" s="85"/>
    </row>
    <row r="58" spans="2:25" x14ac:dyDescent="0.35">
      <c r="F58" s="57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62"/>
      <c r="T58" s="62"/>
      <c r="U58" s="57"/>
      <c r="V58" s="96"/>
      <c r="W58" s="97"/>
      <c r="Y58" s="57"/>
    </row>
    <row r="59" spans="2:25" x14ac:dyDescent="0.35"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57"/>
      <c r="V59" s="96"/>
      <c r="W59" s="97"/>
      <c r="Y59" s="57"/>
    </row>
    <row r="60" spans="2:25" x14ac:dyDescent="0.35">
      <c r="F60" s="57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57"/>
      <c r="V60" s="96"/>
      <c r="W60" s="97"/>
      <c r="Y60" s="57"/>
    </row>
    <row r="61" spans="2:25" x14ac:dyDescent="0.35">
      <c r="F61" s="57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57"/>
      <c r="V61" s="96"/>
      <c r="W61" s="97"/>
      <c r="Y61" s="57"/>
    </row>
    <row r="62" spans="2:25" x14ac:dyDescent="0.35">
      <c r="F62" s="57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57"/>
      <c r="V62" s="96"/>
      <c r="W62" s="97"/>
      <c r="Y62" s="57"/>
    </row>
    <row r="63" spans="2:25" ht="13.15" thickBot="1" x14ac:dyDescent="0.4">
      <c r="C63" s="223" t="s">
        <v>308</v>
      </c>
      <c r="D63" s="100"/>
      <c r="E63" s="100"/>
      <c r="F63" s="227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62"/>
      <c r="T63" s="62"/>
      <c r="U63" s="57"/>
      <c r="V63" s="96"/>
      <c r="W63" s="97"/>
      <c r="Y63" s="57"/>
    </row>
    <row r="64" spans="2:25" x14ac:dyDescent="0.35">
      <c r="B64" s="89" t="s">
        <v>190</v>
      </c>
      <c r="C64" s="90"/>
      <c r="D64" s="90"/>
      <c r="E64" s="91"/>
      <c r="F64" s="228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104"/>
      <c r="W64" s="92"/>
      <c r="X64" s="92"/>
      <c r="Y64" s="92"/>
    </row>
    <row r="65" spans="2:25" x14ac:dyDescent="0.35">
      <c r="B65" s="27"/>
      <c r="D65" s="6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96"/>
      <c r="W65" s="57"/>
      <c r="X65" s="57"/>
      <c r="Y65" s="57"/>
    </row>
  </sheetData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751D1-A49C-482B-93A0-0F7BA2DA2A4C}">
  <dimension ref="B3:Y48"/>
  <sheetViews>
    <sheetView workbookViewId="0">
      <pane xSplit="5" ySplit="9" topLeftCell="F10" activePane="bottomRight" state="frozen"/>
      <selection activeCell="X38" sqref="X38"/>
      <selection pane="topRight" activeCell="X38" sqref="X38"/>
      <selection pane="bottomLeft" activeCell="X38" sqref="X38"/>
      <selection pane="bottomRight" activeCell="R14" sqref="R14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45.1328125" style="2" customWidth="1"/>
    <col min="6" max="7" width="9.1328125" style="2" customWidth="1" outlineLevel="1"/>
    <col min="8" max="8" width="9" style="2" customWidth="1" outlineLevel="1"/>
    <col min="9" max="14" width="9.1328125" style="2" customWidth="1" outlineLevel="1"/>
    <col min="15" max="16" width="9.73046875" style="2" bestFit="1" customWidth="1" outlineLevel="1"/>
    <col min="17" max="17" width="10.265625" style="2" bestFit="1" customWidth="1"/>
    <col min="18" max="18" width="12.265625" style="2" customWidth="1"/>
    <col min="19" max="19" width="10.59765625" style="2" customWidth="1"/>
    <col min="20" max="20" width="11.73046875" style="2" customWidth="1"/>
    <col min="21" max="21" width="7.73046875" style="2" customWidth="1"/>
    <col min="22" max="22" width="8.265625" style="2" customWidth="1"/>
    <col min="23" max="23" width="6.265625" style="2" customWidth="1"/>
    <col min="24" max="24" width="11" style="2" customWidth="1"/>
    <col min="25" max="16384" width="9.1328125" style="2"/>
  </cols>
  <sheetData>
    <row r="3" spans="2:25" x14ac:dyDescent="0.35">
      <c r="H3" s="60"/>
    </row>
    <row r="4" spans="2:25" x14ac:dyDescent="0.35">
      <c r="B4" s="2" t="s">
        <v>25</v>
      </c>
    </row>
    <row r="6" spans="2:25" x14ac:dyDescent="0.35">
      <c r="B6" s="27" t="s">
        <v>480</v>
      </c>
    </row>
    <row r="7" spans="2:25" s="6" customFormat="1" x14ac:dyDescent="0.35">
      <c r="B7" s="6" t="s">
        <v>270</v>
      </c>
      <c r="F7" s="74" t="s">
        <v>141</v>
      </c>
      <c r="G7" s="74" t="s">
        <v>141</v>
      </c>
      <c r="H7" s="74" t="s">
        <v>141</v>
      </c>
      <c r="I7" s="74" t="s">
        <v>141</v>
      </c>
      <c r="J7" s="74" t="s">
        <v>141</v>
      </c>
      <c r="K7" s="74" t="s">
        <v>141</v>
      </c>
      <c r="L7" s="74" t="s">
        <v>141</v>
      </c>
      <c r="M7" s="74" t="s">
        <v>141</v>
      </c>
      <c r="N7" s="74" t="s">
        <v>141</v>
      </c>
      <c r="O7" s="74" t="s">
        <v>141</v>
      </c>
      <c r="P7" s="74" t="s">
        <v>141</v>
      </c>
      <c r="Q7" s="74" t="s">
        <v>141</v>
      </c>
    </row>
    <row r="8" spans="2:25" x14ac:dyDescent="0.35">
      <c r="B8" s="32" t="s">
        <v>55</v>
      </c>
      <c r="F8" s="32" t="s">
        <v>52</v>
      </c>
      <c r="R8" s="381" t="s">
        <v>501</v>
      </c>
      <c r="S8" s="380"/>
      <c r="T8" s="380"/>
      <c r="U8" s="381" t="s">
        <v>487</v>
      </c>
      <c r="V8" s="380"/>
      <c r="W8" s="380"/>
      <c r="X8" s="381" t="s">
        <v>500</v>
      </c>
      <c r="Y8" s="380"/>
    </row>
    <row r="9" spans="2:25" ht="15" customHeight="1" x14ac:dyDescent="0.35">
      <c r="B9" s="45" t="s">
        <v>101</v>
      </c>
      <c r="F9" s="61">
        <v>1</v>
      </c>
      <c r="G9" s="61">
        <v>2</v>
      </c>
      <c r="H9" s="61">
        <v>3</v>
      </c>
      <c r="I9" s="61">
        <v>4</v>
      </c>
      <c r="J9" s="61">
        <v>5</v>
      </c>
      <c r="K9" s="61">
        <v>6</v>
      </c>
      <c r="L9" s="61">
        <v>7</v>
      </c>
      <c r="M9" s="61">
        <v>8</v>
      </c>
      <c r="N9" s="61">
        <v>9</v>
      </c>
      <c r="O9" s="61">
        <v>10</v>
      </c>
      <c r="P9" s="61">
        <v>11</v>
      </c>
      <c r="Q9" s="61">
        <v>12</v>
      </c>
      <c r="R9" s="114" t="s">
        <v>4</v>
      </c>
      <c r="S9" s="114" t="s">
        <v>5</v>
      </c>
      <c r="T9" s="114" t="s">
        <v>504</v>
      </c>
      <c r="U9" s="114" t="s">
        <v>484</v>
      </c>
      <c r="V9" s="113" t="s">
        <v>485</v>
      </c>
      <c r="W9" s="113" t="s">
        <v>486</v>
      </c>
      <c r="X9" s="113" t="s">
        <v>498</v>
      </c>
      <c r="Y9" s="113" t="s">
        <v>499</v>
      </c>
    </row>
    <row r="10" spans="2:25" x14ac:dyDescent="0.35">
      <c r="B10" s="27"/>
      <c r="D10" s="6"/>
      <c r="Q10" s="58"/>
    </row>
    <row r="11" spans="2:25" x14ac:dyDescent="0.35">
      <c r="B11" s="27" t="s">
        <v>300</v>
      </c>
      <c r="D11" s="6"/>
      <c r="Q11" s="58"/>
    </row>
    <row r="12" spans="2:25" x14ac:dyDescent="0.35">
      <c r="B12" s="27"/>
      <c r="D12" s="6"/>
      <c r="E12" s="2" t="s">
        <v>6</v>
      </c>
      <c r="F12" s="225"/>
      <c r="G12" s="225"/>
      <c r="H12" s="225"/>
      <c r="I12" s="225"/>
      <c r="J12" s="225"/>
      <c r="K12" s="225"/>
      <c r="L12" s="225"/>
      <c r="M12" s="225"/>
      <c r="N12" s="225"/>
      <c r="O12" s="57">
        <v>1813333.3333333333</v>
      </c>
      <c r="P12" s="57">
        <v>1522340.4255319149</v>
      </c>
      <c r="Q12" s="57">
        <v>1206881.7204301076</v>
      </c>
      <c r="R12" s="60">
        <f>R22*10^6/R14</f>
        <v>1361225.8064516129</v>
      </c>
      <c r="S12" s="60" t="e">
        <f t="shared" ref="S12:T12" si="0">S22*10^6/S14</f>
        <v>#DIV/0!</v>
      </c>
      <c r="T12" s="60">
        <f t="shared" si="0"/>
        <v>1361225.8064516129</v>
      </c>
    </row>
    <row r="13" spans="2:25" x14ac:dyDescent="0.35">
      <c r="B13" s="27" t="s">
        <v>301</v>
      </c>
      <c r="D13" s="6"/>
      <c r="Q13" s="58"/>
    </row>
    <row r="14" spans="2:25" x14ac:dyDescent="0.35">
      <c r="B14" s="27"/>
      <c r="D14" s="6"/>
      <c r="E14" s="2" t="s">
        <v>6</v>
      </c>
      <c r="O14" s="240">
        <v>15</v>
      </c>
      <c r="P14" s="84">
        <v>47</v>
      </c>
      <c r="Q14" s="58">
        <v>93</v>
      </c>
      <c r="R14" s="62">
        <f>SUMIFS($F14:$Q14,$F$7:$Q$7,"A")</f>
        <v>155</v>
      </c>
      <c r="S14" s="62">
        <f>SUMIFS($F14:$Q14,$F$7:$Q$7,"B")</f>
        <v>0</v>
      </c>
      <c r="T14" s="57">
        <f>SUM(R14:S14)</f>
        <v>155</v>
      </c>
    </row>
    <row r="15" spans="2:25" x14ac:dyDescent="0.35">
      <c r="B15" s="27" t="s">
        <v>314</v>
      </c>
      <c r="D15" s="6"/>
      <c r="Q15" s="58"/>
    </row>
    <row r="16" spans="2:25" x14ac:dyDescent="0.35">
      <c r="B16" s="27"/>
      <c r="D16" s="6"/>
      <c r="E16" s="2" t="s">
        <v>302</v>
      </c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</row>
    <row r="17" spans="2:24" x14ac:dyDescent="0.35">
      <c r="B17" s="27"/>
      <c r="D17" s="6"/>
      <c r="E17" s="2" t="s">
        <v>303</v>
      </c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</row>
    <row r="18" spans="2:24" x14ac:dyDescent="0.35">
      <c r="B18" s="27"/>
      <c r="D18" s="6"/>
      <c r="E18" s="2" t="s">
        <v>304</v>
      </c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</row>
    <row r="19" spans="2:24" x14ac:dyDescent="0.35">
      <c r="B19" s="27"/>
      <c r="D19" s="6"/>
      <c r="E19" s="2" t="s">
        <v>305</v>
      </c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</row>
    <row r="20" spans="2:24" x14ac:dyDescent="0.35">
      <c r="B20" s="27"/>
      <c r="D20" s="6"/>
      <c r="E20" s="2" t="s">
        <v>306</v>
      </c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</row>
    <row r="21" spans="2:24" x14ac:dyDescent="0.35">
      <c r="B21" s="27" t="s">
        <v>11</v>
      </c>
      <c r="D21" s="6"/>
      <c r="Q21" s="58"/>
    </row>
    <row r="22" spans="2:24" outlineLevel="1" x14ac:dyDescent="0.35">
      <c r="E22" s="2" t="s">
        <v>6</v>
      </c>
      <c r="F22" s="62">
        <f t="shared" ref="F22:N22" si="1">F12*F14</f>
        <v>0</v>
      </c>
      <c r="G22" s="62">
        <f t="shared" si="1"/>
        <v>0</v>
      </c>
      <c r="H22" s="62">
        <f t="shared" si="1"/>
        <v>0</v>
      </c>
      <c r="I22" s="62">
        <f t="shared" si="1"/>
        <v>0</v>
      </c>
      <c r="J22" s="62">
        <f t="shared" si="1"/>
        <v>0</v>
      </c>
      <c r="K22" s="62">
        <f t="shared" si="1"/>
        <v>0</v>
      </c>
      <c r="L22" s="62">
        <f t="shared" si="1"/>
        <v>0</v>
      </c>
      <c r="M22" s="62">
        <f t="shared" si="1"/>
        <v>0</v>
      </c>
      <c r="N22" s="62">
        <f t="shared" si="1"/>
        <v>0</v>
      </c>
      <c r="O22" s="62">
        <f>O12*O14/10^6</f>
        <v>27.2</v>
      </c>
      <c r="P22" s="62">
        <f>P12*P14/10^6</f>
        <v>71.55</v>
      </c>
      <c r="Q22" s="62">
        <f>Q12*Q14/10^6</f>
        <v>112.24</v>
      </c>
      <c r="R22" s="62">
        <f>SUMIFS($F22:$Q22,$F$7:$Q$7,"A")</f>
        <v>210.99</v>
      </c>
      <c r="S22" s="62">
        <f>SUMIFS($F22:$Q22,$F$7:$Q$7,"B")</f>
        <v>0</v>
      </c>
      <c r="T22" s="57">
        <f>SUM(R22:S22)</f>
        <v>210.99</v>
      </c>
      <c r="U22" s="96">
        <f>IFERROR(R22/R$22,"")</f>
        <v>1</v>
      </c>
      <c r="V22" s="96" t="str">
        <f t="shared" ref="V22:W37" si="2">IFERROR(S22/S$22,"")</f>
        <v/>
      </c>
      <c r="W22" s="96">
        <f t="shared" si="2"/>
        <v>1</v>
      </c>
      <c r="X22" s="57"/>
    </row>
    <row r="23" spans="2:24" outlineLevel="1" x14ac:dyDescent="0.35">
      <c r="C23" s="2" t="s">
        <v>511</v>
      </c>
      <c r="F23" s="62">
        <v>0</v>
      </c>
      <c r="G23" s="62">
        <v>0</v>
      </c>
      <c r="H23" s="62">
        <v>0</v>
      </c>
      <c r="I23" s="62">
        <v>0</v>
      </c>
      <c r="J23" s="62">
        <v>0</v>
      </c>
      <c r="K23" s="62">
        <v>0</v>
      </c>
      <c r="L23" s="62">
        <v>0</v>
      </c>
      <c r="M23" s="62">
        <v>0</v>
      </c>
      <c r="N23" s="62">
        <v>0</v>
      </c>
      <c r="O23" s="62">
        <v>0</v>
      </c>
      <c r="P23" s="62">
        <v>0</v>
      </c>
      <c r="Q23" s="62">
        <v>0</v>
      </c>
      <c r="R23" s="62">
        <f>SUMIFS($F23:$Q23,$F$7:$Q$7,"A")</f>
        <v>0</v>
      </c>
      <c r="S23" s="62">
        <f>SUMIFS($F23:$Q23,$F$7:$Q$7,"B")</f>
        <v>0</v>
      </c>
      <c r="T23" s="62">
        <f t="shared" ref="T23:T43" si="3">SUM(R23:S23)</f>
        <v>0</v>
      </c>
      <c r="U23" s="96">
        <f t="shared" ref="U23:U48" si="4">IFERROR(R23/R$22,"")</f>
        <v>0</v>
      </c>
      <c r="V23" s="96" t="str">
        <f t="shared" si="2"/>
        <v/>
      </c>
      <c r="W23" s="96">
        <f t="shared" si="2"/>
        <v>0</v>
      </c>
      <c r="X23" s="57"/>
    </row>
    <row r="24" spans="2:24" x14ac:dyDescent="0.35">
      <c r="B24" s="27" t="s">
        <v>307</v>
      </c>
      <c r="D24" s="55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59"/>
      <c r="R24" s="427">
        <f>SUMIFS($F24:$Q24,$F$7:$Q$7,"A")</f>
        <v>0</v>
      </c>
      <c r="S24" s="427">
        <f>SUMIFS($F24:$Q24,$F$7:$Q$7,"B")</f>
        <v>0</v>
      </c>
      <c r="T24" s="427">
        <f t="shared" si="3"/>
        <v>0</v>
      </c>
      <c r="U24" s="118">
        <f t="shared" si="4"/>
        <v>0</v>
      </c>
      <c r="V24" s="118" t="str">
        <f t="shared" si="2"/>
        <v/>
      </c>
      <c r="W24" s="118">
        <f t="shared" si="2"/>
        <v>0</v>
      </c>
      <c r="X24" s="59"/>
    </row>
    <row r="25" spans="2:24" x14ac:dyDescent="0.35">
      <c r="B25" s="27"/>
      <c r="C25" s="6" t="s">
        <v>177</v>
      </c>
      <c r="D25" s="55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59"/>
      <c r="R25" s="427"/>
      <c r="S25" s="427"/>
      <c r="T25" s="427"/>
      <c r="U25" s="118">
        <f t="shared" si="4"/>
        <v>0</v>
      </c>
      <c r="V25" s="118" t="str">
        <f t="shared" si="2"/>
        <v/>
      </c>
      <c r="W25" s="118">
        <f t="shared" si="2"/>
        <v>0</v>
      </c>
      <c r="X25" s="59"/>
    </row>
    <row r="26" spans="2:24" x14ac:dyDescent="0.35">
      <c r="B26" s="27"/>
      <c r="D26" s="55"/>
      <c r="E26" s="2" t="s">
        <v>23</v>
      </c>
      <c r="F26" s="195">
        <f t="shared" ref="F26:N26" si="5">F16*F$14/10^6</f>
        <v>0</v>
      </c>
      <c r="G26" s="195">
        <f t="shared" si="5"/>
        <v>0</v>
      </c>
      <c r="H26" s="195">
        <f t="shared" si="5"/>
        <v>0</v>
      </c>
      <c r="I26" s="195">
        <f t="shared" si="5"/>
        <v>0</v>
      </c>
      <c r="J26" s="195">
        <f t="shared" si="5"/>
        <v>0</v>
      </c>
      <c r="K26" s="195">
        <f t="shared" si="5"/>
        <v>0</v>
      </c>
      <c r="L26" s="195">
        <f t="shared" si="5"/>
        <v>0</v>
      </c>
      <c r="M26" s="195">
        <f t="shared" si="5"/>
        <v>0</v>
      </c>
      <c r="N26" s="195">
        <f t="shared" si="5"/>
        <v>0</v>
      </c>
      <c r="O26" s="195">
        <v>0</v>
      </c>
      <c r="P26" s="62">
        <f>5041900/(10^6)</f>
        <v>5.0419</v>
      </c>
      <c r="Q26" s="62">
        <f>6425400/(10^6)</f>
        <v>6.4253999999999998</v>
      </c>
      <c r="R26" s="350">
        <f t="shared" ref="R26:R31" si="6">SUMIFS($F26:$Q26,$F$7:$Q$7,"A")</f>
        <v>11.4673</v>
      </c>
      <c r="S26" s="62">
        <f t="shared" ref="S26:S31" si="7">SUMIFS($F26:$Q26,$F$7:$Q$7,"B")</f>
        <v>0</v>
      </c>
      <c r="T26" s="350">
        <f t="shared" si="3"/>
        <v>11.4673</v>
      </c>
      <c r="U26" s="118">
        <f t="shared" si="4"/>
        <v>5.4349969192852739E-2</v>
      </c>
      <c r="V26" s="118" t="str">
        <f t="shared" si="2"/>
        <v/>
      </c>
      <c r="W26" s="118">
        <f t="shared" si="2"/>
        <v>5.4349969192852739E-2</v>
      </c>
      <c r="X26" s="59"/>
    </row>
    <row r="27" spans="2:24" x14ac:dyDescent="0.35">
      <c r="E27" s="2" t="s">
        <v>28</v>
      </c>
      <c r="F27" s="195">
        <f t="shared" ref="F27:O27" si="8">F20*F$14/10^6</f>
        <v>0</v>
      </c>
      <c r="G27" s="195">
        <f t="shared" si="8"/>
        <v>0</v>
      </c>
      <c r="H27" s="195">
        <f t="shared" si="8"/>
        <v>0</v>
      </c>
      <c r="I27" s="195">
        <f t="shared" si="8"/>
        <v>0</v>
      </c>
      <c r="J27" s="195">
        <f t="shared" si="8"/>
        <v>0</v>
      </c>
      <c r="K27" s="195">
        <f t="shared" si="8"/>
        <v>0</v>
      </c>
      <c r="L27" s="195">
        <f t="shared" si="8"/>
        <v>0</v>
      </c>
      <c r="M27" s="195">
        <f t="shared" si="8"/>
        <v>0</v>
      </c>
      <c r="N27" s="195">
        <f t="shared" si="8"/>
        <v>0</v>
      </c>
      <c r="O27" s="195">
        <f t="shared" si="8"/>
        <v>0</v>
      </c>
      <c r="P27" s="305">
        <f>9085000/(10^6)</f>
        <v>9.0850000000000009</v>
      </c>
      <c r="Q27" s="305">
        <f>10925000/(10^6)</f>
        <v>10.925000000000001</v>
      </c>
      <c r="R27" s="62">
        <f t="shared" si="6"/>
        <v>20.010000000000002</v>
      </c>
      <c r="S27" s="62">
        <f t="shared" si="7"/>
        <v>0</v>
      </c>
      <c r="T27" s="62">
        <f>SUM(R27:S27)</f>
        <v>20.010000000000002</v>
      </c>
      <c r="U27" s="96">
        <f>IFERROR(R27/R$22,"")</f>
        <v>9.4838617943978396E-2</v>
      </c>
      <c r="V27" s="96" t="str">
        <f>IFERROR(S27/S$22,"")</f>
        <v/>
      </c>
      <c r="W27" s="96">
        <f>IFERROR(T27/T$22,"")</f>
        <v>9.4838617943978396E-2</v>
      </c>
      <c r="X27" s="57"/>
    </row>
    <row r="28" spans="2:24" x14ac:dyDescent="0.35">
      <c r="B28" s="27"/>
      <c r="D28" s="55"/>
      <c r="E28" s="2" t="s">
        <v>311</v>
      </c>
      <c r="F28" s="195">
        <f t="shared" ref="F28:N28" si="9">F17*F$14/10^6</f>
        <v>0</v>
      </c>
      <c r="G28" s="195">
        <f t="shared" si="9"/>
        <v>0</v>
      </c>
      <c r="H28" s="195">
        <f t="shared" si="9"/>
        <v>0</v>
      </c>
      <c r="I28" s="195">
        <f t="shared" si="9"/>
        <v>0</v>
      </c>
      <c r="J28" s="195">
        <f t="shared" si="9"/>
        <v>0</v>
      </c>
      <c r="K28" s="195">
        <f t="shared" si="9"/>
        <v>0</v>
      </c>
      <c r="L28" s="195">
        <f t="shared" si="9"/>
        <v>0</v>
      </c>
      <c r="M28" s="195">
        <f t="shared" si="9"/>
        <v>0</v>
      </c>
      <c r="N28" s="195">
        <f t="shared" si="9"/>
        <v>0</v>
      </c>
      <c r="O28" s="195">
        <f>O17*O$14/10^6</f>
        <v>0</v>
      </c>
      <c r="P28" s="195">
        <f>P17*P$14/10^6</f>
        <v>0</v>
      </c>
      <c r="Q28" s="195">
        <f>Q17*Q$14/10^6</f>
        <v>0</v>
      </c>
      <c r="R28" s="427">
        <f t="shared" si="6"/>
        <v>0</v>
      </c>
      <c r="S28" s="62">
        <f t="shared" si="7"/>
        <v>0</v>
      </c>
      <c r="T28" s="427">
        <f t="shared" si="3"/>
        <v>0</v>
      </c>
      <c r="U28" s="118">
        <f t="shared" si="4"/>
        <v>0</v>
      </c>
      <c r="V28" s="118" t="str">
        <f t="shared" si="2"/>
        <v/>
      </c>
      <c r="W28" s="118">
        <f t="shared" si="2"/>
        <v>0</v>
      </c>
      <c r="X28" s="59"/>
    </row>
    <row r="29" spans="2:24" x14ac:dyDescent="0.35">
      <c r="C29" s="6"/>
      <c r="D29" s="6"/>
      <c r="E29" s="2" t="s">
        <v>612</v>
      </c>
      <c r="F29" s="195">
        <f t="shared" ref="F29:N29" si="10">F19*F$14/10^6</f>
        <v>0</v>
      </c>
      <c r="G29" s="195">
        <f t="shared" si="10"/>
        <v>0</v>
      </c>
      <c r="H29" s="195">
        <f t="shared" si="10"/>
        <v>0</v>
      </c>
      <c r="I29" s="195">
        <f t="shared" si="10"/>
        <v>0</v>
      </c>
      <c r="J29" s="195">
        <f t="shared" si="10"/>
        <v>0</v>
      </c>
      <c r="K29" s="195">
        <f t="shared" si="10"/>
        <v>0</v>
      </c>
      <c r="L29" s="195">
        <f t="shared" si="10"/>
        <v>0</v>
      </c>
      <c r="M29" s="195">
        <f t="shared" si="10"/>
        <v>0</v>
      </c>
      <c r="N29" s="195">
        <f t="shared" si="10"/>
        <v>0</v>
      </c>
      <c r="O29" s="195">
        <v>0</v>
      </c>
      <c r="P29" s="305">
        <f>7630000/(10^6)</f>
        <v>7.63</v>
      </c>
      <c r="Q29" s="305">
        <f>10600000/(10^6)</f>
        <v>10.6</v>
      </c>
      <c r="R29" s="62">
        <f t="shared" si="6"/>
        <v>18.23</v>
      </c>
      <c r="S29" s="62">
        <f t="shared" si="7"/>
        <v>0</v>
      </c>
      <c r="T29" s="62">
        <f>SUM(R29:S29)</f>
        <v>18.23</v>
      </c>
      <c r="U29" s="423">
        <f>IFERROR(R29/R$22,"")</f>
        <v>8.640219915635812E-2</v>
      </c>
      <c r="V29" s="423" t="str">
        <f>IFERROR(S29/S$22,"")</f>
        <v/>
      </c>
      <c r="W29" s="423">
        <f>IFERROR(T29/T$22,"")</f>
        <v>8.640219915635812E-2</v>
      </c>
      <c r="X29" s="85"/>
    </row>
    <row r="30" spans="2:24" x14ac:dyDescent="0.35">
      <c r="C30" s="6"/>
      <c r="D30" s="6"/>
      <c r="E30" s="2" t="s">
        <v>642</v>
      </c>
      <c r="F30" s="195">
        <f t="shared" ref="F30:N30" si="11">F18*F$14/10^6</f>
        <v>0</v>
      </c>
      <c r="G30" s="195">
        <f t="shared" si="11"/>
        <v>0</v>
      </c>
      <c r="H30" s="195">
        <f t="shared" si="11"/>
        <v>0</v>
      </c>
      <c r="I30" s="195">
        <f t="shared" si="11"/>
        <v>0</v>
      </c>
      <c r="J30" s="195">
        <f t="shared" si="11"/>
        <v>0</v>
      </c>
      <c r="K30" s="195">
        <f t="shared" si="11"/>
        <v>0</v>
      </c>
      <c r="L30" s="195">
        <f t="shared" si="11"/>
        <v>0</v>
      </c>
      <c r="M30" s="195">
        <f t="shared" si="11"/>
        <v>0</v>
      </c>
      <c r="N30" s="195">
        <f t="shared" si="11"/>
        <v>0</v>
      </c>
      <c r="O30" s="195">
        <v>0</v>
      </c>
      <c r="P30" s="195">
        <v>0</v>
      </c>
      <c r="Q30" s="195">
        <v>0</v>
      </c>
      <c r="R30" s="218">
        <f t="shared" si="6"/>
        <v>0</v>
      </c>
      <c r="S30" s="62">
        <f t="shared" si="7"/>
        <v>0</v>
      </c>
      <c r="T30" s="218">
        <f t="shared" si="3"/>
        <v>0</v>
      </c>
      <c r="U30" s="423">
        <f t="shared" si="4"/>
        <v>0</v>
      </c>
      <c r="V30" s="423" t="str">
        <f t="shared" si="2"/>
        <v/>
      </c>
      <c r="W30" s="423">
        <f t="shared" si="2"/>
        <v>0</v>
      </c>
      <c r="X30" s="85"/>
    </row>
    <row r="31" spans="2:24" x14ac:dyDescent="0.35">
      <c r="E31" s="2" t="s">
        <v>183</v>
      </c>
      <c r="F31" s="195"/>
      <c r="G31" s="195"/>
      <c r="H31" s="195"/>
      <c r="I31" s="195"/>
      <c r="J31" s="195"/>
      <c r="K31" s="195"/>
      <c r="L31" s="195"/>
      <c r="M31" s="195"/>
      <c r="N31" s="195"/>
      <c r="O31" s="195">
        <v>0</v>
      </c>
      <c r="P31" s="305">
        <v>0</v>
      </c>
      <c r="Q31" s="305">
        <v>0</v>
      </c>
      <c r="R31" s="62">
        <f t="shared" si="6"/>
        <v>0</v>
      </c>
      <c r="S31" s="62">
        <f t="shared" si="7"/>
        <v>0</v>
      </c>
      <c r="T31" s="62">
        <f t="shared" ref="T31" si="12">SUM(R31:S31)</f>
        <v>0</v>
      </c>
      <c r="U31" s="96">
        <f t="shared" si="4"/>
        <v>0</v>
      </c>
      <c r="V31" s="96" t="str">
        <f t="shared" si="2"/>
        <v/>
      </c>
      <c r="W31" s="96">
        <f t="shared" si="2"/>
        <v>0</v>
      </c>
      <c r="X31" s="57"/>
    </row>
    <row r="32" spans="2:24" x14ac:dyDescent="0.35">
      <c r="C32" s="6" t="s">
        <v>181</v>
      </c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305"/>
      <c r="Q32" s="305"/>
      <c r="R32" s="62"/>
      <c r="S32" s="62"/>
      <c r="T32" s="62"/>
      <c r="U32" s="96">
        <f t="shared" si="4"/>
        <v>0</v>
      </c>
      <c r="V32" s="96" t="str">
        <f t="shared" si="2"/>
        <v/>
      </c>
      <c r="W32" s="96">
        <f t="shared" si="2"/>
        <v>0</v>
      </c>
      <c r="X32" s="57"/>
    </row>
    <row r="33" spans="2:25" x14ac:dyDescent="0.35">
      <c r="E33" s="2" t="s">
        <v>310</v>
      </c>
      <c r="F33" s="62">
        <v>0</v>
      </c>
      <c r="G33" s="62">
        <f>$F33</f>
        <v>0</v>
      </c>
      <c r="H33" s="62">
        <f t="shared" ref="H33:O37" si="13">$F33</f>
        <v>0</v>
      </c>
      <c r="I33" s="62">
        <f t="shared" si="13"/>
        <v>0</v>
      </c>
      <c r="J33" s="62">
        <f t="shared" si="13"/>
        <v>0</v>
      </c>
      <c r="K33" s="62">
        <f t="shared" si="13"/>
        <v>0</v>
      </c>
      <c r="L33" s="62">
        <f t="shared" si="13"/>
        <v>0</v>
      </c>
      <c r="M33" s="62">
        <f t="shared" si="13"/>
        <v>0</v>
      </c>
      <c r="N33" s="62">
        <f t="shared" si="13"/>
        <v>0</v>
      </c>
      <c r="O33" s="62">
        <f t="shared" si="13"/>
        <v>0</v>
      </c>
      <c r="P33" s="62">
        <f>67028000/(10^6)</f>
        <v>67.028000000000006</v>
      </c>
      <c r="Q33" s="62">
        <f>39021000/(10^6)</f>
        <v>39.021000000000001</v>
      </c>
      <c r="R33" s="62">
        <f>SUMIFS($F33:$Q33,$F$7:$Q$7,"A")</f>
        <v>106.04900000000001</v>
      </c>
      <c r="S33" s="62">
        <f>SUMIFS($F33:$Q33,$F$7:$Q$7,"B")</f>
        <v>0</v>
      </c>
      <c r="T33" s="62">
        <f t="shared" si="3"/>
        <v>106.04900000000001</v>
      </c>
      <c r="U33" s="96">
        <f t="shared" si="4"/>
        <v>0.5026257168586189</v>
      </c>
      <c r="V33" s="96" t="str">
        <f t="shared" si="2"/>
        <v/>
      </c>
      <c r="W33" s="96">
        <f t="shared" si="2"/>
        <v>0.5026257168586189</v>
      </c>
      <c r="X33" s="57"/>
    </row>
    <row r="34" spans="2:25" x14ac:dyDescent="0.35">
      <c r="E34" s="2" t="s">
        <v>408</v>
      </c>
      <c r="F34" s="62">
        <v>0</v>
      </c>
      <c r="G34" s="62">
        <f>$F34</f>
        <v>0</v>
      </c>
      <c r="H34" s="62">
        <f t="shared" si="13"/>
        <v>0</v>
      </c>
      <c r="I34" s="62">
        <f t="shared" si="13"/>
        <v>0</v>
      </c>
      <c r="J34" s="62">
        <f t="shared" si="13"/>
        <v>0</v>
      </c>
      <c r="K34" s="62">
        <f t="shared" si="13"/>
        <v>0</v>
      </c>
      <c r="L34" s="62">
        <f t="shared" si="13"/>
        <v>0</v>
      </c>
      <c r="M34" s="62">
        <f t="shared" si="13"/>
        <v>0</v>
      </c>
      <c r="N34" s="62">
        <f t="shared" si="13"/>
        <v>0</v>
      </c>
      <c r="O34" s="62">
        <f t="shared" si="13"/>
        <v>0</v>
      </c>
      <c r="P34" s="62">
        <f>22000000/(10^6)</f>
        <v>22</v>
      </c>
      <c r="Q34" s="62">
        <f>($F34)/(10^6)</f>
        <v>0</v>
      </c>
      <c r="R34" s="62">
        <f>SUMIFS($F34:$Q34,$F$7:$Q$7,"A")</f>
        <v>22</v>
      </c>
      <c r="S34" s="62">
        <f>SUMIFS($F34:$Q34,$F$7:$Q$7,"B")</f>
        <v>0</v>
      </c>
      <c r="T34" s="62">
        <f t="shared" si="3"/>
        <v>22</v>
      </c>
      <c r="U34" s="96">
        <f t="shared" si="4"/>
        <v>0.10427034456609317</v>
      </c>
      <c r="V34" s="96" t="str">
        <f t="shared" si="2"/>
        <v/>
      </c>
      <c r="W34" s="96">
        <f t="shared" si="2"/>
        <v>0.10427034456609317</v>
      </c>
      <c r="X34" s="57"/>
    </row>
    <row r="35" spans="2:25" x14ac:dyDescent="0.35">
      <c r="E35" s="2" t="s">
        <v>645</v>
      </c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96">
        <f t="shared" si="4"/>
        <v>0</v>
      </c>
      <c r="V35" s="96" t="str">
        <f t="shared" si="2"/>
        <v/>
      </c>
      <c r="W35" s="96">
        <f t="shared" si="2"/>
        <v>0</v>
      </c>
      <c r="X35" s="57"/>
    </row>
    <row r="36" spans="2:25" x14ac:dyDescent="0.35">
      <c r="E36" s="2" t="s">
        <v>631</v>
      </c>
      <c r="F36" s="62">
        <v>0</v>
      </c>
      <c r="G36" s="62">
        <f>$F36</f>
        <v>0</v>
      </c>
      <c r="H36" s="62">
        <f t="shared" si="13"/>
        <v>0</v>
      </c>
      <c r="I36" s="62">
        <f t="shared" si="13"/>
        <v>0</v>
      </c>
      <c r="J36" s="62">
        <f t="shared" si="13"/>
        <v>0</v>
      </c>
      <c r="K36" s="62">
        <f t="shared" si="13"/>
        <v>0</v>
      </c>
      <c r="L36" s="62">
        <f t="shared" si="13"/>
        <v>0</v>
      </c>
      <c r="M36" s="62">
        <f t="shared" si="13"/>
        <v>0</v>
      </c>
      <c r="N36" s="62">
        <f t="shared" si="13"/>
        <v>0</v>
      </c>
      <c r="O36" s="62">
        <f t="shared" si="13"/>
        <v>0</v>
      </c>
      <c r="P36" s="62">
        <f>17117111/(10^6)</f>
        <v>17.117111000000001</v>
      </c>
      <c r="Q36" s="62">
        <f>3102111/(10^6)</f>
        <v>3.1021109999999998</v>
      </c>
      <c r="R36" s="62">
        <f t="shared" ref="R36:R43" si="14">SUMIFS($F36:$Q36,$F$7:$Q$7,"A")</f>
        <v>20.219222000000002</v>
      </c>
      <c r="S36" s="62">
        <f t="shared" ref="S36:S43" si="15">SUMIFS($F36:$Q36,$F$7:$Q$7,"B")</f>
        <v>0</v>
      </c>
      <c r="T36" s="62">
        <f t="shared" si="3"/>
        <v>20.219222000000002</v>
      </c>
      <c r="U36" s="96">
        <f t="shared" si="4"/>
        <v>9.5830238399924175E-2</v>
      </c>
      <c r="V36" s="96" t="str">
        <f t="shared" si="2"/>
        <v/>
      </c>
      <c r="W36" s="96">
        <f t="shared" si="2"/>
        <v>9.5830238399924175E-2</v>
      </c>
      <c r="X36" s="57"/>
    </row>
    <row r="37" spans="2:25" x14ac:dyDescent="0.35">
      <c r="E37" s="2" t="s">
        <v>188</v>
      </c>
      <c r="F37" s="62">
        <v>0</v>
      </c>
      <c r="G37" s="62">
        <f>$F37</f>
        <v>0</v>
      </c>
      <c r="H37" s="62">
        <f t="shared" si="13"/>
        <v>0</v>
      </c>
      <c r="I37" s="62">
        <f t="shared" si="13"/>
        <v>0</v>
      </c>
      <c r="J37" s="62">
        <f t="shared" si="13"/>
        <v>0</v>
      </c>
      <c r="K37" s="62">
        <f t="shared" si="13"/>
        <v>0</v>
      </c>
      <c r="L37" s="62">
        <f t="shared" si="13"/>
        <v>0</v>
      </c>
      <c r="M37" s="62">
        <f t="shared" si="13"/>
        <v>0</v>
      </c>
      <c r="N37" s="62">
        <f t="shared" si="13"/>
        <v>0</v>
      </c>
      <c r="O37" s="62">
        <f t="shared" si="13"/>
        <v>0</v>
      </c>
      <c r="P37" s="62">
        <f>74350000/(10^6)</f>
        <v>74.349999999999994</v>
      </c>
      <c r="Q37" s="62">
        <f>1880000/(10^6)</f>
        <v>1.88</v>
      </c>
      <c r="R37" s="62">
        <f t="shared" si="14"/>
        <v>76.22999999999999</v>
      </c>
      <c r="S37" s="62">
        <f t="shared" si="15"/>
        <v>0</v>
      </c>
      <c r="T37" s="62">
        <f t="shared" si="3"/>
        <v>76.22999999999999</v>
      </c>
      <c r="U37" s="96">
        <f t="shared" si="4"/>
        <v>0.36129674392151279</v>
      </c>
      <c r="V37" s="96" t="str">
        <f t="shared" si="2"/>
        <v/>
      </c>
      <c r="W37" s="96">
        <f t="shared" si="2"/>
        <v>0.36129674392151279</v>
      </c>
      <c r="X37" s="57"/>
    </row>
    <row r="38" spans="2:25" ht="13.15" thickBot="1" x14ac:dyDescent="0.4">
      <c r="C38" s="223" t="s">
        <v>308</v>
      </c>
      <c r="D38" s="100"/>
      <c r="E38" s="100"/>
      <c r="F38" s="226">
        <f t="shared" ref="F38:Q38" si="16">SUM(F26:F37)</f>
        <v>0</v>
      </c>
      <c r="G38" s="226">
        <f t="shared" si="16"/>
        <v>0</v>
      </c>
      <c r="H38" s="226">
        <f t="shared" si="16"/>
        <v>0</v>
      </c>
      <c r="I38" s="226">
        <f t="shared" si="16"/>
        <v>0</v>
      </c>
      <c r="J38" s="226">
        <f t="shared" si="16"/>
        <v>0</v>
      </c>
      <c r="K38" s="226">
        <f t="shared" si="16"/>
        <v>0</v>
      </c>
      <c r="L38" s="226">
        <f t="shared" si="16"/>
        <v>0</v>
      </c>
      <c r="M38" s="226">
        <f t="shared" si="16"/>
        <v>0</v>
      </c>
      <c r="N38" s="226">
        <f t="shared" si="16"/>
        <v>0</v>
      </c>
      <c r="O38" s="226">
        <f t="shared" si="16"/>
        <v>0</v>
      </c>
      <c r="P38" s="226">
        <f t="shared" si="16"/>
        <v>202.25201100000001</v>
      </c>
      <c r="Q38" s="226">
        <f t="shared" si="16"/>
        <v>71.953510999999992</v>
      </c>
      <c r="R38" s="62">
        <f t="shared" si="14"/>
        <v>274.20552199999997</v>
      </c>
      <c r="S38" s="62">
        <f t="shared" si="15"/>
        <v>0</v>
      </c>
      <c r="T38" s="62">
        <f t="shared" si="3"/>
        <v>274.20552199999997</v>
      </c>
      <c r="U38" s="96">
        <f t="shared" si="4"/>
        <v>1.2996138300393383</v>
      </c>
      <c r="V38" s="96" t="str">
        <f t="shared" ref="V38:V48" si="17">IFERROR(S38/S$22,"")</f>
        <v/>
      </c>
      <c r="W38" s="96">
        <f t="shared" ref="W38:W48" si="18">IFERROR(T38/T$22,"")</f>
        <v>1.2996138300393383</v>
      </c>
      <c r="X38" s="57"/>
    </row>
    <row r="39" spans="2:25" x14ac:dyDescent="0.35">
      <c r="B39" s="89" t="s">
        <v>190</v>
      </c>
      <c r="C39" s="90"/>
      <c r="D39" s="90"/>
      <c r="E39" s="91"/>
      <c r="F39" s="92">
        <f t="shared" ref="F39:Q39" si="19">F22-F38</f>
        <v>0</v>
      </c>
      <c r="G39" s="92">
        <f t="shared" si="19"/>
        <v>0</v>
      </c>
      <c r="H39" s="92">
        <f t="shared" si="19"/>
        <v>0</v>
      </c>
      <c r="I39" s="92">
        <f t="shared" si="19"/>
        <v>0</v>
      </c>
      <c r="J39" s="92">
        <f t="shared" si="19"/>
        <v>0</v>
      </c>
      <c r="K39" s="92">
        <f t="shared" si="19"/>
        <v>0</v>
      </c>
      <c r="L39" s="92">
        <f t="shared" si="19"/>
        <v>0</v>
      </c>
      <c r="M39" s="92">
        <f t="shared" si="19"/>
        <v>0</v>
      </c>
      <c r="N39" s="92">
        <f t="shared" si="19"/>
        <v>0</v>
      </c>
      <c r="O39" s="92">
        <f t="shared" si="19"/>
        <v>27.2</v>
      </c>
      <c r="P39" s="92">
        <f t="shared" si="19"/>
        <v>-130.70201100000003</v>
      </c>
      <c r="Q39" s="92">
        <f t="shared" si="19"/>
        <v>40.286489000000003</v>
      </c>
      <c r="R39" s="428">
        <f t="shared" si="14"/>
        <v>-63.215522000000021</v>
      </c>
      <c r="S39" s="428">
        <f t="shared" si="15"/>
        <v>0</v>
      </c>
      <c r="T39" s="428">
        <f t="shared" si="3"/>
        <v>-63.215522000000021</v>
      </c>
      <c r="U39" s="104">
        <f t="shared" si="4"/>
        <v>-0.29961383003933845</v>
      </c>
      <c r="V39" s="104" t="str">
        <f t="shared" si="17"/>
        <v/>
      </c>
      <c r="W39" s="104">
        <f t="shared" si="18"/>
        <v>-0.29961383003933845</v>
      </c>
      <c r="X39" s="92"/>
    </row>
    <row r="40" spans="2:25" x14ac:dyDescent="0.35">
      <c r="C40" s="2" t="s">
        <v>481</v>
      </c>
      <c r="F40" s="62">
        <v>0</v>
      </c>
      <c r="G40" s="62">
        <v>0</v>
      </c>
      <c r="H40" s="62">
        <v>0</v>
      </c>
      <c r="I40" s="62">
        <v>0</v>
      </c>
      <c r="J40" s="62">
        <v>0</v>
      </c>
      <c r="K40" s="62">
        <v>0</v>
      </c>
      <c r="L40" s="62">
        <v>0</v>
      </c>
      <c r="M40" s="62">
        <v>0</v>
      </c>
      <c r="N40" s="62">
        <v>0</v>
      </c>
      <c r="O40" s="62">
        <f>57500000/(10^6)</f>
        <v>57.5</v>
      </c>
      <c r="P40" s="62">
        <f>$O$40</f>
        <v>57.5</v>
      </c>
      <c r="Q40" s="62">
        <f>$O$40</f>
        <v>57.5</v>
      </c>
      <c r="R40" s="60">
        <f t="shared" si="14"/>
        <v>172.5</v>
      </c>
      <c r="S40" s="60">
        <f t="shared" si="15"/>
        <v>0</v>
      </c>
      <c r="T40" s="60">
        <f t="shared" si="3"/>
        <v>172.5</v>
      </c>
      <c r="U40" s="201">
        <f t="shared" si="4"/>
        <v>0.8175742926205033</v>
      </c>
      <c r="V40" s="201" t="str">
        <f t="shared" si="17"/>
        <v/>
      </c>
      <c r="W40" s="201">
        <f t="shared" si="18"/>
        <v>0.8175742926205033</v>
      </c>
    </row>
    <row r="41" spans="2:25" x14ac:dyDescent="0.35">
      <c r="C41" s="2" t="s">
        <v>482</v>
      </c>
      <c r="F41" s="84"/>
      <c r="O41" s="62">
        <f>20781937/(10^6)</f>
        <v>20.781936999999999</v>
      </c>
      <c r="P41" s="62">
        <f>$O41</f>
        <v>20.781936999999999</v>
      </c>
      <c r="Q41" s="62">
        <f>$O41</f>
        <v>20.781936999999999</v>
      </c>
      <c r="R41" s="60">
        <f t="shared" si="14"/>
        <v>62.345810999999998</v>
      </c>
      <c r="S41" s="60">
        <f t="shared" si="15"/>
        <v>0</v>
      </c>
      <c r="T41" s="60">
        <f t="shared" si="3"/>
        <v>62.345810999999998</v>
      </c>
      <c r="U41" s="201">
        <f t="shared" si="4"/>
        <v>0.29549178160102374</v>
      </c>
      <c r="V41" s="201" t="str">
        <f t="shared" si="17"/>
        <v/>
      </c>
      <c r="W41" s="201">
        <f t="shared" si="18"/>
        <v>0.29549178160102374</v>
      </c>
    </row>
    <row r="42" spans="2:25" x14ac:dyDescent="0.35">
      <c r="C42" s="2" t="s">
        <v>461</v>
      </c>
      <c r="O42" s="62">
        <f>216215370/(10^6)</f>
        <v>216.21537000000001</v>
      </c>
      <c r="P42" s="62">
        <f>$O42</f>
        <v>216.21537000000001</v>
      </c>
      <c r="Q42" s="62">
        <f>207770744/(10^6)</f>
        <v>207.77074400000001</v>
      </c>
      <c r="R42" s="60">
        <f t="shared" si="14"/>
        <v>640.20148400000005</v>
      </c>
      <c r="S42" s="60">
        <f t="shared" si="15"/>
        <v>0</v>
      </c>
      <c r="T42" s="60">
        <f t="shared" si="3"/>
        <v>640.20148400000005</v>
      </c>
      <c r="U42" s="201">
        <f t="shared" si="4"/>
        <v>3.0342740603820086</v>
      </c>
      <c r="V42" s="201" t="str">
        <f t="shared" si="17"/>
        <v/>
      </c>
      <c r="W42" s="201">
        <f t="shared" si="18"/>
        <v>3.0342740603820086</v>
      </c>
    </row>
    <row r="43" spans="2:25" x14ac:dyDescent="0.35">
      <c r="B43" s="6" t="s">
        <v>483</v>
      </c>
      <c r="F43" s="337">
        <f>F39-SUBTOTAL(9,F40:F42)</f>
        <v>0</v>
      </c>
      <c r="G43" s="337">
        <f t="shared" ref="G43:Q43" si="20">G39-SUBTOTAL(9,G40:G42)</f>
        <v>0</v>
      </c>
      <c r="H43" s="337">
        <f t="shared" si="20"/>
        <v>0</v>
      </c>
      <c r="I43" s="337">
        <f t="shared" si="20"/>
        <v>0</v>
      </c>
      <c r="J43" s="337">
        <f t="shared" si="20"/>
        <v>0</v>
      </c>
      <c r="K43" s="337">
        <f t="shared" si="20"/>
        <v>0</v>
      </c>
      <c r="L43" s="337">
        <f t="shared" si="20"/>
        <v>0</v>
      </c>
      <c r="M43" s="337">
        <f t="shared" si="20"/>
        <v>0</v>
      </c>
      <c r="N43" s="337">
        <f t="shared" si="20"/>
        <v>0</v>
      </c>
      <c r="O43" s="337">
        <f t="shared" si="20"/>
        <v>-267.29730699999999</v>
      </c>
      <c r="P43" s="337">
        <f t="shared" si="20"/>
        <v>-425.19931800000001</v>
      </c>
      <c r="Q43" s="337">
        <f t="shared" si="20"/>
        <v>-245.76619199999999</v>
      </c>
      <c r="R43" s="429">
        <f t="shared" si="14"/>
        <v>-938.26281700000004</v>
      </c>
      <c r="S43" s="429">
        <f t="shared" si="15"/>
        <v>0</v>
      </c>
      <c r="T43" s="429">
        <f t="shared" si="3"/>
        <v>-938.26281700000004</v>
      </c>
      <c r="U43" s="201">
        <f t="shared" si="4"/>
        <v>-4.4469539646428737</v>
      </c>
      <c r="V43" s="201" t="str">
        <f t="shared" si="17"/>
        <v/>
      </c>
      <c r="W43" s="201">
        <f t="shared" si="18"/>
        <v>-4.4469539646428737</v>
      </c>
    </row>
    <row r="44" spans="2:25" x14ac:dyDescent="0.35">
      <c r="C44" s="2" t="s">
        <v>45</v>
      </c>
      <c r="R44" s="62">
        <f t="shared" ref="R44:R45" si="21">SUMIFS($F44:$Q44,$F$7:$Q$7,"A")</f>
        <v>0</v>
      </c>
      <c r="S44" s="62">
        <f t="shared" ref="S44:S45" si="22">SUMIFS($F44:$Q44,$F$7:$Q$7,"B")</f>
        <v>0</v>
      </c>
      <c r="T44" s="62">
        <f t="shared" ref="T44:T45" si="23">SUM(R44:S44)</f>
        <v>0</v>
      </c>
      <c r="U44" s="201">
        <f t="shared" ref="U44:U45" si="24">IFERROR(R44/R$22,"")</f>
        <v>0</v>
      </c>
      <c r="V44" s="201" t="str">
        <f t="shared" ref="V44:V45" si="25">IFERROR(S44/S$22,"")</f>
        <v/>
      </c>
      <c r="W44" s="201">
        <f t="shared" ref="W44:W45" si="26">IFERROR(T44/T$22,"")</f>
        <v>0</v>
      </c>
    </row>
    <row r="45" spans="2:25" x14ac:dyDescent="0.35">
      <c r="C45" s="2" t="s">
        <v>647</v>
      </c>
      <c r="R45" s="62">
        <f t="shared" si="21"/>
        <v>0</v>
      </c>
      <c r="S45" s="62">
        <f t="shared" si="22"/>
        <v>0</v>
      </c>
      <c r="T45" s="62">
        <f t="shared" si="23"/>
        <v>0</v>
      </c>
      <c r="U45" s="201">
        <f t="shared" si="24"/>
        <v>0</v>
      </c>
      <c r="V45" s="201" t="str">
        <f t="shared" si="25"/>
        <v/>
      </c>
      <c r="W45" s="201">
        <f t="shared" si="26"/>
        <v>0</v>
      </c>
    </row>
    <row r="46" spans="2:25" x14ac:dyDescent="0.35">
      <c r="B46" s="87" t="s">
        <v>216</v>
      </c>
      <c r="C46" s="70"/>
      <c r="D46" s="70"/>
      <c r="E46" s="70"/>
      <c r="F46" s="328">
        <f>F43-SUM(F44:F45)</f>
        <v>0</v>
      </c>
      <c r="G46" s="328">
        <f t="shared" ref="G46:Q46" si="27">G43-SUM(G44:G45)</f>
        <v>0</v>
      </c>
      <c r="H46" s="328">
        <f t="shared" si="27"/>
        <v>0</v>
      </c>
      <c r="I46" s="328">
        <f t="shared" si="27"/>
        <v>0</v>
      </c>
      <c r="J46" s="328">
        <f t="shared" si="27"/>
        <v>0</v>
      </c>
      <c r="K46" s="328">
        <f t="shared" si="27"/>
        <v>0</v>
      </c>
      <c r="L46" s="328">
        <f t="shared" si="27"/>
        <v>0</v>
      </c>
      <c r="M46" s="328">
        <f t="shared" si="27"/>
        <v>0</v>
      </c>
      <c r="N46" s="328">
        <f t="shared" si="27"/>
        <v>0</v>
      </c>
      <c r="O46" s="328">
        <f t="shared" si="27"/>
        <v>-267.29730699999999</v>
      </c>
      <c r="P46" s="328">
        <f t="shared" si="27"/>
        <v>-425.19931800000001</v>
      </c>
      <c r="Q46" s="328">
        <f t="shared" si="27"/>
        <v>-245.76619199999999</v>
      </c>
      <c r="R46" s="328">
        <f>SUMIFS($F46:$Q46,$F$7:$Q$7,"A")</f>
        <v>-938.26281700000004</v>
      </c>
      <c r="S46" s="328">
        <f>SUMIFS($F46:$Q46,$F$7:$Q$7,"B")</f>
        <v>0</v>
      </c>
      <c r="T46" s="328">
        <f>SUM(R46:S46)</f>
        <v>-938.26281700000004</v>
      </c>
      <c r="U46" s="101">
        <f t="shared" si="4"/>
        <v>-4.4469539646428737</v>
      </c>
      <c r="V46" s="101" t="str">
        <f t="shared" si="17"/>
        <v/>
      </c>
      <c r="W46" s="101">
        <f t="shared" si="18"/>
        <v>-4.4469539646428737</v>
      </c>
      <c r="X46" s="97"/>
    </row>
    <row r="47" spans="2:25" ht="13.15" thickBot="1" x14ac:dyDescent="0.4">
      <c r="C47" s="2" t="s">
        <v>193</v>
      </c>
      <c r="D47" s="55"/>
      <c r="F47" s="59">
        <f>IF(F46&lt;0,0,F46*20%)</f>
        <v>0</v>
      </c>
      <c r="G47" s="59">
        <f t="shared" ref="G47:Q47" si="28">IF(G46&lt;0,0,G46*20%)</f>
        <v>0</v>
      </c>
      <c r="H47" s="59">
        <f t="shared" si="28"/>
        <v>0</v>
      </c>
      <c r="I47" s="59">
        <f t="shared" si="28"/>
        <v>0</v>
      </c>
      <c r="J47" s="59">
        <f t="shared" si="28"/>
        <v>0</v>
      </c>
      <c r="K47" s="59">
        <f t="shared" si="28"/>
        <v>0</v>
      </c>
      <c r="L47" s="59">
        <f t="shared" si="28"/>
        <v>0</v>
      </c>
      <c r="M47" s="59">
        <f t="shared" si="28"/>
        <v>0</v>
      </c>
      <c r="N47" s="59">
        <f t="shared" si="28"/>
        <v>0</v>
      </c>
      <c r="O47" s="59">
        <f t="shared" si="28"/>
        <v>0</v>
      </c>
      <c r="P47" s="59">
        <f t="shared" si="28"/>
        <v>0</v>
      </c>
      <c r="Q47" s="59">
        <f t="shared" si="28"/>
        <v>0</v>
      </c>
      <c r="R47" s="59">
        <f t="shared" ref="R47:R48" si="29">SUMIFS($F47:$Q47,$F$7:$Q$7,"A")</f>
        <v>0</v>
      </c>
      <c r="S47" s="59">
        <f t="shared" ref="S47:S48" si="30">SUMIFS($F47:$Q47,$F$7:$Q$7,"B")</f>
        <v>0</v>
      </c>
      <c r="T47" s="59">
        <f t="shared" ref="T47:T48" si="31">SUM(R47:S47)</f>
        <v>0</v>
      </c>
      <c r="U47" s="105">
        <f t="shared" si="4"/>
        <v>0</v>
      </c>
      <c r="V47" s="105" t="str">
        <f t="shared" si="17"/>
        <v/>
      </c>
      <c r="W47" s="105">
        <f t="shared" si="18"/>
        <v>0</v>
      </c>
      <c r="X47" s="105"/>
      <c r="Y47" s="105"/>
    </row>
    <row r="48" spans="2:25" x14ac:dyDescent="0.35">
      <c r="B48" s="89" t="s">
        <v>194</v>
      </c>
      <c r="C48" s="90"/>
      <c r="D48" s="90"/>
      <c r="E48" s="91"/>
      <c r="F48" s="92">
        <f>F46-F47</f>
        <v>0</v>
      </c>
      <c r="G48" s="92">
        <f t="shared" ref="G48:Q48" si="32">G46-G47</f>
        <v>0</v>
      </c>
      <c r="H48" s="92">
        <f t="shared" si="32"/>
        <v>0</v>
      </c>
      <c r="I48" s="92">
        <f t="shared" si="32"/>
        <v>0</v>
      </c>
      <c r="J48" s="92">
        <f t="shared" si="32"/>
        <v>0</v>
      </c>
      <c r="K48" s="92">
        <f t="shared" si="32"/>
        <v>0</v>
      </c>
      <c r="L48" s="92">
        <f t="shared" si="32"/>
        <v>0</v>
      </c>
      <c r="M48" s="92">
        <f t="shared" si="32"/>
        <v>0</v>
      </c>
      <c r="N48" s="92">
        <f t="shared" si="32"/>
        <v>0</v>
      </c>
      <c r="O48" s="92">
        <f t="shared" si="32"/>
        <v>-267.29730699999999</v>
      </c>
      <c r="P48" s="92">
        <f t="shared" si="32"/>
        <v>-425.19931800000001</v>
      </c>
      <c r="Q48" s="92">
        <f t="shared" si="32"/>
        <v>-245.76619199999999</v>
      </c>
      <c r="R48" s="92">
        <f t="shared" si="29"/>
        <v>-938.26281700000004</v>
      </c>
      <c r="S48" s="92">
        <f t="shared" si="30"/>
        <v>0</v>
      </c>
      <c r="T48" s="92">
        <f t="shared" si="31"/>
        <v>-938.26281700000004</v>
      </c>
      <c r="U48" s="104">
        <f t="shared" si="4"/>
        <v>-4.4469539646428737</v>
      </c>
      <c r="V48" s="104" t="str">
        <f t="shared" si="17"/>
        <v/>
      </c>
      <c r="W48" s="104">
        <f t="shared" si="18"/>
        <v>-4.4469539646428737</v>
      </c>
      <c r="X48" s="92"/>
      <c r="Y48" s="92"/>
    </row>
  </sheetData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885F3-5AB5-4B4D-9020-DA22885BE279}">
  <dimension ref="B3:S22"/>
  <sheetViews>
    <sheetView workbookViewId="0">
      <pane xSplit="5" ySplit="9" topLeftCell="F10" activePane="bottomRight" state="frozen"/>
      <selection pane="topRight" activeCell="E1" sqref="E1"/>
      <selection pane="bottomLeft" activeCell="A4" sqref="A4"/>
      <selection pane="bottomRight" activeCell="F3" sqref="F3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45.1328125" style="2" customWidth="1"/>
    <col min="6" max="7" width="9.1328125" style="2" customWidth="1" outlineLevel="1"/>
    <col min="8" max="8" width="9" style="2" customWidth="1" outlineLevel="1"/>
    <col min="9" max="16" width="9.1328125" style="2" customWidth="1" outlineLevel="1"/>
    <col min="17" max="17" width="10.265625" style="2" bestFit="1" customWidth="1"/>
    <col min="18" max="18" width="12.1328125" style="2" customWidth="1"/>
    <col min="19" max="16384" width="9.1328125" style="2"/>
  </cols>
  <sheetData>
    <row r="3" spans="2:19" x14ac:dyDescent="0.35">
      <c r="H3" s="60"/>
    </row>
    <row r="4" spans="2:19" x14ac:dyDescent="0.35">
      <c r="B4" s="2" t="s">
        <v>25</v>
      </c>
    </row>
    <row r="6" spans="2:19" x14ac:dyDescent="0.35">
      <c r="B6" s="27" t="s">
        <v>271</v>
      </c>
    </row>
    <row r="7" spans="2:19" s="6" customFormat="1" x14ac:dyDescent="0.35">
      <c r="B7" s="6" t="s">
        <v>272</v>
      </c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3"/>
    </row>
    <row r="8" spans="2:19" x14ac:dyDescent="0.35">
      <c r="B8" s="32" t="s">
        <v>55</v>
      </c>
      <c r="F8" s="32" t="s">
        <v>52</v>
      </c>
    </row>
    <row r="9" spans="2:19" ht="13.5" x14ac:dyDescent="0.35">
      <c r="B9" s="45" t="s">
        <v>101</v>
      </c>
      <c r="F9" s="61">
        <v>1</v>
      </c>
      <c r="G9" s="61">
        <v>2</v>
      </c>
      <c r="H9" s="61">
        <v>3</v>
      </c>
      <c r="I9" s="61">
        <v>4</v>
      </c>
      <c r="J9" s="61">
        <v>5</v>
      </c>
      <c r="K9" s="61">
        <v>6</v>
      </c>
      <c r="L9" s="61">
        <v>7</v>
      </c>
      <c r="M9" s="61">
        <v>8</v>
      </c>
      <c r="N9" s="61">
        <v>9</v>
      </c>
      <c r="O9" s="61">
        <v>10</v>
      </c>
      <c r="P9" s="61">
        <v>11</v>
      </c>
      <c r="Q9" s="61">
        <v>12</v>
      </c>
      <c r="R9" s="113">
        <v>2025</v>
      </c>
      <c r="S9" s="113" t="s">
        <v>198</v>
      </c>
    </row>
    <row r="10" spans="2:19" ht="13.5" x14ac:dyDescent="0.35">
      <c r="B10" s="45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31"/>
      <c r="R10" s="113"/>
      <c r="S10" s="73"/>
    </row>
    <row r="11" spans="2:19" ht="13.5" x14ac:dyDescent="0.35">
      <c r="B11" s="45"/>
      <c r="C11" s="6" t="s">
        <v>287</v>
      </c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31"/>
      <c r="R11" s="113"/>
      <c r="S11" s="73"/>
    </row>
    <row r="12" spans="2:19" ht="13.5" x14ac:dyDescent="0.35">
      <c r="B12" s="45">
        <v>1</v>
      </c>
      <c r="C12" s="2" t="s">
        <v>156</v>
      </c>
      <c r="F12" s="62">
        <f>42722528.2296818/(10^6)</f>
        <v>42.722528229681799</v>
      </c>
      <c r="G12" s="62">
        <f>58776609.9533265/(10^6)</f>
        <v>58.776609953326499</v>
      </c>
      <c r="H12" s="62">
        <f>72122953.3958033/(10^6)</f>
        <v>72.122953395803307</v>
      </c>
      <c r="I12" s="62">
        <f>87940299.5453729/(10^6)</f>
        <v>87.940299545372909</v>
      </c>
      <c r="J12" s="62">
        <f>88518957.2458856/(10^6)</f>
        <v>88.518957245885602</v>
      </c>
      <c r="K12" s="62">
        <f>77221032.9897222/(10^6)</f>
        <v>77.221032989722204</v>
      </c>
      <c r="L12" s="62">
        <f>72486521.47/(10^6)</f>
        <v>72.48652147</v>
      </c>
      <c r="M12" s="62">
        <f>64104275.723826/(10^6)</f>
        <v>64.104275723825992</v>
      </c>
      <c r="N12" s="62">
        <f>53710197/(10^6)</f>
        <v>53.710197000000001</v>
      </c>
      <c r="O12" s="303">
        <v>64.835976000000002</v>
      </c>
      <c r="P12" s="303">
        <v>58.180746103333334</v>
      </c>
      <c r="Q12" s="303">
        <v>71.779031503333343</v>
      </c>
      <c r="R12" s="218">
        <f>SUM(F12:Q12)</f>
        <v>812.39912916028504</v>
      </c>
      <c r="S12" s="85">
        <f>R12</f>
        <v>812.39912916028504</v>
      </c>
    </row>
    <row r="13" spans="2:19" ht="13.5" x14ac:dyDescent="0.35">
      <c r="B13" s="45">
        <v>2</v>
      </c>
      <c r="C13" s="2" t="s">
        <v>288</v>
      </c>
      <c r="F13" s="62">
        <f>32400000/(10^6)</f>
        <v>32.4</v>
      </c>
      <c r="G13" s="62">
        <f>43167800/(10^6)</f>
        <v>43.1678</v>
      </c>
      <c r="H13" s="62">
        <f>64121400/(10^6)</f>
        <v>64.121399999999994</v>
      </c>
      <c r="I13" s="62">
        <f>44171400/(10^6)</f>
        <v>44.171399999999998</v>
      </c>
      <c r="J13" s="62">
        <f>35771400/(10^6)</f>
        <v>35.7714</v>
      </c>
      <c r="K13" s="62">
        <f>35071400/(10^6)</f>
        <v>35.071399999999997</v>
      </c>
      <c r="L13" s="62">
        <f>22121400/(10^6)</f>
        <v>22.121400000000001</v>
      </c>
      <c r="M13" s="62">
        <f>25096400/(10^6)</f>
        <v>25.096399999999999</v>
      </c>
      <c r="N13" s="62">
        <f>34021400/(10^6)</f>
        <v>34.0214</v>
      </c>
      <c r="O13" s="303">
        <v>28.946400000000001</v>
      </c>
      <c r="P13" s="303">
        <v>14.4564</v>
      </c>
      <c r="Q13" s="303">
        <v>29.821399999999997</v>
      </c>
      <c r="R13" s="218">
        <f t="shared" ref="R13:R18" si="0">SUM(F13:Q13)</f>
        <v>409.16679999999991</v>
      </c>
      <c r="S13" s="85">
        <f t="shared" ref="S13:S18" si="1">R13</f>
        <v>409.16679999999991</v>
      </c>
    </row>
    <row r="14" spans="2:19" ht="13.5" x14ac:dyDescent="0.35">
      <c r="B14" s="45">
        <v>3</v>
      </c>
      <c r="C14" s="2" t="s">
        <v>289</v>
      </c>
      <c r="F14" s="62">
        <f>47982670/(10^6)</f>
        <v>47.982669999999999</v>
      </c>
      <c r="G14" s="62">
        <f>50359050/(10^6)</f>
        <v>50.359050000000003</v>
      </c>
      <c r="H14" s="62">
        <f>56033050/(10^6)</f>
        <v>56.033050000000003</v>
      </c>
      <c r="I14" s="62">
        <f>73004780/(10^6)</f>
        <v>73.004779999999997</v>
      </c>
      <c r="J14" s="62">
        <f>55026920/(10^6)</f>
        <v>55.026919999999997</v>
      </c>
      <c r="K14" s="62">
        <f>16943660/(10^6)</f>
        <v>16.943660000000001</v>
      </c>
      <c r="L14" s="62">
        <f>13737830/(10^6)</f>
        <v>13.737830000000001</v>
      </c>
      <c r="M14" s="62">
        <f>20086280/(10^6)</f>
        <v>20.086279999999999</v>
      </c>
      <c r="N14" s="62">
        <f>13756490/(10^6)</f>
        <v>13.756489999999999</v>
      </c>
      <c r="O14" s="303">
        <v>9.0432799999999993</v>
      </c>
      <c r="P14" s="303">
        <v>34.0214</v>
      </c>
      <c r="Q14" s="303">
        <v>2.9413499999999999</v>
      </c>
      <c r="R14" s="218">
        <f t="shared" si="0"/>
        <v>392.93675999999999</v>
      </c>
      <c r="S14" s="85">
        <f t="shared" si="1"/>
        <v>392.93675999999999</v>
      </c>
    </row>
    <row r="15" spans="2:19" ht="13.5" x14ac:dyDescent="0.35">
      <c r="B15" s="45">
        <v>4</v>
      </c>
      <c r="C15" s="2" t="s">
        <v>290</v>
      </c>
      <c r="F15" s="62">
        <f>6780000/(10^6)</f>
        <v>6.78</v>
      </c>
      <c r="G15" s="62">
        <f>8640000/(10^6)</f>
        <v>8.64</v>
      </c>
      <c r="H15" s="62">
        <f>14028000/(10^6)</f>
        <v>14.028</v>
      </c>
      <c r="I15" s="62">
        <f>11772000/(10^6)</f>
        <v>11.772</v>
      </c>
      <c r="J15" s="62">
        <f>14748000/(10^6)</f>
        <v>14.747999999999999</v>
      </c>
      <c r="K15" s="62">
        <f>20616000/(10^6)</f>
        <v>20.616</v>
      </c>
      <c r="L15" s="62">
        <f>15444000/(10^6)</f>
        <v>15.444000000000001</v>
      </c>
      <c r="M15" s="62">
        <f>18084000/(10^6)</f>
        <v>18.084</v>
      </c>
      <c r="N15" s="62">
        <f>42756000/(10^6)</f>
        <v>42.756</v>
      </c>
      <c r="O15" s="303">
        <v>17.352</v>
      </c>
      <c r="P15" s="303">
        <v>4.4039999999999999</v>
      </c>
      <c r="Q15" s="303">
        <v>13.523999999999999</v>
      </c>
      <c r="R15" s="218">
        <f t="shared" si="0"/>
        <v>188.148</v>
      </c>
      <c r="S15" s="85">
        <f t="shared" si="1"/>
        <v>188.148</v>
      </c>
    </row>
    <row r="16" spans="2:19" ht="13.5" x14ac:dyDescent="0.35">
      <c r="B16" s="45">
        <v>5</v>
      </c>
      <c r="C16" s="2" t="s">
        <v>291</v>
      </c>
      <c r="F16" s="62">
        <f>61303952.8236172/(10^6)</f>
        <v>61.303952823617195</v>
      </c>
      <c r="G16" s="62">
        <f>82716717.5145686/(10^6)</f>
        <v>82.7167175145686</v>
      </c>
      <c r="H16" s="62">
        <f>90003990.936899/(10^6)</f>
        <v>90.003990936899001</v>
      </c>
      <c r="I16" s="62">
        <f>56805870.9622676/(10^6)</f>
        <v>56.805870962267598</v>
      </c>
      <c r="J16" s="62">
        <f>57979614.9363056/(10^6)</f>
        <v>57.979614936305595</v>
      </c>
      <c r="K16" s="62">
        <f>61763998.1544707/(10^6)</f>
        <v>61.763998154470698</v>
      </c>
      <c r="L16" s="62">
        <f>87476057/(10^6)</f>
        <v>87.476056999999997</v>
      </c>
      <c r="M16" s="62">
        <f>57581059.944/(10^6)</f>
        <v>57.581059943999996</v>
      </c>
      <c r="N16" s="62">
        <f>41527160.9219441/(10^6)</f>
        <v>41.527160921944095</v>
      </c>
      <c r="O16" s="303">
        <v>42.216956477647514</v>
      </c>
      <c r="P16" s="303">
        <v>59.637856984963527</v>
      </c>
      <c r="Q16" s="303">
        <v>62.932139049332825</v>
      </c>
      <c r="R16" s="218">
        <f t="shared" si="0"/>
        <v>761.94537570601653</v>
      </c>
      <c r="S16" s="85">
        <f t="shared" si="1"/>
        <v>761.94537570601653</v>
      </c>
    </row>
    <row r="17" spans="2:19" ht="13.5" x14ac:dyDescent="0.35">
      <c r="B17" s="45">
        <v>6</v>
      </c>
      <c r="C17" s="2" t="s">
        <v>292</v>
      </c>
      <c r="F17" s="62">
        <f>-1962000/(10^6)</f>
        <v>-1.962</v>
      </c>
      <c r="G17" s="62">
        <f>-3666000/(10^6)</f>
        <v>-3.6659999999999999</v>
      </c>
      <c r="H17" s="62">
        <f>9373000/(10^6)</f>
        <v>9.3729999999999993</v>
      </c>
      <c r="I17" s="62">
        <f>5154000/(10^6)</f>
        <v>5.1539999999999999</v>
      </c>
      <c r="J17" s="62">
        <f>11121000/(10^6)</f>
        <v>11.121</v>
      </c>
      <c r="K17" s="62">
        <f>2054000/(10^6)</f>
        <v>2.0539999999999998</v>
      </c>
      <c r="L17" s="62">
        <f>4160000/(10^6)</f>
        <v>4.16</v>
      </c>
      <c r="M17" s="62">
        <f>11160000/(10^6)</f>
        <v>11.16</v>
      </c>
      <c r="N17" s="62">
        <f>2896000/(10^6)</f>
        <v>2.8959999999999999</v>
      </c>
      <c r="O17" s="303">
        <v>6.71</v>
      </c>
      <c r="P17" s="303">
        <v>5.1680000000000001</v>
      </c>
      <c r="Q17" s="303">
        <v>2.86</v>
      </c>
      <c r="R17" s="218">
        <f t="shared" si="0"/>
        <v>55.027999999999999</v>
      </c>
      <c r="S17" s="85">
        <f t="shared" si="1"/>
        <v>55.027999999999999</v>
      </c>
    </row>
    <row r="18" spans="2:19" ht="13.5" x14ac:dyDescent="0.35">
      <c r="B18" s="45">
        <v>7</v>
      </c>
      <c r="C18" s="217" t="s">
        <v>293</v>
      </c>
      <c r="F18" s="62">
        <f>54535339/(10^6)</f>
        <v>54.535339</v>
      </c>
      <c r="G18" s="62">
        <f>83213772/(10^6)</f>
        <v>83.213772000000006</v>
      </c>
      <c r="H18" s="62">
        <f>80816026/(10^6)</f>
        <v>80.816025999999994</v>
      </c>
      <c r="I18" s="62">
        <f>86697592/(10^6)</f>
        <v>86.697592</v>
      </c>
      <c r="J18" s="62">
        <f>82555883/(10^6)</f>
        <v>82.555882999999994</v>
      </c>
      <c r="K18" s="62">
        <f>78207855/(10^6)</f>
        <v>78.207854999999995</v>
      </c>
      <c r="L18" s="62">
        <f>83316057/(10^6)</f>
        <v>83.316057000000001</v>
      </c>
      <c r="M18" s="62">
        <f>70720778/(10^6)</f>
        <v>70.720777999999996</v>
      </c>
      <c r="N18" s="62">
        <f>41949366/(10^6)</f>
        <v>41.949365999999998</v>
      </c>
      <c r="O18" s="303">
        <v>57.423084000000003</v>
      </c>
      <c r="P18" s="303">
        <v>55.777036277763905</v>
      </c>
      <c r="Q18" s="303">
        <v>47.410601999999997</v>
      </c>
      <c r="R18" s="218">
        <f t="shared" si="0"/>
        <v>822.62339027776386</v>
      </c>
      <c r="S18" s="85">
        <f t="shared" si="1"/>
        <v>822.62339027776386</v>
      </c>
    </row>
    <row r="19" spans="2:19" ht="13.9" thickBot="1" x14ac:dyDescent="0.4">
      <c r="B19" s="45">
        <v>8</v>
      </c>
      <c r="C19" s="217" t="s">
        <v>462</v>
      </c>
      <c r="F19" s="62"/>
      <c r="G19" s="62"/>
      <c r="H19" s="62"/>
      <c r="I19" s="62"/>
      <c r="J19" s="62"/>
      <c r="K19" s="62"/>
      <c r="L19" s="62"/>
      <c r="M19" s="62"/>
      <c r="N19" s="62"/>
      <c r="O19" s="303"/>
      <c r="P19" s="303"/>
      <c r="Q19" s="303"/>
      <c r="R19" s="218">
        <v>0</v>
      </c>
      <c r="S19" s="85">
        <v>0</v>
      </c>
    </row>
    <row r="20" spans="2:19" x14ac:dyDescent="0.35">
      <c r="B20" s="89"/>
      <c r="C20" s="90" t="s">
        <v>190</v>
      </c>
      <c r="D20" s="90"/>
      <c r="E20" s="91"/>
      <c r="F20" s="92">
        <f>SUM(F12:F18)</f>
        <v>243.76249005329899</v>
      </c>
      <c r="G20" s="92">
        <f t="shared" ref="G20:S20" si="2">SUM(G12:G18)</f>
        <v>323.20794946789511</v>
      </c>
      <c r="H20" s="92">
        <f t="shared" si="2"/>
        <v>386.49842033270227</v>
      </c>
      <c r="I20" s="92">
        <f t="shared" si="2"/>
        <v>365.54594250764046</v>
      </c>
      <c r="J20" s="92">
        <f t="shared" si="2"/>
        <v>345.72177518219115</v>
      </c>
      <c r="K20" s="92">
        <f t="shared" si="2"/>
        <v>291.87794614419295</v>
      </c>
      <c r="L20" s="92">
        <f t="shared" si="2"/>
        <v>298.74186546999999</v>
      </c>
      <c r="M20" s="92">
        <f t="shared" si="2"/>
        <v>266.83279366782597</v>
      </c>
      <c r="N20" s="92">
        <f t="shared" si="2"/>
        <v>230.61661392194407</v>
      </c>
      <c r="O20" s="92">
        <f t="shared" si="2"/>
        <v>226.52769647764751</v>
      </c>
      <c r="P20" s="92">
        <f t="shared" si="2"/>
        <v>231.64543936606077</v>
      </c>
      <c r="Q20" s="92">
        <f t="shared" si="2"/>
        <v>231.26852255266618</v>
      </c>
      <c r="R20" s="92">
        <f t="shared" si="2"/>
        <v>3442.247455144065</v>
      </c>
      <c r="S20" s="92">
        <f t="shared" si="2"/>
        <v>3442.247455144065</v>
      </c>
    </row>
    <row r="21" spans="2:19" x14ac:dyDescent="0.35">
      <c r="B21" s="27"/>
      <c r="C21" s="6"/>
      <c r="D21" s="6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</row>
    <row r="22" spans="2:19" outlineLevel="1" x14ac:dyDescent="0.35">
      <c r="B22" s="27"/>
      <c r="D22" s="6"/>
      <c r="E22" s="93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94"/>
      <c r="R22" s="94"/>
      <c r="S22" s="95"/>
    </row>
  </sheetData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37B5-A7D3-4CCF-8C2E-9EA5C0CEA79A}">
  <dimension ref="B3:X118"/>
  <sheetViews>
    <sheetView workbookViewId="0">
      <pane xSplit="5" ySplit="9" topLeftCell="F10" activePane="bottomRight" state="frozen"/>
      <selection pane="topRight" activeCell="E1" sqref="E1"/>
      <selection pane="bottomLeft" activeCell="A4" sqref="A4"/>
      <selection pane="bottomRight" activeCell="T118" sqref="T118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45.1328125" style="2" customWidth="1"/>
    <col min="6" max="6" width="9.3984375" style="2" customWidth="1" outlineLevel="1"/>
    <col min="7" max="16" width="10.73046875" style="2" customWidth="1" outlineLevel="1"/>
    <col min="17" max="17" width="10.73046875" style="2" customWidth="1"/>
    <col min="18" max="18" width="12.1328125" style="2" customWidth="1"/>
    <col min="19" max="19" width="10.59765625" style="2" customWidth="1"/>
    <col min="20" max="20" width="18.59765625" style="2" customWidth="1"/>
    <col min="21" max="21" width="11.3984375" style="2" customWidth="1"/>
    <col min="22" max="22" width="12.86328125" style="2" customWidth="1"/>
    <col min="23" max="23" width="13.1328125" style="2" customWidth="1"/>
    <col min="24" max="16384" width="9.1328125" style="2"/>
  </cols>
  <sheetData>
    <row r="3" spans="2:24" x14ac:dyDescent="0.35">
      <c r="H3" s="60"/>
    </row>
    <row r="4" spans="2:24" x14ac:dyDescent="0.35">
      <c r="B4" s="2" t="s">
        <v>25</v>
      </c>
    </row>
    <row r="6" spans="2:24" x14ac:dyDescent="0.35">
      <c r="B6" s="27" t="s">
        <v>135</v>
      </c>
    </row>
    <row r="7" spans="2:24" s="6" customFormat="1" x14ac:dyDescent="0.35">
      <c r="B7" s="6" t="s">
        <v>453</v>
      </c>
      <c r="F7" s="74" t="s">
        <v>141</v>
      </c>
      <c r="G7" s="74" t="s">
        <v>141</v>
      </c>
      <c r="H7" s="74" t="s">
        <v>141</v>
      </c>
      <c r="I7" s="74" t="s">
        <v>141</v>
      </c>
      <c r="J7" s="74" t="s">
        <v>141</v>
      </c>
      <c r="K7" s="74" t="s">
        <v>141</v>
      </c>
      <c r="L7" s="74" t="s">
        <v>141</v>
      </c>
      <c r="M7" s="74" t="s">
        <v>141</v>
      </c>
      <c r="N7" s="74" t="s">
        <v>141</v>
      </c>
      <c r="O7" s="74" t="s">
        <v>141</v>
      </c>
      <c r="P7" s="74" t="s">
        <v>141</v>
      </c>
      <c r="Q7" s="73" t="s">
        <v>460</v>
      </c>
    </row>
    <row r="8" spans="2:24" x14ac:dyDescent="0.35">
      <c r="B8" s="32" t="s">
        <v>55</v>
      </c>
      <c r="F8" s="32" t="s">
        <v>52</v>
      </c>
    </row>
    <row r="9" spans="2:24" ht="13.5" x14ac:dyDescent="0.35">
      <c r="B9" s="45" t="s">
        <v>101</v>
      </c>
      <c r="F9" s="61">
        <v>1</v>
      </c>
      <c r="G9" s="61">
        <v>2</v>
      </c>
      <c r="H9" s="61">
        <v>3</v>
      </c>
      <c r="I9" s="61">
        <v>4</v>
      </c>
      <c r="J9" s="61">
        <v>5</v>
      </c>
      <c r="K9" s="61">
        <v>6</v>
      </c>
      <c r="L9" s="61">
        <v>7</v>
      </c>
      <c r="M9" s="61">
        <v>8</v>
      </c>
      <c r="N9" s="61">
        <v>9</v>
      </c>
      <c r="O9" s="61">
        <v>10</v>
      </c>
      <c r="P9" s="61">
        <v>11</v>
      </c>
      <c r="Q9" s="61">
        <v>12</v>
      </c>
      <c r="R9" s="32" t="s">
        <v>4</v>
      </c>
      <c r="S9" s="32" t="s">
        <v>5</v>
      </c>
      <c r="T9" s="32" t="s">
        <v>3</v>
      </c>
      <c r="U9" s="32" t="s">
        <v>199</v>
      </c>
      <c r="V9" s="32" t="s">
        <v>196</v>
      </c>
      <c r="W9" s="6" t="s">
        <v>197</v>
      </c>
      <c r="X9" s="73" t="s">
        <v>198</v>
      </c>
    </row>
    <row r="10" spans="2:24" x14ac:dyDescent="0.35">
      <c r="B10" s="27" t="s">
        <v>11</v>
      </c>
      <c r="D10" s="6"/>
    </row>
    <row r="11" spans="2:24" x14ac:dyDescent="0.35">
      <c r="D11" s="6" t="s">
        <v>12</v>
      </c>
    </row>
    <row r="12" spans="2:24" outlineLevel="1" x14ac:dyDescent="0.35">
      <c r="E12" s="2" t="s">
        <v>6</v>
      </c>
      <c r="F12" s="60"/>
      <c r="G12" s="60"/>
      <c r="H12" s="60"/>
      <c r="I12" s="60"/>
      <c r="J12" s="60">
        <v>51.52</v>
      </c>
      <c r="K12" s="60">
        <v>119.34399999999999</v>
      </c>
      <c r="L12" s="60">
        <v>108.96</v>
      </c>
      <c r="M12" s="60">
        <v>103.85</v>
      </c>
      <c r="N12" s="60">
        <v>66.8</v>
      </c>
      <c r="O12" s="60">
        <v>102.9</v>
      </c>
      <c r="P12" s="60">
        <v>198.02</v>
      </c>
      <c r="Q12" s="84">
        <v>177.4</v>
      </c>
      <c r="R12" s="62">
        <f>SUMIFS($F12:$Q12,$F$7:$Q$7,"A")</f>
        <v>928.79399999999998</v>
      </c>
      <c r="S12" s="62">
        <f>SUMIFS($F12:$Q12,$F$7:$Q$7,"B")</f>
        <v>0</v>
      </c>
      <c r="T12" s="57">
        <f>SUM(R12:S12)</f>
        <v>928.79399999999998</v>
      </c>
      <c r="U12" s="96">
        <f t="shared" ref="U12:U17" si="0">T12/$T$17</f>
        <v>0.9726671232618489</v>
      </c>
      <c r="V12" s="97">
        <v>0.05</v>
      </c>
      <c r="W12" s="2" t="s">
        <v>200</v>
      </c>
      <c r="X12" s="57">
        <f>X99*T110/10^6</f>
        <v>740.79038066465262</v>
      </c>
    </row>
    <row r="13" spans="2:24" outlineLevel="1" x14ac:dyDescent="0.35">
      <c r="E13" s="2" t="s">
        <v>7</v>
      </c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84"/>
      <c r="R13" s="62">
        <f>SUMIFS($F13:$Q13,$F$7:$Q$7,"A")</f>
        <v>0</v>
      </c>
      <c r="S13" s="62">
        <f>SUMIFS($F13:$Q13,$F$7:$Q$7,"B")</f>
        <v>0</v>
      </c>
      <c r="T13" s="57">
        <f>SUM(R13:S13)</f>
        <v>0</v>
      </c>
      <c r="U13" s="96">
        <f t="shared" si="0"/>
        <v>0</v>
      </c>
      <c r="V13" s="97">
        <v>0.05</v>
      </c>
      <c r="W13" s="2" t="s">
        <v>200</v>
      </c>
      <c r="X13" s="57">
        <f>X100*T111/10^6</f>
        <v>32.434951456310678</v>
      </c>
    </row>
    <row r="14" spans="2:24" outlineLevel="1" x14ac:dyDescent="0.35">
      <c r="E14" s="2" t="s">
        <v>8</v>
      </c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84">
        <f>P14</f>
        <v>0</v>
      </c>
      <c r="R14" s="62">
        <f>SUMIFS($F14:$Q14,$F$7:$Q$7,"A")</f>
        <v>0</v>
      </c>
      <c r="S14" s="62">
        <f>SUMIFS($F14:$Q14,$F$7:$Q$7,"B")</f>
        <v>0</v>
      </c>
      <c r="T14" s="57">
        <f>SUM(R14:S14)</f>
        <v>0</v>
      </c>
      <c r="U14" s="96">
        <f t="shared" si="0"/>
        <v>0</v>
      </c>
      <c r="V14" s="97">
        <v>0.05</v>
      </c>
      <c r="W14" s="2" t="s">
        <v>200</v>
      </c>
      <c r="X14" s="57">
        <f>T14*(1+V14)</f>
        <v>0</v>
      </c>
    </row>
    <row r="15" spans="2:24" outlineLevel="1" x14ac:dyDescent="0.35">
      <c r="E15" s="2" t="s">
        <v>9</v>
      </c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84">
        <f>P15</f>
        <v>0</v>
      </c>
      <c r="R15" s="62">
        <f>SUMIFS($F15:$Q15,$F$7:$Q$7,"A")</f>
        <v>0</v>
      </c>
      <c r="S15" s="62">
        <f>SUMIFS($F15:$Q15,$F$7:$Q$7,"B")</f>
        <v>0</v>
      </c>
      <c r="T15" s="57">
        <f>SUM(R15:S15)</f>
        <v>0</v>
      </c>
      <c r="U15" s="96">
        <f t="shared" si="0"/>
        <v>0</v>
      </c>
      <c r="V15" s="97">
        <v>0.05</v>
      </c>
      <c r="W15" s="2" t="s">
        <v>200</v>
      </c>
      <c r="X15" s="57">
        <f>T15*(1+V15)</f>
        <v>0</v>
      </c>
    </row>
    <row r="16" spans="2:24" outlineLevel="1" x14ac:dyDescent="0.35">
      <c r="E16" s="2" t="s">
        <v>10</v>
      </c>
      <c r="F16" s="62"/>
      <c r="G16" s="62"/>
      <c r="H16" s="62"/>
      <c r="I16" s="62"/>
      <c r="J16" s="62">
        <v>4.3760000000000003</v>
      </c>
      <c r="K16" s="62">
        <v>6.734</v>
      </c>
      <c r="L16" s="62">
        <v>3.23</v>
      </c>
      <c r="M16" s="62">
        <v>1.75</v>
      </c>
      <c r="N16" s="62">
        <v>2.25</v>
      </c>
      <c r="O16" s="62">
        <v>2.13</v>
      </c>
      <c r="P16" s="62">
        <v>5.13</v>
      </c>
      <c r="Q16" s="84">
        <v>0.5</v>
      </c>
      <c r="R16" s="62">
        <f>SUMIFS($F16:$Q16,$F$7:$Q$7,"A")</f>
        <v>26.099999999999998</v>
      </c>
      <c r="S16" s="62">
        <f>SUMIFS($F16:$Q16,$F$7:$Q$7,"B")</f>
        <v>0</v>
      </c>
      <c r="T16" s="57">
        <f>SUM(R16:S16)</f>
        <v>26.099999999999998</v>
      </c>
      <c r="U16" s="96">
        <f t="shared" si="0"/>
        <v>2.7332876738151039E-2</v>
      </c>
      <c r="V16" s="97">
        <v>0.05</v>
      </c>
      <c r="W16" s="2" t="s">
        <v>200</v>
      </c>
      <c r="X16" s="57">
        <f>T16*(1+V16)</f>
        <v>27.404999999999998</v>
      </c>
    </row>
    <row r="17" spans="2:24" x14ac:dyDescent="0.35">
      <c r="D17" s="65" t="s">
        <v>13</v>
      </c>
      <c r="E17" s="66"/>
      <c r="F17" s="67">
        <f>SUM(F12:F16)</f>
        <v>0</v>
      </c>
      <c r="G17" s="67">
        <f t="shared" ref="G17:T17" si="1">SUM(G12:G16)</f>
        <v>0</v>
      </c>
      <c r="H17" s="67">
        <f t="shared" si="1"/>
        <v>0</v>
      </c>
      <c r="I17" s="67">
        <f t="shared" si="1"/>
        <v>0</v>
      </c>
      <c r="J17" s="67">
        <f t="shared" si="1"/>
        <v>55.896000000000001</v>
      </c>
      <c r="K17" s="67">
        <f t="shared" si="1"/>
        <v>126.07799999999999</v>
      </c>
      <c r="L17" s="67">
        <f t="shared" si="1"/>
        <v>112.19</v>
      </c>
      <c r="M17" s="67">
        <f t="shared" si="1"/>
        <v>105.6</v>
      </c>
      <c r="N17" s="67">
        <f t="shared" si="1"/>
        <v>69.05</v>
      </c>
      <c r="O17" s="67">
        <f t="shared" si="1"/>
        <v>105.03</v>
      </c>
      <c r="P17" s="67">
        <f t="shared" si="1"/>
        <v>203.15</v>
      </c>
      <c r="Q17" s="67">
        <f t="shared" si="1"/>
        <v>177.9</v>
      </c>
      <c r="R17" s="67">
        <f t="shared" si="1"/>
        <v>954.89400000000001</v>
      </c>
      <c r="S17" s="67">
        <f t="shared" si="1"/>
        <v>0</v>
      </c>
      <c r="T17" s="72">
        <f t="shared" si="1"/>
        <v>954.89400000000001</v>
      </c>
      <c r="U17" s="98">
        <f t="shared" si="0"/>
        <v>1</v>
      </c>
      <c r="V17" s="70"/>
      <c r="W17" s="70"/>
      <c r="X17" s="72">
        <f>SUM(X12:X16)</f>
        <v>800.63033212096332</v>
      </c>
    </row>
    <row r="18" spans="2:24" ht="14.25" x14ac:dyDescent="0.45">
      <c r="D18" s="6" t="s">
        <v>18</v>
      </c>
      <c r="F18" s="56"/>
      <c r="G18" s="56"/>
      <c r="H18" s="64"/>
      <c r="I18" s="56"/>
      <c r="J18" s="56"/>
      <c r="K18" s="56"/>
      <c r="L18" s="56"/>
      <c r="M18" s="56"/>
      <c r="N18" s="56"/>
      <c r="O18" s="56"/>
      <c r="P18" s="56"/>
    </row>
    <row r="19" spans="2:24" outlineLevel="1" x14ac:dyDescent="0.35">
      <c r="E19" s="2" t="s">
        <v>14</v>
      </c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</row>
    <row r="20" spans="2:24" outlineLevel="1" x14ac:dyDescent="0.35">
      <c r="E20" s="2" t="s">
        <v>15</v>
      </c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</row>
    <row r="21" spans="2:24" outlineLevel="1" x14ac:dyDescent="0.35">
      <c r="E21" s="2" t="s">
        <v>16</v>
      </c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</row>
    <row r="22" spans="2:24" outlineLevel="1" x14ac:dyDescent="0.35">
      <c r="E22" s="2" t="s">
        <v>17</v>
      </c>
      <c r="F22" s="57"/>
      <c r="G22" s="62"/>
      <c r="H22" s="62"/>
      <c r="I22" s="62"/>
      <c r="J22" s="62">
        <v>0</v>
      </c>
      <c r="K22" s="62">
        <v>0</v>
      </c>
      <c r="L22" s="62">
        <v>1</v>
      </c>
      <c r="M22" s="62">
        <v>0</v>
      </c>
      <c r="N22" s="62">
        <v>0</v>
      </c>
      <c r="O22" s="62">
        <v>0</v>
      </c>
      <c r="P22" s="57">
        <v>7.0000000000000007E-2</v>
      </c>
      <c r="Q22" s="84">
        <v>0</v>
      </c>
    </row>
    <row r="23" spans="2:24" ht="13.15" thickBot="1" x14ac:dyDescent="0.4">
      <c r="B23" s="29"/>
      <c r="C23" s="29"/>
      <c r="D23" s="68" t="s">
        <v>19</v>
      </c>
      <c r="E23" s="68"/>
      <c r="F23" s="69">
        <f>SUM(F19:F22)</f>
        <v>0</v>
      </c>
      <c r="G23" s="69">
        <f t="shared" ref="G23:T23" si="2">SUM(G19:G22)</f>
        <v>0</v>
      </c>
      <c r="H23" s="69">
        <f t="shared" si="2"/>
        <v>0</v>
      </c>
      <c r="I23" s="69">
        <f t="shared" si="2"/>
        <v>0</v>
      </c>
      <c r="J23" s="69">
        <f t="shared" si="2"/>
        <v>0</v>
      </c>
      <c r="K23" s="69">
        <f t="shared" si="2"/>
        <v>0</v>
      </c>
      <c r="L23" s="69">
        <f t="shared" si="2"/>
        <v>1</v>
      </c>
      <c r="M23" s="69">
        <f t="shared" si="2"/>
        <v>0</v>
      </c>
      <c r="N23" s="69">
        <f t="shared" si="2"/>
        <v>0</v>
      </c>
      <c r="O23" s="69">
        <f t="shared" si="2"/>
        <v>0</v>
      </c>
      <c r="P23" s="69">
        <f t="shared" si="2"/>
        <v>7.0000000000000007E-2</v>
      </c>
      <c r="Q23" s="69">
        <f t="shared" si="2"/>
        <v>0</v>
      </c>
      <c r="R23" s="69">
        <f t="shared" si="2"/>
        <v>0</v>
      </c>
      <c r="S23" s="69">
        <f t="shared" si="2"/>
        <v>0</v>
      </c>
      <c r="T23" s="69">
        <f t="shared" si="2"/>
        <v>0</v>
      </c>
      <c r="U23" s="99"/>
      <c r="V23" s="100"/>
      <c r="W23" s="100"/>
      <c r="X23" s="106">
        <v>0</v>
      </c>
    </row>
    <row r="24" spans="2:24" x14ac:dyDescent="0.35">
      <c r="B24" s="27" t="s">
        <v>20</v>
      </c>
      <c r="F24" s="71">
        <f>SUM(F17,F23)</f>
        <v>0</v>
      </c>
      <c r="G24" s="71">
        <f t="shared" ref="G24:S24" si="3">SUM(G17,G23)</f>
        <v>0</v>
      </c>
      <c r="H24" s="71">
        <f t="shared" si="3"/>
        <v>0</v>
      </c>
      <c r="I24" s="71">
        <f t="shared" si="3"/>
        <v>0</v>
      </c>
      <c r="J24" s="71">
        <f>SUM(J17,J23)</f>
        <v>55.896000000000001</v>
      </c>
      <c r="K24" s="71">
        <f t="shared" si="3"/>
        <v>126.07799999999999</v>
      </c>
      <c r="L24" s="71">
        <f t="shared" si="3"/>
        <v>113.19</v>
      </c>
      <c r="M24" s="71">
        <f t="shared" si="3"/>
        <v>105.6</v>
      </c>
      <c r="N24" s="71">
        <f t="shared" si="3"/>
        <v>69.05</v>
      </c>
      <c r="O24" s="71">
        <f t="shared" si="3"/>
        <v>105.03</v>
      </c>
      <c r="P24" s="71">
        <f t="shared" si="3"/>
        <v>203.22</v>
      </c>
      <c r="Q24" s="71">
        <f t="shared" si="3"/>
        <v>177.9</v>
      </c>
      <c r="R24" s="71">
        <f t="shared" si="3"/>
        <v>954.89400000000001</v>
      </c>
      <c r="S24" s="71">
        <f t="shared" si="3"/>
        <v>0</v>
      </c>
      <c r="T24" s="71">
        <f>SUM(T17,T23)</f>
        <v>954.89400000000001</v>
      </c>
      <c r="U24" s="96">
        <f>T24/$T$17</f>
        <v>1</v>
      </c>
      <c r="X24" s="71">
        <f>SUM(X17,X23)</f>
        <v>800.63033212096332</v>
      </c>
    </row>
    <row r="25" spans="2:24" x14ac:dyDescent="0.35">
      <c r="B25" s="2" t="s">
        <v>21</v>
      </c>
      <c r="F25" s="60"/>
      <c r="G25" s="60"/>
      <c r="H25" s="60"/>
      <c r="I25" s="60"/>
      <c r="J25" s="60">
        <f>450000/(10^6)</f>
        <v>0.45</v>
      </c>
      <c r="K25" s="60">
        <f>450000/(10^6)</f>
        <v>0.45</v>
      </c>
      <c r="L25" s="60"/>
      <c r="M25" s="60"/>
      <c r="N25" s="60"/>
      <c r="O25" s="60"/>
      <c r="P25" s="60"/>
      <c r="Q25" s="2">
        <v>0</v>
      </c>
      <c r="R25" s="62">
        <f>SUMIFS($F25:$Q25,$F$7:$Q$7,"A")</f>
        <v>0.9</v>
      </c>
      <c r="S25" s="62">
        <f>SUMIFS($F25:$Q25,$F$7:$Q$7,"B")</f>
        <v>0</v>
      </c>
      <c r="T25" s="57">
        <f>SUM(R25:S25)</f>
        <v>0.9</v>
      </c>
      <c r="X25" s="62">
        <v>0</v>
      </c>
    </row>
    <row r="26" spans="2:24" x14ac:dyDescent="0.35">
      <c r="B26" s="27" t="s">
        <v>177</v>
      </c>
      <c r="R26" s="62">
        <f t="shared" ref="R26:R36" si="4">SUMIFS($F26:$Q26,$F$7:$Q$7,"A")</f>
        <v>0</v>
      </c>
    </row>
    <row r="27" spans="2:24" x14ac:dyDescent="0.35">
      <c r="C27" s="2" t="s">
        <v>23</v>
      </c>
      <c r="F27" s="62"/>
      <c r="G27" s="62"/>
      <c r="H27" s="62"/>
      <c r="I27" s="62"/>
      <c r="J27" s="62">
        <v>3.9761899999999999</v>
      </c>
      <c r="K27" s="62">
        <v>13.253572</v>
      </c>
      <c r="L27" s="62">
        <v>0</v>
      </c>
      <c r="M27" s="62">
        <v>28.438571</v>
      </c>
      <c r="N27" s="62">
        <v>13.588571</v>
      </c>
      <c r="O27" s="62">
        <v>3.5352730000000001</v>
      </c>
      <c r="P27" s="62">
        <v>22.014042</v>
      </c>
      <c r="Q27" s="84">
        <v>18.183619</v>
      </c>
      <c r="R27" s="62">
        <f t="shared" si="4"/>
        <v>102.98983800000002</v>
      </c>
      <c r="S27" s="62">
        <f>SUMIFS($F27:$Q27,$F$7:$Q$7,"B")</f>
        <v>0</v>
      </c>
      <c r="T27" s="57">
        <f t="shared" ref="T27:T36" si="5">SUM(R27:S27)</f>
        <v>102.98983800000002</v>
      </c>
      <c r="U27" s="96">
        <f t="shared" ref="U27:U37" si="6">T27/$T$17</f>
        <v>0.10785473361441167</v>
      </c>
      <c r="V27" s="97">
        <f>U27</f>
        <v>0.10785473361441167</v>
      </c>
      <c r="W27" s="2" t="s">
        <v>199</v>
      </c>
      <c r="X27" s="57">
        <f t="shared" ref="X27:X34" si="7">V27*$X$17</f>
        <v>86.351771194524446</v>
      </c>
    </row>
    <row r="28" spans="2:24" x14ac:dyDescent="0.35">
      <c r="C28" s="6" t="s">
        <v>455</v>
      </c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84"/>
      <c r="R28" s="62">
        <f t="shared" si="4"/>
        <v>0</v>
      </c>
      <c r="S28" s="62"/>
      <c r="T28" s="57">
        <f t="shared" si="5"/>
        <v>0</v>
      </c>
      <c r="U28" s="96"/>
      <c r="V28" s="97"/>
      <c r="X28" s="57"/>
    </row>
    <row r="29" spans="2:24" x14ac:dyDescent="0.35">
      <c r="D29" s="2" t="s">
        <v>6</v>
      </c>
      <c r="F29" s="62"/>
      <c r="G29" s="62"/>
      <c r="H29" s="62"/>
      <c r="I29" s="62"/>
      <c r="J29" s="62">
        <v>48</v>
      </c>
      <c r="K29" s="62">
        <v>50</v>
      </c>
      <c r="L29" s="62">
        <v>54</v>
      </c>
      <c r="M29" s="62">
        <v>43.1</v>
      </c>
      <c r="N29" s="62">
        <v>42.4</v>
      </c>
      <c r="O29" s="62">
        <v>36.049999999999997</v>
      </c>
      <c r="P29" s="62">
        <v>32.5</v>
      </c>
      <c r="Q29" s="57">
        <v>35.1</v>
      </c>
      <c r="R29" s="62">
        <f t="shared" si="4"/>
        <v>341.15000000000003</v>
      </c>
      <c r="S29" s="62"/>
      <c r="T29" s="57">
        <f t="shared" si="5"/>
        <v>341.15000000000003</v>
      </c>
      <c r="U29" s="96"/>
      <c r="V29" s="97"/>
      <c r="X29" s="57"/>
    </row>
    <row r="30" spans="2:24" x14ac:dyDescent="0.35">
      <c r="D30" s="2" t="s">
        <v>10</v>
      </c>
      <c r="F30" s="62"/>
      <c r="G30" s="62"/>
      <c r="H30" s="62"/>
      <c r="I30" s="62"/>
      <c r="J30" s="62">
        <v>38.972444000000003</v>
      </c>
      <c r="K30" s="62">
        <v>57.348999999999997</v>
      </c>
      <c r="L30" s="62">
        <v>38.662258999999999</v>
      </c>
      <c r="M30" s="62">
        <v>1.500003</v>
      </c>
      <c r="N30" s="62">
        <v>0.25</v>
      </c>
      <c r="O30" s="62">
        <v>0.375</v>
      </c>
      <c r="P30" s="62">
        <v>2.63</v>
      </c>
      <c r="Q30" s="57">
        <v>0.25</v>
      </c>
      <c r="R30" s="62">
        <f t="shared" si="4"/>
        <v>139.98870599999998</v>
      </c>
      <c r="S30" s="62"/>
      <c r="T30" s="57">
        <f t="shared" si="5"/>
        <v>139.98870599999998</v>
      </c>
      <c r="U30" s="96"/>
      <c r="V30" s="97"/>
      <c r="X30" s="57"/>
    </row>
    <row r="31" spans="2:24" x14ac:dyDescent="0.35">
      <c r="C31" s="2" t="s">
        <v>456</v>
      </c>
      <c r="F31" s="60"/>
      <c r="G31" s="60"/>
      <c r="H31" s="60"/>
      <c r="I31" s="60"/>
      <c r="J31" s="62">
        <v>5.6666660000000002</v>
      </c>
      <c r="K31" s="62">
        <v>19.659230999999998</v>
      </c>
      <c r="L31" s="62">
        <v>11.630768</v>
      </c>
      <c r="M31" s="62">
        <v>-7.3284609999999999</v>
      </c>
      <c r="N31" s="62">
        <v>10.620001</v>
      </c>
      <c r="O31" s="62">
        <v>6.1666670000000003</v>
      </c>
      <c r="P31" s="62">
        <v>14.037037</v>
      </c>
      <c r="Q31" s="57">
        <v>12.055555999999999</v>
      </c>
      <c r="R31" s="62">
        <f t="shared" si="4"/>
        <v>72.507464999999996</v>
      </c>
      <c r="S31" s="62">
        <f>SUMIFS($F31:$Q31,$F$7:$Q$7,"B")</f>
        <v>0</v>
      </c>
      <c r="T31" s="57">
        <f>SUM(R31:S31)</f>
        <v>72.507464999999996</v>
      </c>
      <c r="U31" s="96">
        <f t="shared" si="6"/>
        <v>7.5932475227616883E-2</v>
      </c>
      <c r="V31" s="97">
        <f>U31</f>
        <v>7.5932475227616883E-2</v>
      </c>
      <c r="W31" s="2" t="s">
        <v>199</v>
      </c>
      <c r="X31" s="57">
        <f t="shared" si="7"/>
        <v>60.793842860253726</v>
      </c>
    </row>
    <row r="32" spans="2:24" x14ac:dyDescent="0.35">
      <c r="C32" s="2" t="s">
        <v>24</v>
      </c>
      <c r="F32" s="57"/>
      <c r="G32" s="57"/>
      <c r="H32" s="57"/>
      <c r="I32" s="57"/>
      <c r="J32" s="57">
        <v>0</v>
      </c>
      <c r="K32" s="57">
        <v>0</v>
      </c>
      <c r="L32" s="57">
        <v>0</v>
      </c>
      <c r="M32" s="57">
        <v>0</v>
      </c>
      <c r="N32" s="57">
        <v>0</v>
      </c>
      <c r="O32" s="57">
        <v>1.6342859999999999</v>
      </c>
      <c r="P32" s="57">
        <v>11.478095</v>
      </c>
      <c r="Q32" s="84">
        <v>7.7600020000000001</v>
      </c>
      <c r="R32" s="62">
        <f t="shared" si="4"/>
        <v>20.872382999999999</v>
      </c>
      <c r="S32" s="62">
        <f>SUMIFS($F32:$Q32,$F$7:$Q$7,"B")</f>
        <v>0</v>
      </c>
      <c r="T32" s="57">
        <f t="shared" si="5"/>
        <v>20.872382999999999</v>
      </c>
      <c r="U32" s="96">
        <f t="shared" si="6"/>
        <v>2.1858324588907251E-2</v>
      </c>
      <c r="V32" s="97">
        <f>U32</f>
        <v>2.1858324588907251E-2</v>
      </c>
      <c r="W32" s="2" t="s">
        <v>199</v>
      </c>
      <c r="X32" s="57">
        <f t="shared" si="7"/>
        <v>17.500437675224632</v>
      </c>
    </row>
    <row r="33" spans="2:24" x14ac:dyDescent="0.35">
      <c r="C33" s="2" t="s">
        <v>467</v>
      </c>
      <c r="F33" s="57"/>
      <c r="G33" s="57"/>
      <c r="H33" s="57"/>
      <c r="I33" s="57"/>
      <c r="J33" s="57">
        <v>0.97244399999999998</v>
      </c>
      <c r="K33" s="57">
        <v>1.848889</v>
      </c>
      <c r="L33" s="57">
        <v>0.32888899999999999</v>
      </c>
      <c r="M33" s="57">
        <v>1.500003</v>
      </c>
      <c r="N33" s="57">
        <v>0.25</v>
      </c>
      <c r="O33" s="57">
        <v>0.375</v>
      </c>
      <c r="P33" s="57">
        <v>2.63</v>
      </c>
      <c r="Q33" s="84">
        <v>0.25</v>
      </c>
      <c r="R33" s="62">
        <f t="shared" si="4"/>
        <v>8.1552250000000015</v>
      </c>
      <c r="S33" s="62"/>
      <c r="T33" s="57">
        <f t="shared" si="5"/>
        <v>8.1552250000000015</v>
      </c>
      <c r="U33" s="96"/>
      <c r="V33" s="97"/>
      <c r="X33" s="57"/>
    </row>
    <row r="34" spans="2:24" x14ac:dyDescent="0.35">
      <c r="C34" s="2" t="s">
        <v>178</v>
      </c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84"/>
      <c r="R34" s="62">
        <f t="shared" si="4"/>
        <v>0</v>
      </c>
      <c r="S34" s="62">
        <f>SUMIFS($F34:$Q34,$F$7:$Q$7,"B")</f>
        <v>0</v>
      </c>
      <c r="T34" s="57">
        <f t="shared" si="5"/>
        <v>0</v>
      </c>
      <c r="U34" s="96">
        <f t="shared" si="6"/>
        <v>0</v>
      </c>
      <c r="V34" s="97">
        <f>U34</f>
        <v>0</v>
      </c>
      <c r="W34" s="2" t="s">
        <v>199</v>
      </c>
      <c r="X34" s="57">
        <f t="shared" si="7"/>
        <v>0</v>
      </c>
    </row>
    <row r="35" spans="2:24" x14ac:dyDescent="0.35">
      <c r="D35" s="2" t="s">
        <v>6</v>
      </c>
      <c r="F35" s="60"/>
      <c r="G35" s="60"/>
      <c r="H35" s="60"/>
      <c r="I35" s="60"/>
      <c r="J35" s="62">
        <v>0.44444400000000001</v>
      </c>
      <c r="K35" s="62">
        <v>3.9664959999999998</v>
      </c>
      <c r="L35" s="62">
        <v>30.515027</v>
      </c>
      <c r="M35" s="62">
        <v>8.8974360000000008</v>
      </c>
      <c r="N35" s="62">
        <v>8.1999999999999993</v>
      </c>
      <c r="O35" s="62">
        <v>18.829999999999998</v>
      </c>
      <c r="P35" s="62">
        <v>39.78</v>
      </c>
      <c r="Q35" s="57">
        <v>39.31</v>
      </c>
      <c r="R35" s="62">
        <f t="shared" si="4"/>
        <v>149.94340299999999</v>
      </c>
      <c r="S35" s="62"/>
      <c r="T35" s="57">
        <f t="shared" si="5"/>
        <v>149.94340299999999</v>
      </c>
      <c r="U35" s="96"/>
      <c r="V35" s="97"/>
      <c r="X35" s="57"/>
    </row>
    <row r="36" spans="2:24" x14ac:dyDescent="0.35">
      <c r="D36" s="2" t="s">
        <v>10</v>
      </c>
      <c r="F36" s="60"/>
      <c r="G36" s="60"/>
      <c r="H36" s="60"/>
      <c r="I36" s="60"/>
      <c r="J36" s="62">
        <v>0</v>
      </c>
      <c r="K36" s="62">
        <v>0</v>
      </c>
      <c r="L36" s="62">
        <v>0</v>
      </c>
      <c r="M36" s="62">
        <v>0</v>
      </c>
      <c r="N36" s="62">
        <v>2.5000000000000001E-2</v>
      </c>
      <c r="O36" s="62">
        <v>0</v>
      </c>
      <c r="P36" s="62">
        <v>0.151</v>
      </c>
      <c r="Q36" s="57">
        <v>0</v>
      </c>
      <c r="R36" s="62">
        <f t="shared" si="4"/>
        <v>0.17599999999999999</v>
      </c>
      <c r="S36" s="62"/>
      <c r="T36" s="57">
        <f t="shared" si="5"/>
        <v>0.17599999999999999</v>
      </c>
      <c r="U36" s="96"/>
      <c r="V36" s="97"/>
      <c r="X36" s="57"/>
    </row>
    <row r="37" spans="2:24" ht="13.15" thickBot="1" x14ac:dyDescent="0.4">
      <c r="B37" s="86" t="s">
        <v>180</v>
      </c>
      <c r="C37" s="87"/>
      <c r="D37" s="87"/>
      <c r="E37" s="70"/>
      <c r="F37" s="88">
        <f t="shared" ref="F37:T37" si="8">SUM(F27:F36)</f>
        <v>0</v>
      </c>
      <c r="G37" s="88">
        <f t="shared" si="8"/>
        <v>0</v>
      </c>
      <c r="H37" s="88">
        <f t="shared" si="8"/>
        <v>0</v>
      </c>
      <c r="I37" s="88">
        <f t="shared" si="8"/>
        <v>0</v>
      </c>
      <c r="J37" s="88">
        <f t="shared" si="8"/>
        <v>98.032188000000005</v>
      </c>
      <c r="K37" s="88">
        <f t="shared" si="8"/>
        <v>146.07718800000001</v>
      </c>
      <c r="L37" s="88">
        <f t="shared" si="8"/>
        <v>135.136943</v>
      </c>
      <c r="M37" s="88">
        <f t="shared" si="8"/>
        <v>76.107552000000013</v>
      </c>
      <c r="N37" s="88">
        <f t="shared" si="8"/>
        <v>75.333572000000004</v>
      </c>
      <c r="O37" s="88">
        <f t="shared" si="8"/>
        <v>66.966226000000006</v>
      </c>
      <c r="P37" s="88">
        <f t="shared" si="8"/>
        <v>125.220174</v>
      </c>
      <c r="Q37" s="88">
        <f t="shared" si="8"/>
        <v>112.909177</v>
      </c>
      <c r="R37" s="88">
        <f t="shared" si="8"/>
        <v>835.78302000000008</v>
      </c>
      <c r="S37" s="88">
        <f t="shared" si="8"/>
        <v>0</v>
      </c>
      <c r="T37" s="88">
        <f t="shared" si="8"/>
        <v>835.78302000000008</v>
      </c>
      <c r="U37" s="101">
        <f t="shared" si="6"/>
        <v>0.87526261553638418</v>
      </c>
      <c r="V37" s="101"/>
      <c r="W37" s="88"/>
      <c r="X37" s="88">
        <f>SUM(X27:X36)</f>
        <v>164.6460517300028</v>
      </c>
    </row>
    <row r="38" spans="2:24" x14ac:dyDescent="0.35">
      <c r="B38" s="89" t="s">
        <v>187</v>
      </c>
      <c r="C38" s="90"/>
      <c r="D38" s="90"/>
      <c r="E38" s="91"/>
      <c r="F38" s="92">
        <f t="shared" ref="F38:T38" si="9">F24-F37-F25</f>
        <v>0</v>
      </c>
      <c r="G38" s="92">
        <f t="shared" si="9"/>
        <v>0</v>
      </c>
      <c r="H38" s="92">
        <f t="shared" si="9"/>
        <v>0</v>
      </c>
      <c r="I38" s="92">
        <f t="shared" si="9"/>
        <v>0</v>
      </c>
      <c r="J38" s="92">
        <f t="shared" si="9"/>
        <v>-42.586188000000007</v>
      </c>
      <c r="K38" s="92">
        <f t="shared" si="9"/>
        <v>-20.449188000000017</v>
      </c>
      <c r="L38" s="92">
        <f t="shared" si="9"/>
        <v>-21.946943000000005</v>
      </c>
      <c r="M38" s="92">
        <f t="shared" si="9"/>
        <v>29.492447999999982</v>
      </c>
      <c r="N38" s="92">
        <f t="shared" si="9"/>
        <v>-6.2835720000000066</v>
      </c>
      <c r="O38" s="92">
        <f t="shared" si="9"/>
        <v>38.063773999999995</v>
      </c>
      <c r="P38" s="92">
        <f t="shared" si="9"/>
        <v>77.999825999999999</v>
      </c>
      <c r="Q38" s="92">
        <f t="shared" si="9"/>
        <v>64.990823000000006</v>
      </c>
      <c r="R38" s="92">
        <f t="shared" si="9"/>
        <v>118.21097999999992</v>
      </c>
      <c r="S38" s="92">
        <f t="shared" si="9"/>
        <v>0</v>
      </c>
      <c r="T38" s="92">
        <f t="shared" si="9"/>
        <v>118.21097999999992</v>
      </c>
      <c r="U38" s="104">
        <f>T38/$T$17</f>
        <v>0.12379487147264505</v>
      </c>
      <c r="V38" s="92"/>
      <c r="W38" s="92"/>
      <c r="X38" s="92">
        <f>X24-X37-X25</f>
        <v>635.98428039096052</v>
      </c>
    </row>
    <row r="39" spans="2:24" x14ac:dyDescent="0.35">
      <c r="B39" s="27" t="s">
        <v>181</v>
      </c>
      <c r="C39" s="6"/>
      <c r="D39" s="6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</row>
    <row r="40" spans="2:24" x14ac:dyDescent="0.35">
      <c r="C40" s="2" t="s">
        <v>186</v>
      </c>
      <c r="F40" s="60"/>
      <c r="G40" s="60"/>
      <c r="H40" s="60"/>
      <c r="I40" s="60"/>
      <c r="J40" s="62">
        <v>249.09354200000001</v>
      </c>
      <c r="K40" s="62">
        <v>249.86828399999999</v>
      </c>
      <c r="L40" s="62">
        <v>348.67973499999999</v>
      </c>
      <c r="M40" s="62">
        <v>366.851133</v>
      </c>
      <c r="N40" s="62">
        <v>406.19359400000002</v>
      </c>
      <c r="O40" s="62">
        <v>408.96591799999999</v>
      </c>
      <c r="P40" s="62">
        <v>261.38666699999999</v>
      </c>
      <c r="Q40" s="57">
        <v>287.963752</v>
      </c>
      <c r="R40" s="62">
        <f t="shared" ref="R40:R45" si="10">SUMIFS($F40:$Q40,$F$7:$Q$7,"A")</f>
        <v>2579.0026250000005</v>
      </c>
      <c r="S40" s="62">
        <f>SUMIFS($F40:$Q40,$F$7:$Q$7,"B")</f>
        <v>0</v>
      </c>
      <c r="T40" s="57">
        <f t="shared" ref="T40:T45" si="11">SUM(R40:S40)</f>
        <v>2579.0026250000005</v>
      </c>
      <c r="U40" s="96">
        <f t="shared" ref="U40:U46" si="12">T40/$T$17</f>
        <v>2.7008260864556699</v>
      </c>
      <c r="V40" s="97">
        <v>0.02</v>
      </c>
      <c r="W40" s="2" t="s">
        <v>200</v>
      </c>
      <c r="X40" s="57">
        <f>T40*(1+V40)</f>
        <v>2630.5826775000005</v>
      </c>
    </row>
    <row r="41" spans="2:24" x14ac:dyDescent="0.35">
      <c r="C41" s="2" t="s">
        <v>457</v>
      </c>
      <c r="F41" s="60"/>
      <c r="G41" s="60"/>
      <c r="H41" s="60"/>
      <c r="I41" s="60"/>
      <c r="J41" s="62">
        <v>255</v>
      </c>
      <c r="K41" s="62">
        <v>262.95</v>
      </c>
      <c r="L41" s="62">
        <v>266.27999999999997</v>
      </c>
      <c r="M41" s="62">
        <v>262.95</v>
      </c>
      <c r="N41" s="62">
        <v>264.76</v>
      </c>
      <c r="O41" s="62">
        <v>264.76</v>
      </c>
      <c r="P41" s="62">
        <v>264.76</v>
      </c>
      <c r="Q41" s="57">
        <v>264.01</v>
      </c>
      <c r="R41" s="62">
        <f t="shared" si="10"/>
        <v>2105.4700000000003</v>
      </c>
      <c r="S41" s="62">
        <f>SUMIFS($F41:$Q41,$F$7:$Q$7,"B")</f>
        <v>0</v>
      </c>
      <c r="T41" s="57">
        <f t="shared" si="11"/>
        <v>2105.4700000000003</v>
      </c>
      <c r="U41" s="96">
        <f t="shared" si="12"/>
        <v>2.2049253634434818</v>
      </c>
      <c r="V41" s="97">
        <v>0.02</v>
      </c>
      <c r="W41" s="2" t="s">
        <v>200</v>
      </c>
      <c r="X41" s="57">
        <f>T41*(1+V41)</f>
        <v>2147.5794000000001</v>
      </c>
    </row>
    <row r="42" spans="2:24" x14ac:dyDescent="0.35">
      <c r="B42" s="27"/>
      <c r="C42" s="2" t="s">
        <v>458</v>
      </c>
      <c r="D42" s="6"/>
      <c r="F42" s="85"/>
      <c r="G42" s="85"/>
      <c r="H42" s="85"/>
      <c r="I42" s="85"/>
      <c r="J42" s="62">
        <v>38.989772000000002</v>
      </c>
      <c r="K42" s="62">
        <v>78.378614999999996</v>
      </c>
      <c r="L42" s="62">
        <v>67.231193000000005</v>
      </c>
      <c r="M42" s="62">
        <v>77.912585000000007</v>
      </c>
      <c r="N42" s="62">
        <v>69.028979000000007</v>
      </c>
      <c r="O42" s="62">
        <v>69.465266999999997</v>
      </c>
      <c r="P42" s="62">
        <v>71.807494000000005</v>
      </c>
      <c r="Q42" s="57">
        <v>70.374640999999997</v>
      </c>
      <c r="R42" s="62">
        <f t="shared" si="10"/>
        <v>543.18854599999997</v>
      </c>
      <c r="S42" s="62">
        <f>SUMIFS($F42:$Q42,$F$7:$Q$7,"B")</f>
        <v>0</v>
      </c>
      <c r="T42" s="57">
        <f t="shared" si="11"/>
        <v>543.18854599999997</v>
      </c>
      <c r="U42" s="96">
        <f t="shared" si="12"/>
        <v>0.56884695683499942</v>
      </c>
      <c r="V42" s="85"/>
      <c r="W42" s="57" t="s">
        <v>201</v>
      </c>
      <c r="X42" s="102">
        <f>'Site list'!Q5</f>
        <v>250.30125000000001</v>
      </c>
    </row>
    <row r="43" spans="2:24" x14ac:dyDescent="0.35">
      <c r="B43" s="27"/>
      <c r="C43" s="2" t="s">
        <v>40</v>
      </c>
      <c r="D43" s="6"/>
      <c r="F43" s="60"/>
      <c r="G43" s="60"/>
      <c r="H43" s="60"/>
      <c r="I43" s="60"/>
      <c r="J43" s="62">
        <v>27.403074</v>
      </c>
      <c r="K43" s="62">
        <v>31.585077999999999</v>
      </c>
      <c r="L43" s="62">
        <v>30.065968999999999</v>
      </c>
      <c r="M43" s="62">
        <v>30.786279</v>
      </c>
      <c r="N43" s="62">
        <v>39.224679999999999</v>
      </c>
      <c r="O43" s="62">
        <v>27.175538</v>
      </c>
      <c r="P43" s="62">
        <v>32.152911000000003</v>
      </c>
      <c r="Q43" s="57">
        <v>28.127537</v>
      </c>
      <c r="R43" s="62">
        <f t="shared" si="10"/>
        <v>246.52106599999999</v>
      </c>
      <c r="S43" s="62">
        <f>SUMIFS($F43:$Q43,$F$7:$Q$7,"B")</f>
        <v>0</v>
      </c>
      <c r="T43" s="57">
        <f t="shared" si="11"/>
        <v>246.52106599999999</v>
      </c>
      <c r="U43" s="96">
        <f t="shared" si="12"/>
        <v>0.25816589694772402</v>
      </c>
      <c r="V43" s="85"/>
      <c r="W43" s="57" t="s">
        <v>202</v>
      </c>
      <c r="X43" s="57">
        <f>T43</f>
        <v>246.52106599999999</v>
      </c>
    </row>
    <row r="44" spans="2:24" x14ac:dyDescent="0.35">
      <c r="B44" s="27"/>
      <c r="C44" s="2" t="s">
        <v>459</v>
      </c>
      <c r="D44" s="6"/>
      <c r="F44" s="60"/>
      <c r="G44" s="60"/>
      <c r="H44" s="60"/>
      <c r="I44" s="60"/>
      <c r="J44" s="62">
        <v>8.1773959999999999</v>
      </c>
      <c r="K44" s="62">
        <v>16.303999999999998</v>
      </c>
      <c r="L44" s="62">
        <v>44.922490000000003</v>
      </c>
      <c r="M44" s="62">
        <v>28.959434999999999</v>
      </c>
      <c r="N44" s="62">
        <v>193</v>
      </c>
      <c r="O44" s="62">
        <v>30.921965</v>
      </c>
      <c r="P44" s="62">
        <v>0</v>
      </c>
      <c r="Q44" s="57">
        <v>15</v>
      </c>
      <c r="R44" s="62">
        <f t="shared" si="10"/>
        <v>337.28528599999999</v>
      </c>
      <c r="S44" s="62"/>
      <c r="T44" s="57">
        <f t="shared" si="11"/>
        <v>337.28528599999999</v>
      </c>
      <c r="U44" s="96"/>
      <c r="V44" s="85"/>
      <c r="W44" s="57"/>
      <c r="X44" s="57"/>
    </row>
    <row r="45" spans="2:24" x14ac:dyDescent="0.35">
      <c r="C45" s="2" t="s">
        <v>188</v>
      </c>
      <c r="F45" s="60"/>
      <c r="G45" s="60"/>
      <c r="H45" s="60"/>
      <c r="I45" s="60"/>
      <c r="J45" s="62">
        <v>22.175865000000002</v>
      </c>
      <c r="K45" s="62">
        <v>41.978816000000002</v>
      </c>
      <c r="L45" s="62">
        <v>61.908276000000001</v>
      </c>
      <c r="M45" s="62">
        <v>34.581809999999997</v>
      </c>
      <c r="N45" s="62">
        <v>38.008507000000002</v>
      </c>
      <c r="O45" s="62">
        <v>35.945183</v>
      </c>
      <c r="P45" s="62">
        <v>32.543537999999998</v>
      </c>
      <c r="Q45" s="57">
        <v>36.884692999999999</v>
      </c>
      <c r="R45" s="62">
        <f t="shared" si="10"/>
        <v>304.02668800000004</v>
      </c>
      <c r="S45" s="62">
        <f>SUMIFS($F45:$Q45,$F$7:$Q$7,"B")</f>
        <v>0</v>
      </c>
      <c r="T45" s="57">
        <f t="shared" si="11"/>
        <v>304.02668800000004</v>
      </c>
      <c r="U45" s="96">
        <f t="shared" si="12"/>
        <v>0.3183878922686707</v>
      </c>
      <c r="W45" s="57" t="s">
        <v>202</v>
      </c>
      <c r="X45" s="57">
        <f>T45</f>
        <v>304.02668800000004</v>
      </c>
    </row>
    <row r="46" spans="2:24" ht="13.15" thickBot="1" x14ac:dyDescent="0.4">
      <c r="B46" s="86" t="s">
        <v>189</v>
      </c>
      <c r="C46" s="87"/>
      <c r="D46" s="87"/>
      <c r="E46" s="70"/>
      <c r="F46" s="88">
        <f>SUM(F40:F45)</f>
        <v>0</v>
      </c>
      <c r="G46" s="88">
        <f t="shared" ref="G46:T46" si="13">SUM(G40:G45)</f>
        <v>0</v>
      </c>
      <c r="H46" s="88">
        <f t="shared" si="13"/>
        <v>0</v>
      </c>
      <c r="I46" s="88">
        <f t="shared" si="13"/>
        <v>0</v>
      </c>
      <c r="J46" s="88">
        <f>SUM(J40:J45)</f>
        <v>600.83964900000001</v>
      </c>
      <c r="K46" s="88">
        <f t="shared" si="13"/>
        <v>681.0647929999999</v>
      </c>
      <c r="L46" s="88">
        <f t="shared" si="13"/>
        <v>819.08766299999991</v>
      </c>
      <c r="M46" s="88">
        <f t="shared" si="13"/>
        <v>802.04124200000001</v>
      </c>
      <c r="N46" s="88">
        <f t="shared" si="13"/>
        <v>1010.2157600000002</v>
      </c>
      <c r="O46" s="88">
        <f t="shared" si="13"/>
        <v>837.23387100000002</v>
      </c>
      <c r="P46" s="88">
        <f t="shared" si="13"/>
        <v>662.65061000000003</v>
      </c>
      <c r="Q46" s="88">
        <f t="shared" si="13"/>
        <v>702.36062299999992</v>
      </c>
      <c r="R46" s="88">
        <f t="shared" si="13"/>
        <v>6115.4942110000011</v>
      </c>
      <c r="S46" s="88">
        <f t="shared" si="13"/>
        <v>0</v>
      </c>
      <c r="T46" s="88">
        <f t="shared" si="13"/>
        <v>6115.4942110000011</v>
      </c>
      <c r="U46" s="101">
        <f t="shared" si="12"/>
        <v>6.404369711193076</v>
      </c>
      <c r="V46" s="88"/>
      <c r="W46" s="88"/>
      <c r="X46" s="88">
        <f>SUM(X40:X45)</f>
        <v>5579.0110815000016</v>
      </c>
    </row>
    <row r="47" spans="2:24" x14ac:dyDescent="0.35">
      <c r="B47" s="89" t="s">
        <v>190</v>
      </c>
      <c r="C47" s="90"/>
      <c r="D47" s="90"/>
      <c r="E47" s="91"/>
      <c r="F47" s="92">
        <f>F38-F46</f>
        <v>0</v>
      </c>
      <c r="G47" s="92">
        <f t="shared" ref="G47:T47" si="14">G38-G46</f>
        <v>0</v>
      </c>
      <c r="H47" s="92">
        <f t="shared" si="14"/>
        <v>0</v>
      </c>
      <c r="I47" s="92">
        <f t="shared" si="14"/>
        <v>0</v>
      </c>
      <c r="J47" s="92">
        <f t="shared" si="14"/>
        <v>-643.425837</v>
      </c>
      <c r="K47" s="92">
        <f t="shared" si="14"/>
        <v>-701.51398099999994</v>
      </c>
      <c r="L47" s="92">
        <f t="shared" si="14"/>
        <v>-841.03460599999994</v>
      </c>
      <c r="M47" s="92">
        <f t="shared" si="14"/>
        <v>-772.54879400000004</v>
      </c>
      <c r="N47" s="92">
        <f t="shared" si="14"/>
        <v>-1016.4993320000002</v>
      </c>
      <c r="O47" s="92">
        <f t="shared" si="14"/>
        <v>-799.17009700000006</v>
      </c>
      <c r="P47" s="92">
        <f t="shared" si="14"/>
        <v>-584.65078400000004</v>
      </c>
      <c r="Q47" s="92">
        <f t="shared" si="14"/>
        <v>-637.36979999999994</v>
      </c>
      <c r="R47" s="92">
        <f t="shared" si="14"/>
        <v>-5997.2832310000013</v>
      </c>
      <c r="S47" s="92">
        <f t="shared" si="14"/>
        <v>0</v>
      </c>
      <c r="T47" s="92">
        <f t="shared" si="14"/>
        <v>-5997.2832310000013</v>
      </c>
      <c r="U47" s="104">
        <f>T47/$T$17</f>
        <v>-6.2805748397204306</v>
      </c>
      <c r="V47" s="92"/>
      <c r="W47" s="92"/>
      <c r="X47" s="92">
        <f>X38-X46</f>
        <v>-4943.0268011090411</v>
      </c>
    </row>
    <row r="48" spans="2:24" x14ac:dyDescent="0.35">
      <c r="B48" s="27" t="s">
        <v>275</v>
      </c>
      <c r="C48" s="6"/>
      <c r="D48" s="6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>
        <f>T47*V48</f>
        <v>-3298.5057770500011</v>
      </c>
      <c r="U48" s="105"/>
      <c r="V48" s="105">
        <f>'Site list'!H5</f>
        <v>0.55000000000000004</v>
      </c>
      <c r="W48" s="118" t="s">
        <v>277</v>
      </c>
      <c r="X48" s="85">
        <f>X47*V48</f>
        <v>-2718.6647406099728</v>
      </c>
    </row>
    <row r="49" spans="2:24" ht="3" customHeight="1" x14ac:dyDescent="0.35">
      <c r="B49" s="27"/>
      <c r="C49" s="6"/>
      <c r="D49" s="6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105"/>
      <c r="V49" s="85"/>
      <c r="W49" s="85"/>
      <c r="X49" s="85"/>
    </row>
    <row r="50" spans="2:24" x14ac:dyDescent="0.35">
      <c r="B50" s="27"/>
      <c r="C50" s="2" t="s">
        <v>185</v>
      </c>
      <c r="D50" s="6"/>
      <c r="F50" s="57">
        <f>SUM(F51:F55)</f>
        <v>0</v>
      </c>
      <c r="G50" s="57">
        <f t="shared" ref="G50:P50" si="15">SUM(G51:G55)</f>
        <v>0</v>
      </c>
      <c r="H50" s="57">
        <f t="shared" si="15"/>
        <v>0</v>
      </c>
      <c r="I50" s="57">
        <f t="shared" si="15"/>
        <v>0</v>
      </c>
      <c r="J50" s="57">
        <f t="shared" si="15"/>
        <v>1.1666669999999999</v>
      </c>
      <c r="K50" s="57">
        <f t="shared" si="15"/>
        <v>89.587036999999995</v>
      </c>
      <c r="L50" s="57">
        <f t="shared" si="15"/>
        <v>140.77777800000001</v>
      </c>
      <c r="M50" s="57">
        <f t="shared" si="15"/>
        <v>145.71326200000001</v>
      </c>
      <c r="N50" s="57">
        <f t="shared" si="15"/>
        <v>146.444445</v>
      </c>
      <c r="O50" s="57">
        <f t="shared" si="15"/>
        <v>146.444445</v>
      </c>
      <c r="P50" s="57">
        <f t="shared" si="15"/>
        <v>146.444445</v>
      </c>
      <c r="Q50" s="57">
        <f>P50</f>
        <v>146.444445</v>
      </c>
      <c r="R50" s="57">
        <f>SUM(R51:R55)</f>
        <v>963.02252400000009</v>
      </c>
      <c r="S50" s="57">
        <f>SUM(S51:S55)</f>
        <v>0</v>
      </c>
      <c r="T50" s="57">
        <f>SUM(T51:T55)</f>
        <v>963.02252400000009</v>
      </c>
      <c r="U50" s="96">
        <f t="shared" ref="U50:U60" si="16">T50/$T$17</f>
        <v>1.0085124882971304</v>
      </c>
      <c r="V50" s="57"/>
      <c r="W50" s="57" t="s">
        <v>202</v>
      </c>
      <c r="X50" s="57">
        <f>T50</f>
        <v>963.02252400000009</v>
      </c>
    </row>
    <row r="51" spans="2:24" outlineLevel="1" x14ac:dyDescent="0.35">
      <c r="B51" s="27"/>
      <c r="D51" s="6"/>
      <c r="E51" s="93" t="s">
        <v>6</v>
      </c>
      <c r="F51" s="94"/>
      <c r="G51" s="94"/>
      <c r="H51" s="94"/>
      <c r="I51" s="94"/>
      <c r="J51" s="94">
        <v>1.1666669999999999</v>
      </c>
      <c r="K51" s="94">
        <v>77.025925999999998</v>
      </c>
      <c r="L51" s="94">
        <v>120.944445</v>
      </c>
      <c r="M51" s="94">
        <v>125.879929</v>
      </c>
      <c r="N51" s="94">
        <v>126.61111200000001</v>
      </c>
      <c r="O51" s="94">
        <v>126.61111200000001</v>
      </c>
      <c r="P51" s="94">
        <v>126.61111200000001</v>
      </c>
      <c r="Q51" s="94">
        <v>126.61111200000001</v>
      </c>
      <c r="R51" s="94">
        <f t="shared" ref="R51:R56" si="17">SUMIFS($F51:$Q51,$F$7:$Q$7,"A")</f>
        <v>831.4614150000001</v>
      </c>
      <c r="S51" s="94">
        <f t="shared" ref="S51:S56" si="18">SUMIFS($F51:$Q51,$F$7:$Q$7,"B")</f>
        <v>0</v>
      </c>
      <c r="T51" s="95">
        <f t="shared" ref="T51:T58" si="19">SUM(R51:S51)</f>
        <v>831.4614150000001</v>
      </c>
      <c r="U51" s="96">
        <f t="shared" si="16"/>
        <v>0.87073687236489083</v>
      </c>
      <c r="V51" s="94"/>
      <c r="W51" s="57" t="s">
        <v>202</v>
      </c>
      <c r="X51" s="95">
        <f t="shared" ref="X51:X56" si="20">T51</f>
        <v>831.4614150000001</v>
      </c>
    </row>
    <row r="52" spans="2:24" outlineLevel="1" x14ac:dyDescent="0.35">
      <c r="B52" s="27"/>
      <c r="D52" s="6"/>
      <c r="E52" s="93" t="s">
        <v>7</v>
      </c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>
        <f>P52</f>
        <v>0</v>
      </c>
      <c r="R52" s="94">
        <f t="shared" si="17"/>
        <v>0</v>
      </c>
      <c r="S52" s="94">
        <f t="shared" si="18"/>
        <v>0</v>
      </c>
      <c r="T52" s="95">
        <f t="shared" si="19"/>
        <v>0</v>
      </c>
      <c r="U52" s="96">
        <f t="shared" si="16"/>
        <v>0</v>
      </c>
      <c r="V52" s="94"/>
      <c r="W52" s="57" t="s">
        <v>202</v>
      </c>
      <c r="X52" s="95">
        <f t="shared" si="20"/>
        <v>0</v>
      </c>
    </row>
    <row r="53" spans="2:24" outlineLevel="1" x14ac:dyDescent="0.35">
      <c r="B53" s="27"/>
      <c r="D53" s="6"/>
      <c r="E53" s="93" t="s">
        <v>8</v>
      </c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>
        <f>P53</f>
        <v>0</v>
      </c>
      <c r="R53" s="94">
        <f t="shared" si="17"/>
        <v>0</v>
      </c>
      <c r="S53" s="94">
        <f t="shared" si="18"/>
        <v>0</v>
      </c>
      <c r="T53" s="95">
        <f t="shared" si="19"/>
        <v>0</v>
      </c>
      <c r="U53" s="96">
        <f t="shared" si="16"/>
        <v>0</v>
      </c>
      <c r="V53" s="94"/>
      <c r="W53" s="57" t="s">
        <v>202</v>
      </c>
      <c r="X53" s="95">
        <f t="shared" si="20"/>
        <v>0</v>
      </c>
    </row>
    <row r="54" spans="2:24" outlineLevel="1" x14ac:dyDescent="0.35">
      <c r="B54" s="27"/>
      <c r="D54" s="6"/>
      <c r="E54" s="93" t="s">
        <v>9</v>
      </c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>
        <f>P54</f>
        <v>0</v>
      </c>
      <c r="R54" s="94">
        <f t="shared" si="17"/>
        <v>0</v>
      </c>
      <c r="S54" s="94">
        <f t="shared" si="18"/>
        <v>0</v>
      </c>
      <c r="T54" s="95">
        <f t="shared" si="19"/>
        <v>0</v>
      </c>
      <c r="U54" s="96">
        <f t="shared" si="16"/>
        <v>0</v>
      </c>
      <c r="V54" s="94"/>
      <c r="W54" s="57" t="s">
        <v>202</v>
      </c>
      <c r="X54" s="95">
        <f t="shared" si="20"/>
        <v>0</v>
      </c>
    </row>
    <row r="55" spans="2:24" outlineLevel="1" x14ac:dyDescent="0.35">
      <c r="B55" s="27"/>
      <c r="D55" s="6"/>
      <c r="E55" s="93" t="s">
        <v>10</v>
      </c>
      <c r="F55" s="94"/>
      <c r="G55" s="94"/>
      <c r="H55" s="94"/>
      <c r="I55" s="94"/>
      <c r="J55" s="94">
        <v>0</v>
      </c>
      <c r="K55" s="94">
        <v>12.561111</v>
      </c>
      <c r="L55" s="94">
        <v>19.833333</v>
      </c>
      <c r="M55" s="94">
        <v>19.833333</v>
      </c>
      <c r="N55" s="94">
        <v>19.833333</v>
      </c>
      <c r="O55" s="94">
        <v>19.833333</v>
      </c>
      <c r="P55" s="94">
        <v>19.833333</v>
      </c>
      <c r="Q55" s="94">
        <v>19.833333</v>
      </c>
      <c r="R55" s="94">
        <f t="shared" si="17"/>
        <v>131.56110899999999</v>
      </c>
      <c r="S55" s="94">
        <f t="shared" si="18"/>
        <v>0</v>
      </c>
      <c r="T55" s="95">
        <f t="shared" si="19"/>
        <v>131.56110899999999</v>
      </c>
      <c r="U55" s="96">
        <f t="shared" si="16"/>
        <v>0.13777561593223958</v>
      </c>
      <c r="V55" s="94"/>
      <c r="W55" s="57" t="s">
        <v>202</v>
      </c>
      <c r="X55" s="95">
        <f t="shared" si="20"/>
        <v>131.56110899999999</v>
      </c>
    </row>
    <row r="56" spans="2:24" x14ac:dyDescent="0.35">
      <c r="B56" s="27"/>
      <c r="C56" s="2" t="s">
        <v>195</v>
      </c>
      <c r="D56" s="6"/>
      <c r="E56" s="93"/>
      <c r="F56" s="109"/>
      <c r="G56" s="109"/>
      <c r="H56" s="109"/>
      <c r="I56" s="109"/>
      <c r="J56" s="103">
        <v>132.23988900000001</v>
      </c>
      <c r="K56" s="103">
        <v>134.80887799999999</v>
      </c>
      <c r="L56" s="103">
        <v>319.80887799999999</v>
      </c>
      <c r="M56" s="103">
        <v>165.27094099999999</v>
      </c>
      <c r="N56" s="103">
        <v>182.07976300000001</v>
      </c>
      <c r="O56" s="103">
        <v>182.07976300000001</v>
      </c>
      <c r="P56" s="103">
        <v>234.21212399999999</v>
      </c>
      <c r="Q56" s="103">
        <v>246.30084400000001</v>
      </c>
      <c r="R56" s="57">
        <f t="shared" si="17"/>
        <v>1596.80108</v>
      </c>
      <c r="S56" s="57">
        <f t="shared" si="18"/>
        <v>0</v>
      </c>
      <c r="T56" s="57">
        <f t="shared" si="19"/>
        <v>1596.80108</v>
      </c>
      <c r="U56" s="96">
        <f t="shared" si="16"/>
        <v>1.672228624328983</v>
      </c>
      <c r="V56" s="94"/>
      <c r="W56" s="57" t="s">
        <v>202</v>
      </c>
      <c r="X56" s="57">
        <f t="shared" si="20"/>
        <v>1596.80108</v>
      </c>
    </row>
    <row r="57" spans="2:24" x14ac:dyDescent="0.35">
      <c r="C57" s="2" t="s">
        <v>191</v>
      </c>
      <c r="D57" s="55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>
        <v>0</v>
      </c>
      <c r="R57" s="57">
        <f>SUMIFS($F57:$Q57,$F$7:$Q$7,"A")</f>
        <v>0</v>
      </c>
      <c r="S57" s="57">
        <f>SUMIFS($F57:$Q57,$F$7:$Q$7,"B")</f>
        <v>0</v>
      </c>
      <c r="T57" s="57">
        <f t="shared" si="19"/>
        <v>0</v>
      </c>
      <c r="U57" s="96">
        <f t="shared" si="16"/>
        <v>0</v>
      </c>
      <c r="V57" s="59"/>
      <c r="W57" s="59"/>
      <c r="X57" s="59">
        <v>0</v>
      </c>
    </row>
    <row r="58" spans="2:24" x14ac:dyDescent="0.35">
      <c r="C58" s="2" t="s">
        <v>208</v>
      </c>
      <c r="D58" s="55"/>
      <c r="F58" s="60"/>
      <c r="G58" s="60"/>
      <c r="H58" s="60"/>
      <c r="I58" s="60"/>
      <c r="J58" s="60">
        <v>98</v>
      </c>
      <c r="K58" s="60">
        <v>100</v>
      </c>
      <c r="L58" s="60">
        <v>100</v>
      </c>
      <c r="M58" s="60">
        <v>100</v>
      </c>
      <c r="N58" s="60">
        <v>100</v>
      </c>
      <c r="O58" s="60">
        <v>100</v>
      </c>
      <c r="P58" s="60">
        <v>100</v>
      </c>
      <c r="Q58" s="62">
        <v>100</v>
      </c>
      <c r="R58" s="57">
        <f>SUMIFS($F58:$Q58,$F$7:$Q$7,"A")</f>
        <v>798</v>
      </c>
      <c r="S58" s="57">
        <f>SUMIFS($F58:$Q58,$F$7:$Q$7,"B")</f>
        <v>0</v>
      </c>
      <c r="T58" s="57">
        <f t="shared" si="19"/>
        <v>798</v>
      </c>
      <c r="U58" s="96">
        <f t="shared" si="16"/>
        <v>0.83569485199404336</v>
      </c>
      <c r="V58" s="110"/>
      <c r="W58" s="111"/>
      <c r="X58" s="111">
        <f>V58*X47</f>
        <v>0</v>
      </c>
    </row>
    <row r="59" spans="2:24" x14ac:dyDescent="0.35">
      <c r="B59" s="86" t="s">
        <v>48</v>
      </c>
      <c r="C59" s="87"/>
      <c r="D59" s="87"/>
      <c r="E59" s="70"/>
      <c r="F59" s="88">
        <f>F47-F50-F56+SUM(F57:F58)</f>
        <v>0</v>
      </c>
      <c r="G59" s="88">
        <f>G47-G50-G56+SUM(G57:G58)</f>
        <v>0</v>
      </c>
      <c r="H59" s="88">
        <f t="shared" ref="H59:S59" si="21">H47-H50-H56+SUM(H57:H58)</f>
        <v>0</v>
      </c>
      <c r="I59" s="88">
        <f t="shared" si="21"/>
        <v>0</v>
      </c>
      <c r="J59" s="88">
        <f>J47-J50-J56+SUM(J57:J58)</f>
        <v>-678.83239299999991</v>
      </c>
      <c r="K59" s="88">
        <f t="shared" si="21"/>
        <v>-825.90989599999989</v>
      </c>
      <c r="L59" s="88">
        <f t="shared" si="21"/>
        <v>-1201.6212619999999</v>
      </c>
      <c r="M59" s="88">
        <f t="shared" si="21"/>
        <v>-983.53299700000002</v>
      </c>
      <c r="N59" s="88">
        <f t="shared" si="21"/>
        <v>-1245.0235400000001</v>
      </c>
      <c r="O59" s="88">
        <f t="shared" si="21"/>
        <v>-1027.694305</v>
      </c>
      <c r="P59" s="88">
        <f t="shared" si="21"/>
        <v>-865.30735300000003</v>
      </c>
      <c r="Q59" s="88">
        <f t="shared" si="21"/>
        <v>-930.1150889999999</v>
      </c>
      <c r="R59" s="88">
        <f t="shared" si="21"/>
        <v>-7759.1068350000005</v>
      </c>
      <c r="S59" s="88">
        <f t="shared" si="21"/>
        <v>0</v>
      </c>
      <c r="T59" s="88">
        <f>T47-T50-T56+SUM(T57:T58)</f>
        <v>-7759.1068350000005</v>
      </c>
      <c r="U59" s="101">
        <f t="shared" si="16"/>
        <v>-8.1256211003525003</v>
      </c>
      <c r="V59" s="88"/>
      <c r="W59" s="88"/>
      <c r="X59" s="88">
        <f>X47-X50-X56+SUM(X57:X58)</f>
        <v>-7502.8504051090413</v>
      </c>
    </row>
    <row r="60" spans="2:24" ht="13.15" thickBot="1" x14ac:dyDescent="0.4">
      <c r="C60" s="2" t="s">
        <v>193</v>
      </c>
      <c r="D60" s="55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>
        <f>T59*20%</f>
        <v>-1551.8213670000002</v>
      </c>
      <c r="U60" s="105">
        <f t="shared" si="16"/>
        <v>-1.6251242200705003</v>
      </c>
      <c r="V60" s="59"/>
      <c r="W60" s="59"/>
      <c r="X60" s="59">
        <f>X59*20%</f>
        <v>-1500.5700810218084</v>
      </c>
    </row>
    <row r="61" spans="2:24" x14ac:dyDescent="0.35">
      <c r="B61" s="89" t="s">
        <v>194</v>
      </c>
      <c r="C61" s="90"/>
      <c r="D61" s="90"/>
      <c r="E61" s="91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>
        <f>T59-T60</f>
        <v>-6207.285468</v>
      </c>
      <c r="U61" s="92"/>
      <c r="V61" s="92"/>
      <c r="W61" s="92"/>
      <c r="X61" s="92">
        <f>X59-X60</f>
        <v>-6002.2803240872327</v>
      </c>
    </row>
    <row r="62" spans="2:24" ht="13.15" thickBot="1" x14ac:dyDescent="0.4">
      <c r="C62" s="2" t="s">
        <v>204</v>
      </c>
      <c r="D62" s="55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>
        <f>T61*V62</f>
        <v>-928.81631070433309</v>
      </c>
      <c r="U62" s="59"/>
      <c r="V62" s="108">
        <v>0.14963325200566288</v>
      </c>
      <c r="W62" s="59"/>
      <c r="X62" s="59">
        <f>X61*V62</f>
        <v>-898.14072434277671</v>
      </c>
    </row>
    <row r="63" spans="2:24" ht="13.15" hidden="1" thickBot="1" x14ac:dyDescent="0.4">
      <c r="B63" s="28" t="s">
        <v>99</v>
      </c>
    </row>
    <row r="64" spans="2:24" ht="13.15" hidden="1" thickBot="1" x14ac:dyDescent="0.4">
      <c r="C64" s="6" t="s">
        <v>137</v>
      </c>
    </row>
    <row r="65" spans="3:16" ht="13.15" hidden="1" thickBot="1" x14ac:dyDescent="0.4">
      <c r="E65" s="2" t="s">
        <v>6</v>
      </c>
      <c r="F65" s="57">
        <v>257</v>
      </c>
      <c r="G65" s="57">
        <v>402</v>
      </c>
      <c r="H65" s="57">
        <v>460</v>
      </c>
      <c r="I65" s="57">
        <v>538</v>
      </c>
      <c r="J65" s="57">
        <v>463</v>
      </c>
      <c r="K65" s="57">
        <v>437</v>
      </c>
      <c r="L65" s="57">
        <v>449</v>
      </c>
      <c r="M65" s="57">
        <v>358</v>
      </c>
      <c r="N65" s="57">
        <v>373</v>
      </c>
      <c r="O65" s="57">
        <v>353</v>
      </c>
      <c r="P65" s="57">
        <v>327</v>
      </c>
    </row>
    <row r="66" spans="3:16" ht="13.15" hidden="1" thickBot="1" x14ac:dyDescent="0.4">
      <c r="E66" s="2" t="s">
        <v>7</v>
      </c>
      <c r="F66" s="57">
        <v>7</v>
      </c>
      <c r="G66" s="57">
        <v>16</v>
      </c>
      <c r="H66" s="57">
        <v>17</v>
      </c>
      <c r="I66" s="57">
        <v>37</v>
      </c>
      <c r="J66" s="57">
        <v>22</v>
      </c>
      <c r="K66" s="57">
        <v>18</v>
      </c>
      <c r="L66" s="57">
        <v>21</v>
      </c>
      <c r="M66" s="57">
        <v>28</v>
      </c>
      <c r="N66" s="57">
        <v>20</v>
      </c>
      <c r="O66" s="57">
        <v>18</v>
      </c>
      <c r="P66" s="57">
        <v>17</v>
      </c>
    </row>
    <row r="67" spans="3:16" ht="13.15" hidden="1" thickBot="1" x14ac:dyDescent="0.4">
      <c r="E67" s="2" t="s">
        <v>8</v>
      </c>
      <c r="F67" s="57">
        <v>108</v>
      </c>
      <c r="G67" s="57">
        <v>143</v>
      </c>
      <c r="H67" s="57">
        <v>166</v>
      </c>
      <c r="I67" s="57">
        <v>201</v>
      </c>
      <c r="J67" s="57">
        <v>134</v>
      </c>
      <c r="K67" s="57">
        <v>106</v>
      </c>
      <c r="L67" s="57">
        <v>81</v>
      </c>
      <c r="M67" s="57">
        <v>76</v>
      </c>
      <c r="N67" s="57">
        <v>82</v>
      </c>
      <c r="O67" s="57">
        <v>92</v>
      </c>
      <c r="P67" s="58">
        <v>83</v>
      </c>
    </row>
    <row r="68" spans="3:16" ht="13.15" hidden="1" thickBot="1" x14ac:dyDescent="0.4">
      <c r="E68" s="2" t="s">
        <v>9</v>
      </c>
      <c r="F68" s="57">
        <v>58</v>
      </c>
      <c r="G68" s="57">
        <v>83</v>
      </c>
      <c r="H68" s="57">
        <v>147</v>
      </c>
      <c r="I68" s="57">
        <v>228</v>
      </c>
      <c r="J68" s="57">
        <v>168</v>
      </c>
      <c r="K68" s="57">
        <v>188</v>
      </c>
      <c r="L68" s="57">
        <v>203</v>
      </c>
      <c r="M68" s="57">
        <v>155</v>
      </c>
      <c r="N68" s="57">
        <v>167</v>
      </c>
      <c r="O68" s="57">
        <v>144</v>
      </c>
      <c r="P68" s="57">
        <v>187</v>
      </c>
    </row>
    <row r="69" spans="3:16" ht="13.15" hidden="1" thickBot="1" x14ac:dyDescent="0.4">
      <c r="E69" s="2" t="s">
        <v>10</v>
      </c>
      <c r="F69" s="57">
        <v>36</v>
      </c>
      <c r="G69" s="57">
        <v>72</v>
      </c>
      <c r="H69" s="57">
        <v>67</v>
      </c>
      <c r="I69" s="57">
        <v>57</v>
      </c>
      <c r="J69" s="57">
        <v>42</v>
      </c>
      <c r="K69" s="57">
        <v>38</v>
      </c>
      <c r="L69" s="58">
        <v>85</v>
      </c>
      <c r="M69" s="57">
        <v>46</v>
      </c>
      <c r="N69" s="57">
        <v>79</v>
      </c>
      <c r="O69" s="57">
        <v>82</v>
      </c>
      <c r="P69" s="57">
        <v>44</v>
      </c>
    </row>
    <row r="70" spans="3:16" ht="13.15" hidden="1" thickBot="1" x14ac:dyDescent="0.4">
      <c r="D70" s="55" t="s">
        <v>134</v>
      </c>
      <c r="F70" s="59">
        <f>SUM(F65:F69)</f>
        <v>466</v>
      </c>
      <c r="G70" s="59">
        <f t="shared" ref="G70:P70" si="22">SUM(G65:G69)</f>
        <v>716</v>
      </c>
      <c r="H70" s="59">
        <f t="shared" si="22"/>
        <v>857</v>
      </c>
      <c r="I70" s="59">
        <f t="shared" si="22"/>
        <v>1061</v>
      </c>
      <c r="J70" s="59">
        <f t="shared" si="22"/>
        <v>829</v>
      </c>
      <c r="K70" s="59">
        <f t="shared" si="22"/>
        <v>787</v>
      </c>
      <c r="L70" s="59">
        <f t="shared" si="22"/>
        <v>839</v>
      </c>
      <c r="M70" s="59">
        <f t="shared" si="22"/>
        <v>663</v>
      </c>
      <c r="N70" s="59">
        <f t="shared" si="22"/>
        <v>721</v>
      </c>
      <c r="O70" s="59">
        <f t="shared" si="22"/>
        <v>689</v>
      </c>
      <c r="P70" s="59">
        <f t="shared" si="22"/>
        <v>658</v>
      </c>
    </row>
    <row r="71" spans="3:16" ht="13.15" hidden="1" thickBot="1" x14ac:dyDescent="0.4">
      <c r="D71" s="55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</row>
    <row r="72" spans="3:16" ht="13.15" hidden="1" thickBot="1" x14ac:dyDescent="0.4">
      <c r="C72" s="6" t="s">
        <v>138</v>
      </c>
      <c r="D72" s="55"/>
      <c r="F72" s="59">
        <v>30</v>
      </c>
      <c r="G72" s="59">
        <f>28-7</f>
        <v>21</v>
      </c>
      <c r="H72" s="59">
        <v>31</v>
      </c>
      <c r="I72" s="59">
        <f>30-2</f>
        <v>28</v>
      </c>
      <c r="J72" s="59">
        <v>31</v>
      </c>
      <c r="K72" s="59">
        <v>30</v>
      </c>
      <c r="L72" s="59">
        <v>31</v>
      </c>
      <c r="M72" s="59">
        <v>31</v>
      </c>
      <c r="N72" s="59">
        <f>30-2</f>
        <v>28</v>
      </c>
      <c r="O72" s="59">
        <v>31</v>
      </c>
      <c r="P72" s="59">
        <v>30</v>
      </c>
    </row>
    <row r="73" spans="3:16" ht="13.15" hidden="1" thickBot="1" x14ac:dyDescent="0.4">
      <c r="D73" s="55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</row>
    <row r="74" spans="3:16" ht="13.15" hidden="1" thickBot="1" x14ac:dyDescent="0.4">
      <c r="C74" s="6" t="s">
        <v>133</v>
      </c>
    </row>
    <row r="75" spans="3:16" ht="13.15" hidden="1" thickBot="1" x14ac:dyDescent="0.4">
      <c r="E75" s="2" t="s">
        <v>6</v>
      </c>
    </row>
    <row r="76" spans="3:16" ht="13.15" hidden="1" thickBot="1" x14ac:dyDescent="0.4">
      <c r="E76" s="2" t="s">
        <v>7</v>
      </c>
    </row>
    <row r="77" spans="3:16" ht="13.15" hidden="1" thickBot="1" x14ac:dyDescent="0.4">
      <c r="E77" s="2" t="s">
        <v>8</v>
      </c>
    </row>
    <row r="78" spans="3:16" ht="13.15" hidden="1" thickBot="1" x14ac:dyDescent="0.4">
      <c r="E78" s="2" t="s">
        <v>9</v>
      </c>
    </row>
    <row r="79" spans="3:16" ht="13.15" hidden="1" thickBot="1" x14ac:dyDescent="0.4">
      <c r="E79" s="2" t="s">
        <v>10</v>
      </c>
    </row>
    <row r="80" spans="3:16" ht="13.15" hidden="1" thickBot="1" x14ac:dyDescent="0.4">
      <c r="D80" s="55" t="s">
        <v>134</v>
      </c>
    </row>
    <row r="81" spans="2:24" ht="13.15" hidden="1" thickBot="1" x14ac:dyDescent="0.4">
      <c r="C81" s="6" t="s">
        <v>140</v>
      </c>
      <c r="D81" s="55"/>
    </row>
    <row r="82" spans="2:24" ht="13.15" hidden="1" thickBot="1" x14ac:dyDescent="0.4">
      <c r="D82" s="55"/>
      <c r="E82" s="2" t="s">
        <v>6</v>
      </c>
    </row>
    <row r="83" spans="2:24" ht="13.15" hidden="1" thickBot="1" x14ac:dyDescent="0.4">
      <c r="D83" s="55"/>
      <c r="E83" s="2" t="s">
        <v>7</v>
      </c>
    </row>
    <row r="84" spans="2:24" ht="13.15" hidden="1" thickBot="1" x14ac:dyDescent="0.4">
      <c r="D84" s="55"/>
      <c r="E84" s="2" t="s">
        <v>8</v>
      </c>
    </row>
    <row r="85" spans="2:24" ht="13.15" hidden="1" thickBot="1" x14ac:dyDescent="0.4">
      <c r="D85" s="55"/>
      <c r="E85" s="2" t="s">
        <v>9</v>
      </c>
    </row>
    <row r="86" spans="2:24" ht="13.15" hidden="1" thickBot="1" x14ac:dyDescent="0.4">
      <c r="D86" s="55"/>
      <c r="E86" s="2" t="s">
        <v>10</v>
      </c>
    </row>
    <row r="87" spans="2:24" ht="13.15" hidden="1" thickBot="1" x14ac:dyDescent="0.4">
      <c r="C87" s="6" t="s">
        <v>139</v>
      </c>
    </row>
    <row r="88" spans="2:24" ht="13.15" hidden="1" thickBot="1" x14ac:dyDescent="0.4">
      <c r="E88" s="2" t="s">
        <v>6</v>
      </c>
    </row>
    <row r="89" spans="2:24" ht="13.15" hidden="1" thickBot="1" x14ac:dyDescent="0.4">
      <c r="E89" s="2" t="s">
        <v>7</v>
      </c>
    </row>
    <row r="90" spans="2:24" ht="13.15" hidden="1" thickBot="1" x14ac:dyDescent="0.4">
      <c r="E90" s="2" t="s">
        <v>8</v>
      </c>
    </row>
    <row r="91" spans="2:24" ht="13.15" hidden="1" thickBot="1" x14ac:dyDescent="0.4">
      <c r="E91" s="2" t="s">
        <v>9</v>
      </c>
    </row>
    <row r="92" spans="2:24" ht="13.15" hidden="1" thickBot="1" x14ac:dyDescent="0.4">
      <c r="E92" s="2" t="s">
        <v>10</v>
      </c>
    </row>
    <row r="93" spans="2:24" x14ac:dyDescent="0.35">
      <c r="B93" s="90" t="s">
        <v>205</v>
      </c>
      <c r="C93" s="90"/>
      <c r="D93" s="91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>
        <f>T61-T62</f>
        <v>-5278.4691572956672</v>
      </c>
      <c r="U93" s="92"/>
      <c r="V93" s="92"/>
      <c r="W93" s="92"/>
      <c r="X93" s="92">
        <f>X61-X62</f>
        <v>-5104.1395997444561</v>
      </c>
    </row>
    <row r="95" spans="2:24" x14ac:dyDescent="0.35">
      <c r="B95" s="6" t="s">
        <v>281</v>
      </c>
      <c r="V95" s="202">
        <f>'Site list'!G5</f>
        <v>10000</v>
      </c>
    </row>
    <row r="96" spans="2:24" x14ac:dyDescent="0.35">
      <c r="B96" s="6" t="s">
        <v>280</v>
      </c>
      <c r="V96" s="201">
        <f>1-'Site list'!H5</f>
        <v>0.44999999999999996</v>
      </c>
      <c r="X96" s="200">
        <f>V95*V96</f>
        <v>4500</v>
      </c>
    </row>
    <row r="98" spans="2:24" x14ac:dyDescent="0.35">
      <c r="B98" s="6" t="s">
        <v>301</v>
      </c>
    </row>
    <row r="99" spans="2:24" x14ac:dyDescent="0.35">
      <c r="E99" s="2" t="s">
        <v>6</v>
      </c>
      <c r="F99" s="84"/>
      <c r="G99" s="84"/>
      <c r="H99" s="84"/>
      <c r="I99" s="84"/>
      <c r="J99" s="217">
        <v>18</v>
      </c>
      <c r="K99" s="217">
        <v>22</v>
      </c>
      <c r="L99" s="217">
        <v>29</v>
      </c>
      <c r="M99" s="217">
        <v>39</v>
      </c>
      <c r="N99" s="217">
        <v>28</v>
      </c>
      <c r="O99" s="217">
        <v>44</v>
      </c>
      <c r="P99" s="217">
        <v>79</v>
      </c>
      <c r="Q99" s="217">
        <v>72</v>
      </c>
      <c r="T99" s="84">
        <f>SUM(F99:Q99)</f>
        <v>331</v>
      </c>
      <c r="W99" s="201">
        <f>T99/SUM(T99:T100)</f>
        <v>0.76267281105990781</v>
      </c>
      <c r="X99" s="84">
        <f>X107*T103</f>
        <v>264</v>
      </c>
    </row>
    <row r="100" spans="2:24" x14ac:dyDescent="0.35">
      <c r="E100" s="2" t="s">
        <v>10</v>
      </c>
      <c r="F100" s="84"/>
      <c r="G100" s="84"/>
      <c r="H100" s="84"/>
      <c r="I100" s="84"/>
      <c r="J100" s="217">
        <v>25</v>
      </c>
      <c r="K100" s="217">
        <v>24</v>
      </c>
      <c r="L100" s="217">
        <v>11</v>
      </c>
      <c r="M100" s="217">
        <v>6</v>
      </c>
      <c r="N100" s="217">
        <v>9</v>
      </c>
      <c r="O100" s="217">
        <v>8</v>
      </c>
      <c r="P100" s="217">
        <v>18</v>
      </c>
      <c r="Q100" s="217">
        <v>2</v>
      </c>
      <c r="T100" s="84">
        <f>SUM(F100:Q100)</f>
        <v>103</v>
      </c>
      <c r="X100" s="84">
        <f>X108*T104</f>
        <v>128</v>
      </c>
    </row>
    <row r="102" spans="2:24" x14ac:dyDescent="0.35">
      <c r="B102" s="6" t="s">
        <v>438</v>
      </c>
    </row>
    <row r="103" spans="2:24" x14ac:dyDescent="0.35">
      <c r="E103" s="2" t="s">
        <v>6</v>
      </c>
      <c r="J103" s="2">
        <f t="shared" ref="J103:Q103" si="23">30*9*60/20</f>
        <v>810</v>
      </c>
      <c r="K103" s="2">
        <f t="shared" si="23"/>
        <v>810</v>
      </c>
      <c r="L103" s="2">
        <f t="shared" si="23"/>
        <v>810</v>
      </c>
      <c r="M103" s="2">
        <f t="shared" si="23"/>
        <v>810</v>
      </c>
      <c r="N103" s="2">
        <f t="shared" si="23"/>
        <v>810</v>
      </c>
      <c r="O103" s="2">
        <f t="shared" si="23"/>
        <v>810</v>
      </c>
      <c r="P103" s="2">
        <f t="shared" si="23"/>
        <v>810</v>
      </c>
      <c r="Q103" s="2">
        <f t="shared" si="23"/>
        <v>810</v>
      </c>
      <c r="T103" s="84">
        <f>SUM(F103:Q103)</f>
        <v>6480</v>
      </c>
    </row>
    <row r="104" spans="2:24" x14ac:dyDescent="0.35">
      <c r="E104" s="2" t="s">
        <v>10</v>
      </c>
      <c r="J104" s="2">
        <f t="shared" ref="J104:Q104" si="24">30*9*60/15</f>
        <v>1080</v>
      </c>
      <c r="K104" s="2">
        <f t="shared" si="24"/>
        <v>1080</v>
      </c>
      <c r="L104" s="2">
        <f t="shared" si="24"/>
        <v>1080</v>
      </c>
      <c r="M104" s="2">
        <f t="shared" si="24"/>
        <v>1080</v>
      </c>
      <c r="N104" s="2">
        <f t="shared" si="24"/>
        <v>1080</v>
      </c>
      <c r="O104" s="2">
        <f t="shared" si="24"/>
        <v>1080</v>
      </c>
      <c r="P104" s="2">
        <f t="shared" si="24"/>
        <v>1080</v>
      </c>
      <c r="Q104" s="2">
        <f t="shared" si="24"/>
        <v>1080</v>
      </c>
      <c r="T104" s="84">
        <f>SUM(F104:Q104)</f>
        <v>8640</v>
      </c>
    </row>
    <row r="106" spans="2:24" x14ac:dyDescent="0.35">
      <c r="B106" s="6" t="s">
        <v>442</v>
      </c>
    </row>
    <row r="107" spans="2:24" x14ac:dyDescent="0.35">
      <c r="E107" s="2" t="s">
        <v>6</v>
      </c>
      <c r="F107" s="201"/>
      <c r="G107" s="201"/>
      <c r="H107" s="201"/>
      <c r="I107" s="201"/>
      <c r="J107" s="201">
        <f t="shared" ref="J107:Q108" si="25">J99/J103</f>
        <v>2.2222222222222223E-2</v>
      </c>
      <c r="K107" s="201">
        <f t="shared" si="25"/>
        <v>2.7160493827160494E-2</v>
      </c>
      <c r="L107" s="201">
        <f t="shared" si="25"/>
        <v>3.580246913580247E-2</v>
      </c>
      <c r="M107" s="201">
        <f t="shared" si="25"/>
        <v>4.8148148148148148E-2</v>
      </c>
      <c r="N107" s="201">
        <f t="shared" si="25"/>
        <v>3.4567901234567898E-2</v>
      </c>
      <c r="O107" s="201">
        <f t="shared" si="25"/>
        <v>5.4320987654320987E-2</v>
      </c>
      <c r="P107" s="201">
        <f t="shared" si="25"/>
        <v>9.7530864197530862E-2</v>
      </c>
      <c r="Q107" s="201">
        <f t="shared" si="25"/>
        <v>8.8888888888888892E-2</v>
      </c>
      <c r="T107" s="201">
        <f>T99/T103</f>
        <v>5.1080246913580249E-2</v>
      </c>
      <c r="X107" s="97">
        <f>AVERAGE(I107,K107,O107)</f>
        <v>4.0740740740740744E-2</v>
      </c>
    </row>
    <row r="108" spans="2:24" x14ac:dyDescent="0.35">
      <c r="E108" s="2" t="s">
        <v>10</v>
      </c>
      <c r="F108" s="201"/>
      <c r="G108" s="201"/>
      <c r="H108" s="201"/>
      <c r="I108" s="201"/>
      <c r="J108" s="201">
        <f t="shared" si="25"/>
        <v>2.3148148148148147E-2</v>
      </c>
      <c r="K108" s="201">
        <f t="shared" si="25"/>
        <v>2.2222222222222223E-2</v>
      </c>
      <c r="L108" s="201">
        <f t="shared" si="25"/>
        <v>1.0185185185185186E-2</v>
      </c>
      <c r="M108" s="201">
        <f t="shared" si="25"/>
        <v>5.5555555555555558E-3</v>
      </c>
      <c r="N108" s="201">
        <f t="shared" si="25"/>
        <v>8.3333333333333332E-3</v>
      </c>
      <c r="O108" s="201">
        <f t="shared" si="25"/>
        <v>7.4074074074074077E-3</v>
      </c>
      <c r="P108" s="201">
        <f t="shared" si="25"/>
        <v>1.6666666666666666E-2</v>
      </c>
      <c r="Q108" s="201">
        <f t="shared" si="25"/>
        <v>1.8518518518518519E-3</v>
      </c>
      <c r="T108" s="201">
        <f>T100/T104</f>
        <v>1.1921296296296296E-2</v>
      </c>
      <c r="X108" s="97">
        <f>AVERAGE(K108,M108,P108)</f>
        <v>1.4814814814814815E-2</v>
      </c>
    </row>
    <row r="109" spans="2:24" x14ac:dyDescent="0.35">
      <c r="B109" s="6" t="s">
        <v>444</v>
      </c>
    </row>
    <row r="110" spans="2:24" x14ac:dyDescent="0.35">
      <c r="E110" s="2" t="s">
        <v>6</v>
      </c>
      <c r="F110" s="62"/>
      <c r="G110" s="62"/>
      <c r="H110" s="62"/>
      <c r="I110" s="62"/>
      <c r="J110" s="62">
        <f t="shared" ref="J110:Q110" si="26">J12*10^6/J99</f>
        <v>2862222.222222222</v>
      </c>
      <c r="K110" s="62">
        <f t="shared" si="26"/>
        <v>5424727.2727272725</v>
      </c>
      <c r="L110" s="62">
        <f t="shared" si="26"/>
        <v>3757241.3793103448</v>
      </c>
      <c r="M110" s="62">
        <f t="shared" si="26"/>
        <v>2662820.512820513</v>
      </c>
      <c r="N110" s="62">
        <f t="shared" si="26"/>
        <v>2385714.2857142859</v>
      </c>
      <c r="O110" s="62">
        <f t="shared" si="26"/>
        <v>2338636.3636363638</v>
      </c>
      <c r="P110" s="62">
        <f t="shared" si="26"/>
        <v>2506582.2784810127</v>
      </c>
      <c r="Q110" s="62">
        <f t="shared" si="26"/>
        <v>2463888.888888889</v>
      </c>
      <c r="T110" s="62">
        <f>T12*10^6/T99</f>
        <v>2806024.1691842899</v>
      </c>
    </row>
    <row r="111" spans="2:24" x14ac:dyDescent="0.35">
      <c r="E111" s="2" t="s">
        <v>10</v>
      </c>
      <c r="F111" s="62"/>
      <c r="G111" s="62"/>
      <c r="H111" s="62"/>
      <c r="I111" s="62"/>
      <c r="J111" s="62">
        <f t="shared" ref="J111:Q111" si="27">J16*10^6/J100</f>
        <v>175040</v>
      </c>
      <c r="K111" s="62">
        <f t="shared" si="27"/>
        <v>280583.33333333331</v>
      </c>
      <c r="L111" s="62">
        <f t="shared" si="27"/>
        <v>293636.36363636365</v>
      </c>
      <c r="M111" s="62">
        <f t="shared" si="27"/>
        <v>291666.66666666669</v>
      </c>
      <c r="N111" s="62">
        <f t="shared" si="27"/>
        <v>250000</v>
      </c>
      <c r="O111" s="62">
        <f t="shared" si="27"/>
        <v>266250</v>
      </c>
      <c r="P111" s="62">
        <f t="shared" si="27"/>
        <v>285000</v>
      </c>
      <c r="Q111" s="62">
        <f t="shared" si="27"/>
        <v>250000</v>
      </c>
      <c r="T111" s="62">
        <f>T16*10^6/T100</f>
        <v>253398.05825242714</v>
      </c>
    </row>
    <row r="113" spans="2:20" x14ac:dyDescent="0.35">
      <c r="B113" s="6" t="s">
        <v>466</v>
      </c>
    </row>
    <row r="114" spans="2:20" x14ac:dyDescent="0.35">
      <c r="E114" s="2" t="s">
        <v>6</v>
      </c>
      <c r="J114" s="62">
        <f>J35*10^6/J99</f>
        <v>24691.333333333332</v>
      </c>
      <c r="K114" s="62">
        <f t="shared" ref="K114:Q114" si="28">K35*10^6/K99</f>
        <v>180295.27272727274</v>
      </c>
      <c r="L114" s="62">
        <f t="shared" si="28"/>
        <v>1052242.3103448276</v>
      </c>
      <c r="M114" s="62">
        <f t="shared" si="28"/>
        <v>228139.38461538462</v>
      </c>
      <c r="N114" s="62">
        <f t="shared" si="28"/>
        <v>292857.14285714284</v>
      </c>
      <c r="O114" s="62">
        <f t="shared" si="28"/>
        <v>427954.54545454547</v>
      </c>
      <c r="P114" s="62">
        <f t="shared" si="28"/>
        <v>503544.30379746837</v>
      </c>
      <c r="Q114" s="62">
        <f t="shared" si="28"/>
        <v>545972.22222222225</v>
      </c>
    </row>
    <row r="115" spans="2:20" x14ac:dyDescent="0.35">
      <c r="E115" s="2" t="s">
        <v>10</v>
      </c>
      <c r="J115" s="62">
        <f>J36*10^6/J100</f>
        <v>0</v>
      </c>
      <c r="K115" s="62">
        <f t="shared" ref="K115:Q115" si="29">K36*10^6/K100</f>
        <v>0</v>
      </c>
      <c r="L115" s="62">
        <f t="shared" si="29"/>
        <v>0</v>
      </c>
      <c r="M115" s="62">
        <f t="shared" si="29"/>
        <v>0</v>
      </c>
      <c r="N115" s="62">
        <f t="shared" si="29"/>
        <v>2777.7777777777778</v>
      </c>
      <c r="O115" s="62">
        <f t="shared" si="29"/>
        <v>0</v>
      </c>
      <c r="P115" s="62">
        <f t="shared" si="29"/>
        <v>8388.8888888888887</v>
      </c>
      <c r="Q115" s="62">
        <f t="shared" si="29"/>
        <v>0</v>
      </c>
    </row>
    <row r="116" spans="2:20" x14ac:dyDescent="0.35">
      <c r="B116" s="6" t="s">
        <v>468</v>
      </c>
    </row>
    <row r="117" spans="2:20" x14ac:dyDescent="0.35">
      <c r="E117" s="2" t="s">
        <v>6</v>
      </c>
      <c r="J117" s="62">
        <f>J31*10^6/J99</f>
        <v>314814.77777777775</v>
      </c>
      <c r="K117" s="62">
        <f t="shared" ref="K117:Q117" si="30">K31*10^6/K99</f>
        <v>893601.40909090906</v>
      </c>
      <c r="L117" s="62">
        <f t="shared" si="30"/>
        <v>401060.96551724139</v>
      </c>
      <c r="M117" s="62">
        <f t="shared" si="30"/>
        <v>-187909.25641025641</v>
      </c>
      <c r="N117" s="62">
        <f t="shared" si="30"/>
        <v>379285.75</v>
      </c>
      <c r="O117" s="62">
        <f t="shared" si="30"/>
        <v>140151.52272727274</v>
      </c>
      <c r="P117" s="62">
        <f t="shared" si="30"/>
        <v>177684.01265822785</v>
      </c>
      <c r="Q117" s="62">
        <f t="shared" si="30"/>
        <v>167438.27777777778</v>
      </c>
      <c r="T117" s="62">
        <f>T31*10^6/T99</f>
        <v>219055.78549848942</v>
      </c>
    </row>
    <row r="118" spans="2:20" x14ac:dyDescent="0.35">
      <c r="E118" s="2" t="s">
        <v>10</v>
      </c>
      <c r="J118" s="57">
        <f>J33*10^6/J100</f>
        <v>38897.760000000002</v>
      </c>
      <c r="K118" s="57">
        <f t="shared" ref="K118:Q118" si="31">K33*10^6/K100</f>
        <v>77037.041666666672</v>
      </c>
      <c r="L118" s="57">
        <f t="shared" si="31"/>
        <v>29899</v>
      </c>
      <c r="M118" s="57">
        <f t="shared" si="31"/>
        <v>250000.5</v>
      </c>
      <c r="N118" s="57">
        <f t="shared" si="31"/>
        <v>27777.777777777777</v>
      </c>
      <c r="O118" s="57">
        <f t="shared" si="31"/>
        <v>46875</v>
      </c>
      <c r="P118" s="57">
        <f t="shared" si="31"/>
        <v>146111.11111111112</v>
      </c>
      <c r="Q118" s="57">
        <f t="shared" si="31"/>
        <v>125000</v>
      </c>
      <c r="T118" s="62">
        <f>T33*10^6/T100</f>
        <v>79176.941747572841</v>
      </c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6C72F-C908-459F-AD06-DDD704F33E43}">
  <dimension ref="B3:Y39"/>
  <sheetViews>
    <sheetView workbookViewId="0">
      <pane xSplit="5" ySplit="9" topLeftCell="F10" activePane="bottomRight" state="frozen"/>
      <selection pane="topRight" activeCell="E1" sqref="E1"/>
      <selection pane="bottomLeft" activeCell="A4" sqref="A4"/>
      <selection pane="bottomRight" activeCell="F39" sqref="F39"/>
    </sheetView>
  </sheetViews>
  <sheetFormatPr defaultColWidth="9.1328125" defaultRowHeight="12.75" outlineLevelCol="1" x14ac:dyDescent="0.35"/>
  <cols>
    <col min="1" max="3" width="3.73046875" style="2" customWidth="1"/>
    <col min="4" max="4" width="3.86328125" style="2" customWidth="1"/>
    <col min="5" max="5" width="45.1328125" style="2" customWidth="1"/>
    <col min="6" max="7" width="9.1328125" style="2" customWidth="1" outlineLevel="1"/>
    <col min="8" max="8" width="9" style="2" customWidth="1" outlineLevel="1"/>
    <col min="9" max="16" width="9.1328125" style="2" customWidth="1" outlineLevel="1"/>
    <col min="17" max="17" width="10.265625" style="2" bestFit="1" customWidth="1"/>
    <col min="18" max="18" width="12.265625" style="2" customWidth="1"/>
    <col min="19" max="19" width="12.1328125" style="2" customWidth="1"/>
    <col min="20" max="20" width="10.59765625" style="2" customWidth="1"/>
    <col min="21" max="21" width="18.59765625" style="2" customWidth="1"/>
    <col min="22" max="22" width="11.3984375" style="2" customWidth="1"/>
    <col min="23" max="23" width="12.86328125" style="2" customWidth="1"/>
    <col min="24" max="24" width="13.1328125" style="2" customWidth="1"/>
    <col min="25" max="16384" width="9.1328125" style="2"/>
  </cols>
  <sheetData>
    <row r="3" spans="2:25" x14ac:dyDescent="0.35">
      <c r="H3" s="60"/>
    </row>
    <row r="4" spans="2:25" x14ac:dyDescent="0.35">
      <c r="B4" s="2" t="s">
        <v>25</v>
      </c>
    </row>
    <row r="5" spans="2:25" x14ac:dyDescent="0.35">
      <c r="J5" s="2">
        <f>10^6</f>
        <v>1000000</v>
      </c>
    </row>
    <row r="6" spans="2:25" x14ac:dyDescent="0.35">
      <c r="B6" s="27" t="s">
        <v>632</v>
      </c>
    </row>
    <row r="7" spans="2:25" s="6" customFormat="1" x14ac:dyDescent="0.35">
      <c r="B7" s="6" t="s">
        <v>341</v>
      </c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</row>
    <row r="8" spans="2:25" x14ac:dyDescent="0.35">
      <c r="B8" s="32" t="s">
        <v>55</v>
      </c>
      <c r="F8" s="32" t="s">
        <v>52</v>
      </c>
    </row>
    <row r="9" spans="2:25" ht="13.5" x14ac:dyDescent="0.35">
      <c r="B9" s="45" t="s">
        <v>101</v>
      </c>
      <c r="F9" s="61">
        <v>1</v>
      </c>
      <c r="G9" s="61">
        <v>2</v>
      </c>
      <c r="H9" s="61">
        <v>3</v>
      </c>
      <c r="I9" s="61">
        <v>4</v>
      </c>
      <c r="J9" s="61">
        <v>5</v>
      </c>
      <c r="K9" s="61">
        <v>6</v>
      </c>
      <c r="L9" s="61">
        <v>7</v>
      </c>
      <c r="M9" s="61">
        <v>8</v>
      </c>
      <c r="N9" s="61">
        <v>9</v>
      </c>
      <c r="O9" s="61">
        <v>10</v>
      </c>
      <c r="P9" s="61">
        <v>11</v>
      </c>
      <c r="Q9" s="61">
        <v>12</v>
      </c>
      <c r="R9" s="73" t="s">
        <v>309</v>
      </c>
      <c r="S9" s="113"/>
      <c r="T9" s="114"/>
      <c r="U9" s="114"/>
      <c r="V9" s="32"/>
      <c r="W9" s="32"/>
      <c r="X9" s="6"/>
      <c r="Y9" s="73"/>
    </row>
    <row r="10" spans="2:25" x14ac:dyDescent="0.35">
      <c r="B10" s="27"/>
      <c r="D10" s="6"/>
      <c r="Q10" s="58"/>
    </row>
    <row r="11" spans="2:25" x14ac:dyDescent="0.35">
      <c r="B11" s="27" t="s">
        <v>634</v>
      </c>
      <c r="D11" s="6"/>
      <c r="Q11" s="58"/>
    </row>
    <row r="12" spans="2:25" x14ac:dyDescent="0.35">
      <c r="B12" s="27"/>
      <c r="C12" s="6" t="s">
        <v>635</v>
      </c>
      <c r="D12" s="6"/>
      <c r="Q12" s="58"/>
    </row>
    <row r="13" spans="2:25" x14ac:dyDescent="0.35">
      <c r="B13" s="27"/>
      <c r="D13" s="2" t="s">
        <v>147</v>
      </c>
      <c r="F13" s="62">
        <v>18.706499999999998</v>
      </c>
      <c r="G13" s="62">
        <v>32.763615999999999</v>
      </c>
      <c r="H13" s="62">
        <v>33.217500000000001</v>
      </c>
      <c r="I13" s="62">
        <v>39.113999999999997</v>
      </c>
      <c r="J13" s="62">
        <v>31.729500000000002</v>
      </c>
      <c r="K13" s="62">
        <v>28.893000000000001</v>
      </c>
      <c r="L13" s="62">
        <v>29.878499999999999</v>
      </c>
      <c r="M13" s="62">
        <v>24.502500000000001</v>
      </c>
      <c r="N13" s="62">
        <v>25.5825</v>
      </c>
      <c r="O13" s="62">
        <v>24.614999999999998</v>
      </c>
      <c r="P13" s="62">
        <v>23.275500000000001</v>
      </c>
      <c r="Q13" s="62">
        <v>26.329499999999999</v>
      </c>
      <c r="R13" s="84">
        <f>SUM(F13:Q13)</f>
        <v>338.60761600000001</v>
      </c>
    </row>
    <row r="14" spans="2:25" x14ac:dyDescent="0.35">
      <c r="B14" s="27"/>
      <c r="C14" s="6" t="s">
        <v>636</v>
      </c>
      <c r="F14" s="475">
        <f>669014/(10^6)</f>
        <v>0.669014</v>
      </c>
      <c r="G14" s="475">
        <f>418297/(10^6)</f>
        <v>0.41829699999999997</v>
      </c>
      <c r="H14" s="475">
        <f>335955/(10^6)</f>
        <v>0.335955</v>
      </c>
      <c r="I14" s="475">
        <f>337278/(10^6)</f>
        <v>0.33727800000000002</v>
      </c>
      <c r="J14" s="475">
        <f>491876/(10^6)</f>
        <v>0.49187599999999998</v>
      </c>
      <c r="K14" s="475">
        <f>711006/(10^6)</f>
        <v>0.71100600000000003</v>
      </c>
      <c r="L14" s="475">
        <f>1044100/(10^6)</f>
        <v>1.0441</v>
      </c>
      <c r="M14" s="475">
        <f>666914/(10^6)</f>
        <v>0.66691400000000001</v>
      </c>
      <c r="N14" s="475">
        <f>107587/(10^6)</f>
        <v>0.107587</v>
      </c>
      <c r="O14" s="475">
        <f>544410/(10^6)</f>
        <v>0.54440999999999995</v>
      </c>
      <c r="P14" s="475">
        <f>15112/(10^6)</f>
        <v>1.5112E-2</v>
      </c>
      <c r="Q14" s="475">
        <f>35448/(10^6)</f>
        <v>3.5448E-2</v>
      </c>
      <c r="R14" s="84">
        <f>SUM(F14:Q14)</f>
        <v>5.3769970000000002</v>
      </c>
    </row>
    <row r="15" spans="2:25" x14ac:dyDescent="0.35">
      <c r="B15" s="27"/>
      <c r="C15" s="476" t="s">
        <v>633</v>
      </c>
      <c r="D15" s="308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474"/>
      <c r="R15" s="66"/>
    </row>
    <row r="16" spans="2:25" x14ac:dyDescent="0.35">
      <c r="B16" s="27" t="s">
        <v>328</v>
      </c>
      <c r="D16" s="55"/>
      <c r="F16" s="222"/>
      <c r="G16" s="222"/>
      <c r="H16" s="222"/>
      <c r="I16" s="222"/>
      <c r="J16" s="222"/>
      <c r="K16" s="222"/>
      <c r="L16" s="222"/>
      <c r="M16" s="222"/>
      <c r="N16" s="222"/>
      <c r="O16" s="222"/>
      <c r="P16" s="222"/>
      <c r="Q16" s="59"/>
      <c r="R16" s="58"/>
      <c r="S16" s="59"/>
      <c r="T16" s="59"/>
      <c r="U16" s="59"/>
      <c r="V16" s="118"/>
      <c r="Y16" s="59"/>
    </row>
    <row r="17" spans="2:25" x14ac:dyDescent="0.35">
      <c r="B17" s="27"/>
      <c r="C17" s="6" t="s">
        <v>489</v>
      </c>
      <c r="D17" s="55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59"/>
      <c r="R17" s="58"/>
      <c r="S17" s="59"/>
      <c r="T17" s="59"/>
      <c r="U17" s="59"/>
      <c r="V17" s="118"/>
      <c r="Y17" s="59"/>
    </row>
    <row r="18" spans="2:25" x14ac:dyDescent="0.35">
      <c r="B18" s="27"/>
      <c r="D18" s="2" t="s">
        <v>310</v>
      </c>
      <c r="F18" s="62">
        <f>(155512140+66200000)/(10^6)</f>
        <v>221.71214000000001</v>
      </c>
      <c r="G18" s="62">
        <f>160823330/(10^6)</f>
        <v>160.82333</v>
      </c>
      <c r="H18" s="62">
        <f>143835714/(10^6)</f>
        <v>143.835714</v>
      </c>
      <c r="I18" s="62">
        <f>127451000/(10^6)</f>
        <v>127.45099999999999</v>
      </c>
      <c r="J18" s="62">
        <f>165916286/(10^6)</f>
        <v>165.91628600000001</v>
      </c>
      <c r="K18" s="62">
        <f>153919000/(10^6)</f>
        <v>153.91900000000001</v>
      </c>
      <c r="L18" s="62">
        <f>115347000/(10^6)</f>
        <v>115.34699999999999</v>
      </c>
      <c r="M18" s="62">
        <f>155172000/(10^6)</f>
        <v>155.172</v>
      </c>
      <c r="N18" s="62">
        <f>144285000/(10^6)</f>
        <v>144.285</v>
      </c>
      <c r="O18" s="62">
        <f>97856000/(10^6)</f>
        <v>97.855999999999995</v>
      </c>
      <c r="P18" s="62">
        <f>97280000/(10^6)</f>
        <v>97.28</v>
      </c>
      <c r="Q18" s="62">
        <f>277387000/(10^6)</f>
        <v>277.387</v>
      </c>
      <c r="R18" s="57">
        <f t="shared" ref="R18:R24" si="0">SUM(F18:Q18)</f>
        <v>1860.9844700000001</v>
      </c>
      <c r="S18" s="59"/>
      <c r="T18" s="59"/>
      <c r="U18" s="59"/>
      <c r="V18" s="118"/>
      <c r="Y18" s="59"/>
    </row>
    <row r="19" spans="2:25" x14ac:dyDescent="0.35">
      <c r="B19" s="27"/>
      <c r="D19" s="2" t="s">
        <v>344</v>
      </c>
      <c r="F19" s="62">
        <f>46666666.6666667/(10^6)</f>
        <v>46.6666666666667</v>
      </c>
      <c r="G19" s="62">
        <f>46666666.6666667/(10^6)</f>
        <v>46.6666666666667</v>
      </c>
      <c r="H19" s="62">
        <f t="shared" ref="H19:Q19" si="1">46666667/(10^6)</f>
        <v>46.666666999999997</v>
      </c>
      <c r="I19" s="62">
        <f t="shared" si="1"/>
        <v>46.666666999999997</v>
      </c>
      <c r="J19" s="62">
        <f t="shared" si="1"/>
        <v>46.666666999999997</v>
      </c>
      <c r="K19" s="62">
        <f t="shared" si="1"/>
        <v>46.666666999999997</v>
      </c>
      <c r="L19" s="62">
        <f t="shared" si="1"/>
        <v>46.666666999999997</v>
      </c>
      <c r="M19" s="62">
        <f t="shared" si="1"/>
        <v>46.666666999999997</v>
      </c>
      <c r="N19" s="62">
        <f t="shared" si="1"/>
        <v>46.666666999999997</v>
      </c>
      <c r="O19" s="62">
        <f t="shared" si="1"/>
        <v>46.666666999999997</v>
      </c>
      <c r="P19" s="62">
        <f t="shared" si="1"/>
        <v>46.666666999999997</v>
      </c>
      <c r="Q19" s="62">
        <f t="shared" si="1"/>
        <v>46.666666999999997</v>
      </c>
      <c r="R19" s="57">
        <f t="shared" si="0"/>
        <v>560.00000333333344</v>
      </c>
      <c r="S19" s="59"/>
      <c r="T19" s="59"/>
      <c r="U19" s="59"/>
      <c r="V19" s="118"/>
      <c r="Y19" s="59"/>
    </row>
    <row r="20" spans="2:25" x14ac:dyDescent="0.35">
      <c r="B20" s="27"/>
      <c r="D20" s="2" t="s">
        <v>491</v>
      </c>
      <c r="F20" s="195">
        <v>12.458180333333337</v>
      </c>
      <c r="G20" s="195">
        <v>2.5490603333333359</v>
      </c>
      <c r="H20" s="195">
        <v>3.8034530000000002</v>
      </c>
      <c r="I20" s="195">
        <v>5.5761399999999997</v>
      </c>
      <c r="J20" s="195">
        <v>4.5547829999999996</v>
      </c>
      <c r="K20" s="195">
        <v>14.616739000000001</v>
      </c>
      <c r="L20" s="195">
        <v>35.742724000000003</v>
      </c>
      <c r="M20" s="195">
        <v>16.454799999999999</v>
      </c>
      <c r="N20" s="195">
        <v>17.371877999999999</v>
      </c>
      <c r="O20" s="195">
        <v>17.925774000000001</v>
      </c>
      <c r="P20" s="195">
        <v>9.2830300000000001</v>
      </c>
      <c r="Q20" s="195">
        <v>13.849766000000001</v>
      </c>
      <c r="R20" s="57">
        <f t="shared" si="0"/>
        <v>154.18632766666667</v>
      </c>
      <c r="S20" s="59"/>
      <c r="T20" s="59"/>
      <c r="U20" s="59"/>
      <c r="V20" s="118"/>
      <c r="Y20" s="59"/>
    </row>
    <row r="21" spans="2:25" x14ac:dyDescent="0.35">
      <c r="C21" s="6"/>
      <c r="D21" s="2" t="s">
        <v>345</v>
      </c>
      <c r="F21" s="195">
        <v>10.338782</v>
      </c>
      <c r="G21" s="195">
        <v>0</v>
      </c>
      <c r="H21" s="195">
        <v>5.027933</v>
      </c>
      <c r="I21" s="195">
        <v>5.8776359999999999</v>
      </c>
      <c r="J21" s="195">
        <v>3.3490600000000001</v>
      </c>
      <c r="K21" s="195">
        <v>0</v>
      </c>
      <c r="L21" s="195">
        <v>0.1595</v>
      </c>
      <c r="M21" s="195">
        <v>0</v>
      </c>
      <c r="N21" s="195">
        <v>0</v>
      </c>
      <c r="O21" s="195">
        <v>0</v>
      </c>
      <c r="P21" s="195">
        <v>0</v>
      </c>
      <c r="Q21" s="195">
        <v>0</v>
      </c>
      <c r="R21" s="57">
        <f t="shared" si="0"/>
        <v>24.752911000000001</v>
      </c>
      <c r="S21" s="85"/>
      <c r="T21" s="85"/>
      <c r="U21" s="85"/>
      <c r="V21" s="85"/>
      <c r="W21" s="85"/>
      <c r="X21" s="85"/>
      <c r="Y21" s="85"/>
    </row>
    <row r="22" spans="2:25" x14ac:dyDescent="0.35">
      <c r="C22" s="6"/>
      <c r="D22" s="2" t="s">
        <v>346</v>
      </c>
      <c r="F22" s="195">
        <v>1.46462</v>
      </c>
      <c r="G22" s="195">
        <v>1.5579000000000001</v>
      </c>
      <c r="H22" s="195">
        <v>1.2388999999999999</v>
      </c>
      <c r="I22" s="195">
        <v>4.0589000000000004</v>
      </c>
      <c r="J22" s="195">
        <v>0.43890000000000001</v>
      </c>
      <c r="K22" s="195">
        <v>0.3135</v>
      </c>
      <c r="L22" s="195">
        <v>15.385189</v>
      </c>
      <c r="M22" s="195">
        <v>8.3845159999999996</v>
      </c>
      <c r="N22" s="195">
        <v>10.379175999999999</v>
      </c>
      <c r="O22" s="195">
        <v>23.338630999999999</v>
      </c>
      <c r="P22" s="195">
        <v>25.970652000000001</v>
      </c>
      <c r="Q22" s="195">
        <v>29.686803000000001</v>
      </c>
      <c r="R22" s="57">
        <f t="shared" si="0"/>
        <v>122.217687</v>
      </c>
      <c r="S22" s="85"/>
      <c r="T22" s="85"/>
      <c r="U22" s="85"/>
      <c r="V22" s="85"/>
      <c r="W22" s="85"/>
      <c r="X22" s="85"/>
      <c r="Y22" s="85"/>
    </row>
    <row r="23" spans="2:25" x14ac:dyDescent="0.35">
      <c r="D23" s="2" t="s">
        <v>347</v>
      </c>
      <c r="F23" s="195">
        <v>0</v>
      </c>
      <c r="G23" s="195">
        <v>3.3048000000000002</v>
      </c>
      <c r="H23" s="195">
        <v>0</v>
      </c>
      <c r="I23" s="195">
        <v>0</v>
      </c>
      <c r="J23" s="195">
        <v>2.5</v>
      </c>
      <c r="K23" s="195">
        <v>16.646000000000001</v>
      </c>
      <c r="L23" s="195">
        <v>0</v>
      </c>
      <c r="M23" s="195">
        <v>1.8680000000000001</v>
      </c>
      <c r="N23" s="195">
        <v>3.8</v>
      </c>
      <c r="O23" s="195">
        <v>1.1998800000000001</v>
      </c>
      <c r="P23" s="195">
        <v>0</v>
      </c>
      <c r="Q23" s="195">
        <v>35.744497000000003</v>
      </c>
      <c r="R23" s="57">
        <f t="shared" si="0"/>
        <v>65.063176999999996</v>
      </c>
      <c r="S23" s="62"/>
      <c r="T23" s="62"/>
      <c r="U23" s="57"/>
      <c r="V23" s="96"/>
      <c r="W23" s="97"/>
      <c r="Y23" s="57"/>
    </row>
    <row r="24" spans="2:25" x14ac:dyDescent="0.35">
      <c r="D24" s="2" t="s">
        <v>188</v>
      </c>
      <c r="F24" s="195">
        <v>57.445</v>
      </c>
      <c r="G24" s="195">
        <v>0.17599500000000001</v>
      </c>
      <c r="H24" s="195">
        <v>0.31845000000000001</v>
      </c>
      <c r="I24" s="195">
        <v>0.69362199999999996</v>
      </c>
      <c r="J24" s="195">
        <v>0.38335000000000002</v>
      </c>
      <c r="K24" s="195">
        <v>52.105212000000002</v>
      </c>
      <c r="L24" s="195">
        <v>3.7497579999999999</v>
      </c>
      <c r="M24" s="195">
        <v>42.452703999999997</v>
      </c>
      <c r="N24" s="195">
        <v>71.258127000000002</v>
      </c>
      <c r="O24" s="195">
        <v>34.455914</v>
      </c>
      <c r="P24" s="195">
        <v>91.830234000000004</v>
      </c>
      <c r="Q24" s="195">
        <v>49.349241999999997</v>
      </c>
      <c r="R24" s="57">
        <f t="shared" si="0"/>
        <v>404.21760800000004</v>
      </c>
      <c r="S24" s="62"/>
      <c r="T24" s="62"/>
      <c r="U24" s="57"/>
      <c r="V24" s="96"/>
      <c r="W24" s="97"/>
      <c r="Y24" s="57"/>
    </row>
    <row r="25" spans="2:25" x14ac:dyDescent="0.35">
      <c r="C25" s="6" t="s">
        <v>490</v>
      </c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62"/>
      <c r="S25" s="62"/>
      <c r="T25" s="62"/>
      <c r="U25" s="57"/>
      <c r="V25" s="96"/>
      <c r="W25" s="97"/>
      <c r="Y25" s="57"/>
    </row>
    <row r="26" spans="2:25" x14ac:dyDescent="0.35">
      <c r="C26" s="6"/>
      <c r="D26" s="2" t="s">
        <v>310</v>
      </c>
      <c r="F26" s="195">
        <v>126.55</v>
      </c>
      <c r="G26" s="195">
        <v>126.57</v>
      </c>
      <c r="H26" s="195">
        <v>126.074286</v>
      </c>
      <c r="I26" s="195">
        <v>128.47</v>
      </c>
      <c r="J26" s="195">
        <v>78.213454999999996</v>
      </c>
      <c r="K26" s="195">
        <v>89.614622999999995</v>
      </c>
      <c r="L26" s="195">
        <v>65.995000000000005</v>
      </c>
      <c r="M26" s="195">
        <v>76.986000000000004</v>
      </c>
      <c r="N26" s="195">
        <v>106.41500000000001</v>
      </c>
      <c r="O26" s="195">
        <v>50.128</v>
      </c>
      <c r="P26" s="195">
        <v>26.38</v>
      </c>
      <c r="Q26" s="195">
        <v>26.942</v>
      </c>
      <c r="R26" s="57">
        <f>SUM(F26:Q26)</f>
        <v>1028.338364</v>
      </c>
      <c r="S26" s="62"/>
      <c r="T26" s="62"/>
      <c r="U26" s="57"/>
      <c r="V26" s="96"/>
      <c r="W26" s="97"/>
      <c r="Y26" s="57"/>
    </row>
    <row r="27" spans="2:25" x14ac:dyDescent="0.35">
      <c r="C27" s="6"/>
      <c r="D27" s="2" t="s">
        <v>347</v>
      </c>
      <c r="F27" s="195">
        <v>35.744</v>
      </c>
      <c r="G27" s="195">
        <v>3.1566760422015192</v>
      </c>
      <c r="H27" s="195">
        <v>0</v>
      </c>
      <c r="I27" s="195">
        <v>0</v>
      </c>
      <c r="J27" s="195">
        <v>0</v>
      </c>
      <c r="K27" s="195">
        <v>0</v>
      </c>
      <c r="L27" s="195">
        <v>0</v>
      </c>
      <c r="M27" s="195">
        <v>0</v>
      </c>
      <c r="N27" s="195">
        <v>0</v>
      </c>
      <c r="O27" s="195">
        <v>0</v>
      </c>
      <c r="P27" s="195">
        <v>0</v>
      </c>
      <c r="Q27" s="195">
        <v>0</v>
      </c>
      <c r="R27" s="57">
        <f>SUM(F27:Q27)</f>
        <v>38.900676042201518</v>
      </c>
      <c r="S27" s="62"/>
      <c r="T27" s="62"/>
      <c r="U27" s="57"/>
      <c r="V27" s="96"/>
      <c r="W27" s="97"/>
      <c r="Y27" s="57"/>
    </row>
    <row r="28" spans="2:25" x14ac:dyDescent="0.35">
      <c r="C28" s="6"/>
      <c r="D28" s="2" t="s">
        <v>492</v>
      </c>
      <c r="F28" s="195">
        <v>0.257629</v>
      </c>
      <c r="G28" s="195">
        <v>2.2362549999999999</v>
      </c>
      <c r="H28" s="195">
        <v>3.7264304846782683</v>
      </c>
      <c r="I28" s="195">
        <v>2.0290089999999998</v>
      </c>
      <c r="J28" s="195">
        <v>4.1374890000000004</v>
      </c>
      <c r="K28" s="195">
        <v>8.0430320000000002</v>
      </c>
      <c r="L28" s="195">
        <v>3.9143539999999999</v>
      </c>
      <c r="M28" s="195">
        <v>2.545525</v>
      </c>
      <c r="N28" s="195">
        <v>0</v>
      </c>
      <c r="O28" s="195">
        <v>0</v>
      </c>
      <c r="P28" s="195">
        <v>0</v>
      </c>
      <c r="Q28" s="195">
        <v>0</v>
      </c>
      <c r="R28" s="57">
        <f>SUM(F28:Q28)</f>
        <v>26.889723484678271</v>
      </c>
      <c r="S28" s="62"/>
      <c r="T28" s="62"/>
      <c r="U28" s="57"/>
      <c r="V28" s="96"/>
      <c r="W28" s="97"/>
      <c r="Y28" s="57"/>
    </row>
    <row r="29" spans="2:25" x14ac:dyDescent="0.35">
      <c r="C29" s="6"/>
      <c r="D29" s="2" t="s">
        <v>345</v>
      </c>
      <c r="F29" s="195">
        <v>4.2220839999999997</v>
      </c>
      <c r="G29" s="195">
        <v>5.9349410000000002</v>
      </c>
      <c r="H29" s="195">
        <v>4.2220839999999997</v>
      </c>
      <c r="I29" s="195">
        <v>4.2220870000000001</v>
      </c>
      <c r="J29" s="195">
        <v>5.3881940000000004</v>
      </c>
      <c r="K29" s="195">
        <v>4.8522679999999996</v>
      </c>
      <c r="L29" s="195">
        <v>4.5263140000000002</v>
      </c>
      <c r="M29" s="195">
        <v>3.068228</v>
      </c>
      <c r="N29" s="195">
        <v>2.0947200000000001</v>
      </c>
      <c r="O29" s="195">
        <v>6.7130789999999996</v>
      </c>
      <c r="P29" s="195">
        <v>11.304259999999999</v>
      </c>
      <c r="Q29" s="195">
        <v>3.9988769999999998</v>
      </c>
      <c r="R29" s="57">
        <f>SUM(F29:Q29)</f>
        <v>60.547136000000002</v>
      </c>
      <c r="S29" s="62"/>
      <c r="T29" s="62"/>
      <c r="U29" s="57"/>
      <c r="V29" s="96"/>
      <c r="W29" s="97"/>
      <c r="Y29" s="57"/>
    </row>
    <row r="30" spans="2:25" x14ac:dyDescent="0.35">
      <c r="D30" s="2" t="s">
        <v>188</v>
      </c>
      <c r="F30" s="195">
        <v>62.480466999999997</v>
      </c>
      <c r="G30" s="195">
        <v>5.1426150000000002</v>
      </c>
      <c r="H30" s="195">
        <v>0</v>
      </c>
      <c r="I30" s="195">
        <v>4.9602226110972163</v>
      </c>
      <c r="J30" s="195">
        <v>4.3499999999999996</v>
      </c>
      <c r="K30" s="195">
        <v>20.218726</v>
      </c>
      <c r="L30" s="195">
        <v>12.895984</v>
      </c>
      <c r="M30" s="195">
        <v>22.824999999999999</v>
      </c>
      <c r="N30" s="195">
        <v>12.402941889205932</v>
      </c>
      <c r="O30" s="195">
        <v>0</v>
      </c>
      <c r="P30" s="195">
        <v>0</v>
      </c>
      <c r="Q30" s="195">
        <v>0</v>
      </c>
      <c r="R30" s="57">
        <f>SUM(F30:Q30)</f>
        <v>145.27595650030312</v>
      </c>
      <c r="S30" s="62"/>
      <c r="T30" s="62"/>
      <c r="U30" s="57"/>
      <c r="V30" s="96"/>
      <c r="W30" s="97"/>
      <c r="Y30" s="57"/>
    </row>
    <row r="31" spans="2:25" ht="13.15" thickBot="1" x14ac:dyDescent="0.4">
      <c r="C31" s="477" t="s">
        <v>637</v>
      </c>
      <c r="D31" s="100"/>
      <c r="E31" s="100"/>
      <c r="F31" s="226">
        <f t="shared" ref="F31:R31" si="2">SUM(F18:F30)</f>
        <v>579.33956899999998</v>
      </c>
      <c r="G31" s="226">
        <f t="shared" si="2"/>
        <v>358.11823904220148</v>
      </c>
      <c r="H31" s="226">
        <f t="shared" si="2"/>
        <v>334.91391748467822</v>
      </c>
      <c r="I31" s="226">
        <f t="shared" si="2"/>
        <v>330.00528361109713</v>
      </c>
      <c r="J31" s="226">
        <f t="shared" si="2"/>
        <v>315.89818400000001</v>
      </c>
      <c r="K31" s="226">
        <f t="shared" si="2"/>
        <v>406.99576699999994</v>
      </c>
      <c r="L31" s="226">
        <f t="shared" si="2"/>
        <v>304.38249000000002</v>
      </c>
      <c r="M31" s="226">
        <f t="shared" si="2"/>
        <v>376.42343999999991</v>
      </c>
      <c r="N31" s="226">
        <f t="shared" si="2"/>
        <v>414.67350988920595</v>
      </c>
      <c r="O31" s="226">
        <f t="shared" si="2"/>
        <v>278.28394499999996</v>
      </c>
      <c r="P31" s="226">
        <f t="shared" si="2"/>
        <v>308.71484299999997</v>
      </c>
      <c r="Q31" s="226">
        <f t="shared" si="2"/>
        <v>483.62485200000003</v>
      </c>
      <c r="R31" s="243">
        <f t="shared" si="2"/>
        <v>4491.3740400271836</v>
      </c>
      <c r="S31" s="62"/>
      <c r="T31" s="62"/>
      <c r="U31" s="57"/>
      <c r="V31" s="96"/>
      <c r="W31" s="97"/>
      <c r="Y31" s="57"/>
    </row>
    <row r="32" spans="2:25" x14ac:dyDescent="0.35">
      <c r="C32" s="478"/>
      <c r="F32" s="222"/>
      <c r="G32" s="222"/>
      <c r="H32" s="222"/>
      <c r="I32" s="222"/>
      <c r="J32" s="222"/>
      <c r="K32" s="222"/>
      <c r="L32" s="222"/>
      <c r="M32" s="222"/>
      <c r="N32" s="222"/>
      <c r="O32" s="222"/>
      <c r="P32" s="222"/>
      <c r="Q32" s="222"/>
      <c r="R32" s="85"/>
      <c r="S32" s="62"/>
      <c r="T32" s="62"/>
      <c r="U32" s="57"/>
      <c r="V32" s="96"/>
      <c r="W32" s="97"/>
      <c r="Y32" s="57"/>
    </row>
    <row r="33" spans="2:25" x14ac:dyDescent="0.35">
      <c r="B33" s="27" t="s">
        <v>494</v>
      </c>
      <c r="D33" s="6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S33" s="57"/>
      <c r="T33" s="57"/>
      <c r="U33" s="57"/>
      <c r="V33" s="96"/>
      <c r="W33" s="57"/>
      <c r="X33" s="57"/>
      <c r="Y33" s="57"/>
    </row>
    <row r="34" spans="2:25" x14ac:dyDescent="0.35">
      <c r="B34" s="27"/>
      <c r="C34" s="6" t="s">
        <v>489</v>
      </c>
    </row>
    <row r="35" spans="2:25" x14ac:dyDescent="0.35">
      <c r="D35" s="2" t="s">
        <v>493</v>
      </c>
      <c r="F35" s="62">
        <v>0</v>
      </c>
      <c r="G35" s="62">
        <v>17.002478</v>
      </c>
      <c r="H35" s="62">
        <v>18.516055000000001</v>
      </c>
      <c r="I35" s="62">
        <v>17.781877999999999</v>
      </c>
      <c r="J35" s="62">
        <v>17.781877999999999</v>
      </c>
      <c r="K35" s="62">
        <v>17.781877999999999</v>
      </c>
      <c r="L35" s="62">
        <v>17.781877999999999</v>
      </c>
      <c r="M35" s="62">
        <v>17.781877999999999</v>
      </c>
      <c r="N35" s="62">
        <v>13.160519000000001</v>
      </c>
      <c r="O35" s="62">
        <v>12.222284</v>
      </c>
      <c r="P35" s="62">
        <v>13.271413000000001</v>
      </c>
      <c r="Q35" s="62">
        <v>15.182245999999999</v>
      </c>
      <c r="R35" s="57">
        <f>SUM(F35:Q35)</f>
        <v>178.264385</v>
      </c>
    </row>
    <row r="36" spans="2:25" x14ac:dyDescent="0.35">
      <c r="C36" s="6" t="s">
        <v>490</v>
      </c>
    </row>
    <row r="37" spans="2:25" x14ac:dyDescent="0.35">
      <c r="D37" s="2" t="s">
        <v>493</v>
      </c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</row>
    <row r="38" spans="2:25" x14ac:dyDescent="0.35"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</row>
    <row r="39" spans="2:25" x14ac:dyDescent="0.35">
      <c r="B39" s="6" t="s">
        <v>191</v>
      </c>
      <c r="F39" s="62">
        <v>250.79844800000001</v>
      </c>
      <c r="G39" s="62">
        <v>0</v>
      </c>
      <c r="H39" s="62">
        <v>6.4926919999999999</v>
      </c>
      <c r="I39" s="62">
        <v>27.018232999999999</v>
      </c>
      <c r="J39" s="62">
        <v>0.82590200000000003</v>
      </c>
      <c r="K39" s="62">
        <v>0.82907900000000001</v>
      </c>
      <c r="L39" s="62">
        <v>0.93961799999999995</v>
      </c>
      <c r="M39" s="62">
        <v>0.101927</v>
      </c>
      <c r="N39" s="62">
        <v>0.13795299999999999</v>
      </c>
      <c r="O39" s="62">
        <v>0.17776400000000001</v>
      </c>
      <c r="P39" s="62">
        <v>3.3790000000000001E-2</v>
      </c>
      <c r="Q39" s="62">
        <v>0.11438</v>
      </c>
      <c r="R39" s="57">
        <f>SUM(F39:Q39)</f>
        <v>287.46978599999994</v>
      </c>
    </row>
  </sheetData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F849-DD3F-4AA5-BAE6-E4AB56364FAD}">
  <dimension ref="B4:T56"/>
  <sheetViews>
    <sheetView workbookViewId="0">
      <pane xSplit="5" ySplit="9" topLeftCell="F10" activePane="bottomRight" state="frozen"/>
      <selection pane="topRight" activeCell="E1" sqref="E1"/>
      <selection pane="bottomLeft" activeCell="A4" sqref="A4"/>
      <selection pane="bottomRight" activeCell="B6" sqref="B6:B7"/>
    </sheetView>
  </sheetViews>
  <sheetFormatPr defaultColWidth="9.1328125" defaultRowHeight="12.75" outlineLevelRow="1" x14ac:dyDescent="0.35"/>
  <cols>
    <col min="1" max="3" width="3.73046875" style="2" customWidth="1"/>
    <col min="4" max="4" width="3.86328125" style="2" customWidth="1"/>
    <col min="5" max="5" width="45.1328125" style="2" customWidth="1"/>
    <col min="6" max="17" width="9.1328125" style="2"/>
    <col min="18" max="18" width="12.1328125" style="2" customWidth="1"/>
    <col min="19" max="19" width="14" style="2" customWidth="1"/>
    <col min="20" max="20" width="18.59765625" style="2" customWidth="1"/>
    <col min="21" max="16384" width="9.1328125" style="2"/>
  </cols>
  <sheetData>
    <row r="4" spans="2:20" x14ac:dyDescent="0.35">
      <c r="B4" s="2" t="s">
        <v>25</v>
      </c>
    </row>
    <row r="6" spans="2:20" x14ac:dyDescent="0.35">
      <c r="B6" s="6" t="s">
        <v>51</v>
      </c>
    </row>
    <row r="7" spans="2:20" x14ac:dyDescent="0.35">
      <c r="B7" s="6" t="s">
        <v>55</v>
      </c>
    </row>
    <row r="8" spans="2:20" x14ac:dyDescent="0.35">
      <c r="F8" s="6" t="s">
        <v>52</v>
      </c>
    </row>
    <row r="9" spans="2:20" x14ac:dyDescent="0.35">
      <c r="E9" s="6" t="s">
        <v>2</v>
      </c>
      <c r="F9" s="3">
        <v>1</v>
      </c>
      <c r="G9" s="3">
        <v>2</v>
      </c>
      <c r="H9" s="3">
        <v>3</v>
      </c>
      <c r="I9" s="3">
        <v>4</v>
      </c>
      <c r="J9" s="3">
        <v>5</v>
      </c>
      <c r="K9" s="3">
        <v>6</v>
      </c>
      <c r="L9" s="3">
        <v>7</v>
      </c>
      <c r="M9" s="3">
        <v>8</v>
      </c>
      <c r="N9" s="3">
        <v>9</v>
      </c>
      <c r="O9" s="3">
        <v>10</v>
      </c>
      <c r="P9" s="4" t="s">
        <v>0</v>
      </c>
      <c r="Q9" s="5" t="s">
        <v>1</v>
      </c>
      <c r="R9" s="6" t="s">
        <v>4</v>
      </c>
      <c r="S9" s="6" t="s">
        <v>5</v>
      </c>
      <c r="T9" s="6" t="s">
        <v>3</v>
      </c>
    </row>
    <row r="10" spans="2:20" x14ac:dyDescent="0.35">
      <c r="B10" s="6" t="s">
        <v>57</v>
      </c>
      <c r="D10" s="6"/>
    </row>
    <row r="11" spans="2:20" x14ac:dyDescent="0.35">
      <c r="D11" s="2" t="s">
        <v>56</v>
      </c>
    </row>
    <row r="12" spans="2:20" ht="14.25" x14ac:dyDescent="0.45">
      <c r="D12" s="2" t="s">
        <v>18</v>
      </c>
      <c r="H12"/>
    </row>
    <row r="13" spans="2:20" ht="13.15" thickBot="1" x14ac:dyDescent="0.4">
      <c r="B13" s="12"/>
      <c r="C13" s="12"/>
      <c r="D13" s="12" t="s">
        <v>19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2:20" x14ac:dyDescent="0.35">
      <c r="B14" s="6" t="s">
        <v>58</v>
      </c>
    </row>
    <row r="15" spans="2:20" x14ac:dyDescent="0.35">
      <c r="C15" s="6" t="s">
        <v>22</v>
      </c>
    </row>
    <row r="16" spans="2:20" x14ac:dyDescent="0.35">
      <c r="D16" s="2" t="s">
        <v>23</v>
      </c>
    </row>
    <row r="17" spans="2:20" x14ac:dyDescent="0.35">
      <c r="D17" s="2" t="s">
        <v>24</v>
      </c>
    </row>
    <row r="18" spans="2:20" outlineLevel="1" x14ac:dyDescent="0.35">
      <c r="C18" s="6"/>
      <c r="D18" s="2" t="s">
        <v>14</v>
      </c>
    </row>
    <row r="19" spans="2:20" outlineLevel="1" x14ac:dyDescent="0.35">
      <c r="C19" s="6"/>
      <c r="D19" s="2" t="s">
        <v>15</v>
      </c>
    </row>
    <row r="20" spans="2:20" outlineLevel="1" x14ac:dyDescent="0.35">
      <c r="C20" s="6"/>
      <c r="D20" s="2" t="s">
        <v>16</v>
      </c>
    </row>
    <row r="21" spans="2:20" ht="13.15" outlineLevel="1" thickBot="1" x14ac:dyDescent="0.4">
      <c r="B21" s="12"/>
      <c r="C21" s="11"/>
      <c r="D21" s="12" t="s">
        <v>17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2:20" outlineLevel="1" x14ac:dyDescent="0.35">
      <c r="C22" s="6" t="s">
        <v>53</v>
      </c>
    </row>
    <row r="23" spans="2:20" x14ac:dyDescent="0.35">
      <c r="C23" s="6" t="s">
        <v>26</v>
      </c>
    </row>
    <row r="24" spans="2:20" outlineLevel="1" x14ac:dyDescent="0.35">
      <c r="D24" s="2" t="s">
        <v>27</v>
      </c>
    </row>
    <row r="25" spans="2:20" outlineLevel="1" x14ac:dyDescent="0.35">
      <c r="D25" s="2" t="s">
        <v>28</v>
      </c>
    </row>
    <row r="26" spans="2:20" outlineLevel="1" x14ac:dyDescent="0.35">
      <c r="D26" s="2" t="s">
        <v>29</v>
      </c>
    </row>
    <row r="27" spans="2:20" outlineLevel="1" x14ac:dyDescent="0.35">
      <c r="D27" s="2" t="s">
        <v>32</v>
      </c>
    </row>
    <row r="28" spans="2:20" outlineLevel="1" x14ac:dyDescent="0.35">
      <c r="D28" s="2" t="s">
        <v>18</v>
      </c>
    </row>
    <row r="29" spans="2:20" x14ac:dyDescent="0.35">
      <c r="C29" s="2" t="s">
        <v>30</v>
      </c>
    </row>
    <row r="30" spans="2:20" x14ac:dyDescent="0.35">
      <c r="C30" s="6" t="s">
        <v>31</v>
      </c>
    </row>
    <row r="31" spans="2:20" outlineLevel="1" x14ac:dyDescent="0.35">
      <c r="D31" s="2" t="s">
        <v>33</v>
      </c>
    </row>
    <row r="32" spans="2:20" outlineLevel="1" x14ac:dyDescent="0.35">
      <c r="D32" s="2" t="s">
        <v>34</v>
      </c>
    </row>
    <row r="33" spans="3:5" outlineLevel="1" x14ac:dyDescent="0.35">
      <c r="D33" s="2" t="s">
        <v>18</v>
      </c>
    </row>
    <row r="34" spans="3:5" x14ac:dyDescent="0.35">
      <c r="C34" s="2" t="s">
        <v>35</v>
      </c>
    </row>
    <row r="35" spans="3:5" x14ac:dyDescent="0.35">
      <c r="C35" s="6" t="s">
        <v>36</v>
      </c>
    </row>
    <row r="36" spans="3:5" outlineLevel="1" x14ac:dyDescent="0.35">
      <c r="D36" s="2" t="s">
        <v>37</v>
      </c>
    </row>
    <row r="37" spans="3:5" outlineLevel="1" x14ac:dyDescent="0.35">
      <c r="D37" s="2" t="s">
        <v>38</v>
      </c>
    </row>
    <row r="38" spans="3:5" outlineLevel="1" x14ac:dyDescent="0.35">
      <c r="D38" s="2" t="s">
        <v>39</v>
      </c>
    </row>
    <row r="39" spans="3:5" outlineLevel="1" x14ac:dyDescent="0.35">
      <c r="D39" s="2" t="s">
        <v>40</v>
      </c>
    </row>
    <row r="40" spans="3:5" outlineLevel="1" x14ac:dyDescent="0.35">
      <c r="D40" s="2" t="s">
        <v>41</v>
      </c>
    </row>
    <row r="41" spans="3:5" outlineLevel="1" x14ac:dyDescent="0.35">
      <c r="D41" s="2" t="s">
        <v>18</v>
      </c>
    </row>
    <row r="42" spans="3:5" x14ac:dyDescent="0.35">
      <c r="C42" s="2" t="s">
        <v>42</v>
      </c>
    </row>
    <row r="43" spans="3:5" x14ac:dyDescent="0.35">
      <c r="C43" s="6" t="s">
        <v>43</v>
      </c>
    </row>
    <row r="44" spans="3:5" hidden="1" outlineLevel="1" x14ac:dyDescent="0.35">
      <c r="E44" s="2" t="s">
        <v>6</v>
      </c>
    </row>
    <row r="45" spans="3:5" hidden="1" outlineLevel="1" x14ac:dyDescent="0.35">
      <c r="E45" s="2" t="s">
        <v>7</v>
      </c>
    </row>
    <row r="46" spans="3:5" hidden="1" outlineLevel="1" x14ac:dyDescent="0.35">
      <c r="E46" s="2" t="s">
        <v>8</v>
      </c>
    </row>
    <row r="47" spans="3:5" hidden="1" outlineLevel="1" x14ac:dyDescent="0.35">
      <c r="E47" s="2" t="s">
        <v>9</v>
      </c>
    </row>
    <row r="48" spans="3:5" hidden="1" outlineLevel="1" x14ac:dyDescent="0.35">
      <c r="E48" s="2" t="s">
        <v>10</v>
      </c>
    </row>
    <row r="49" spans="2:20" ht="13.15" collapsed="1" thickBot="1" x14ac:dyDescent="0.4">
      <c r="B49" s="12"/>
      <c r="C49" s="12" t="s">
        <v>54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2:20" x14ac:dyDescent="0.35">
      <c r="B50" s="6" t="s">
        <v>49</v>
      </c>
    </row>
    <row r="51" spans="2:20" x14ac:dyDescent="0.35">
      <c r="B51" s="6" t="s">
        <v>47</v>
      </c>
    </row>
    <row r="52" spans="2:20" x14ac:dyDescent="0.35">
      <c r="C52" s="2" t="s">
        <v>44</v>
      </c>
    </row>
    <row r="53" spans="2:20" x14ac:dyDescent="0.35">
      <c r="C53" s="2" t="s">
        <v>45</v>
      </c>
    </row>
    <row r="54" spans="2:20" x14ac:dyDescent="0.35">
      <c r="B54" s="6" t="s">
        <v>48</v>
      </c>
    </row>
    <row r="55" spans="2:20" x14ac:dyDescent="0.35">
      <c r="C55" s="2" t="s">
        <v>46</v>
      </c>
    </row>
    <row r="56" spans="2:20" x14ac:dyDescent="0.35">
      <c r="B56" s="6" t="s">
        <v>50</v>
      </c>
    </row>
  </sheetData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7F91-B868-4172-82FA-99E396DA1E2E}">
  <dimension ref="B5:R49"/>
  <sheetViews>
    <sheetView workbookViewId="0">
      <pane xSplit="4" ySplit="8" topLeftCell="E23" activePane="bottomRight" state="frozen"/>
      <selection pane="topRight" activeCell="E1" sqref="E1"/>
      <selection pane="bottomLeft" activeCell="A9" sqref="A9"/>
      <selection pane="bottomRight" activeCell="B9" sqref="B9:R49"/>
    </sheetView>
  </sheetViews>
  <sheetFormatPr defaultColWidth="9.1328125" defaultRowHeight="14.25" x14ac:dyDescent="0.45"/>
  <cols>
    <col min="1" max="1" width="3.59765625" style="1" customWidth="1"/>
    <col min="2" max="2" width="3.86328125" style="1" customWidth="1"/>
    <col min="3" max="3" width="4.265625" style="1" customWidth="1"/>
    <col min="4" max="4" width="77.73046875" style="1" customWidth="1"/>
    <col min="5" max="16" width="9.1328125" style="1"/>
    <col min="17" max="17" width="11.3984375" style="1" bestFit="1" customWidth="1"/>
    <col min="18" max="16384" width="9.1328125" style="1"/>
  </cols>
  <sheetData>
    <row r="5" spans="2:18" x14ac:dyDescent="0.45">
      <c r="B5" s="28" t="s">
        <v>51</v>
      </c>
      <c r="E5" s="17"/>
      <c r="F5" s="17"/>
      <c r="G5" s="17"/>
      <c r="H5" s="13"/>
    </row>
    <row r="6" spans="2:18" x14ac:dyDescent="0.45">
      <c r="B6" s="32" t="s">
        <v>55</v>
      </c>
      <c r="E6" s="18"/>
      <c r="F6" s="18"/>
      <c r="G6" s="18"/>
      <c r="H6" s="14"/>
    </row>
    <row r="7" spans="2:18" x14ac:dyDescent="0.45">
      <c r="D7" s="19"/>
      <c r="E7" s="32" t="s">
        <v>52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2:18" x14ac:dyDescent="0.45">
      <c r="B8" s="45" t="s">
        <v>101</v>
      </c>
      <c r="E8" s="26">
        <v>1</v>
      </c>
      <c r="F8" s="26">
        <v>2</v>
      </c>
      <c r="G8" s="26">
        <v>3</v>
      </c>
      <c r="H8" s="26">
        <v>4</v>
      </c>
      <c r="I8" s="26">
        <v>5</v>
      </c>
      <c r="J8" s="26">
        <v>6</v>
      </c>
      <c r="K8" s="26">
        <v>7</v>
      </c>
      <c r="L8" s="26">
        <v>8</v>
      </c>
      <c r="M8" s="26">
        <v>9</v>
      </c>
      <c r="N8" s="26">
        <v>10</v>
      </c>
      <c r="O8" s="30" t="s">
        <v>0</v>
      </c>
      <c r="P8" s="31" t="s">
        <v>1</v>
      </c>
      <c r="Q8" s="32" t="s">
        <v>4</v>
      </c>
      <c r="R8" s="32" t="s">
        <v>5</v>
      </c>
    </row>
    <row r="9" spans="2:18" x14ac:dyDescent="0.45">
      <c r="B9" s="34" t="s">
        <v>59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30"/>
      <c r="P9" s="31"/>
      <c r="Q9" s="32"/>
      <c r="R9" s="32"/>
    </row>
    <row r="10" spans="2:18" x14ac:dyDescent="0.45">
      <c r="C10" s="23" t="s">
        <v>60</v>
      </c>
      <c r="E10" s="24"/>
      <c r="F10" s="20"/>
      <c r="G10" s="20"/>
      <c r="H10" s="15"/>
    </row>
    <row r="11" spans="2:18" x14ac:dyDescent="0.45">
      <c r="C11" s="23" t="s">
        <v>61</v>
      </c>
      <c r="E11" s="20"/>
      <c r="F11" s="20"/>
      <c r="G11" s="20"/>
      <c r="H11" s="15"/>
    </row>
    <row r="12" spans="2:18" x14ac:dyDescent="0.45">
      <c r="D12" s="10" t="s">
        <v>98</v>
      </c>
      <c r="E12" s="24"/>
      <c r="F12" s="20"/>
      <c r="G12" s="20"/>
      <c r="H12" s="15"/>
    </row>
    <row r="13" spans="2:18" x14ac:dyDescent="0.45">
      <c r="D13" s="10" t="s">
        <v>62</v>
      </c>
      <c r="E13" s="24"/>
      <c r="F13" s="20"/>
      <c r="G13" s="20"/>
      <c r="H13" s="15"/>
    </row>
    <row r="14" spans="2:18" x14ac:dyDescent="0.45">
      <c r="D14" s="10" t="s">
        <v>63</v>
      </c>
      <c r="E14" s="24"/>
      <c r="F14" s="20"/>
      <c r="G14" s="20"/>
      <c r="H14" s="15"/>
    </row>
    <row r="15" spans="2:18" x14ac:dyDescent="0.45">
      <c r="D15" s="10" t="s">
        <v>64</v>
      </c>
      <c r="E15" s="24"/>
      <c r="F15" s="20"/>
      <c r="G15" s="20"/>
      <c r="H15" s="15"/>
    </row>
    <row r="16" spans="2:18" x14ac:dyDescent="0.45">
      <c r="D16" s="10" t="s">
        <v>65</v>
      </c>
      <c r="E16" s="24"/>
      <c r="F16" s="20"/>
      <c r="G16" s="20"/>
      <c r="H16" s="15"/>
    </row>
    <row r="17" spans="2:18" x14ac:dyDescent="0.45">
      <c r="D17" s="10" t="s">
        <v>66</v>
      </c>
      <c r="E17" s="24"/>
      <c r="F17" s="20"/>
      <c r="G17" s="20"/>
      <c r="H17" s="15"/>
    </row>
    <row r="18" spans="2:18" x14ac:dyDescent="0.45">
      <c r="C18" s="23" t="s">
        <v>67</v>
      </c>
      <c r="E18" s="25"/>
      <c r="F18" s="20"/>
      <c r="G18" s="20"/>
      <c r="H18" s="15"/>
    </row>
    <row r="19" spans="2:18" x14ac:dyDescent="0.45">
      <c r="D19" s="10" t="s">
        <v>68</v>
      </c>
      <c r="E19" s="24"/>
      <c r="F19" s="20"/>
      <c r="G19" s="20"/>
      <c r="H19" s="15"/>
    </row>
    <row r="20" spans="2:18" x14ac:dyDescent="0.45">
      <c r="D20" s="10" t="s">
        <v>69</v>
      </c>
      <c r="E20" s="24"/>
      <c r="F20" s="20"/>
      <c r="G20" s="20"/>
      <c r="H20" s="15"/>
    </row>
    <row r="21" spans="2:18" x14ac:dyDescent="0.45">
      <c r="D21" s="33" t="s">
        <v>100</v>
      </c>
      <c r="E21" s="24"/>
      <c r="F21" s="20"/>
      <c r="G21" s="20"/>
      <c r="H21" s="15"/>
    </row>
    <row r="22" spans="2:18" x14ac:dyDescent="0.45">
      <c r="D22" s="10" t="s">
        <v>70</v>
      </c>
      <c r="E22" s="24"/>
      <c r="F22" s="20"/>
      <c r="G22" s="20"/>
      <c r="H22" s="15"/>
    </row>
    <row r="23" spans="2:18" x14ac:dyDescent="0.45">
      <c r="D23" s="10" t="s">
        <v>71</v>
      </c>
      <c r="E23" s="24"/>
      <c r="F23" s="20"/>
      <c r="G23" s="20"/>
      <c r="H23" s="15"/>
    </row>
    <row r="24" spans="2:18" x14ac:dyDescent="0.45">
      <c r="D24" s="10" t="s">
        <v>72</v>
      </c>
      <c r="E24" s="24"/>
      <c r="F24" s="20"/>
      <c r="G24" s="20"/>
      <c r="H24" s="15"/>
    </row>
    <row r="25" spans="2:18" x14ac:dyDescent="0.45">
      <c r="D25" s="10" t="s">
        <v>73</v>
      </c>
      <c r="E25" s="24"/>
      <c r="F25" s="20"/>
      <c r="G25" s="20"/>
      <c r="H25" s="15"/>
    </row>
    <row r="26" spans="2:18" x14ac:dyDescent="0.45">
      <c r="D26" s="10" t="s">
        <v>74</v>
      </c>
      <c r="E26" s="24"/>
      <c r="F26" s="20"/>
      <c r="G26" s="20"/>
      <c r="H26" s="15"/>
    </row>
    <row r="27" spans="2:18" ht="14.65" thickBot="1" x14ac:dyDescent="0.5">
      <c r="D27" s="10" t="s">
        <v>75</v>
      </c>
      <c r="E27" s="24"/>
      <c r="F27" s="20"/>
      <c r="G27" s="20"/>
      <c r="H27" s="15"/>
    </row>
    <row r="28" spans="2:18" x14ac:dyDescent="0.45">
      <c r="B28" s="35" t="s">
        <v>76</v>
      </c>
      <c r="C28" s="35"/>
      <c r="D28" s="35"/>
      <c r="E28" s="36"/>
      <c r="F28" s="37"/>
      <c r="G28" s="37"/>
      <c r="H28" s="38"/>
      <c r="I28" s="39"/>
      <c r="J28" s="39"/>
      <c r="K28" s="39"/>
      <c r="L28" s="39"/>
      <c r="M28" s="39"/>
      <c r="N28" s="39"/>
      <c r="O28" s="39"/>
      <c r="P28" s="39"/>
      <c r="Q28" s="39"/>
      <c r="R28" s="39"/>
    </row>
    <row r="29" spans="2:18" x14ac:dyDescent="0.45">
      <c r="C29" s="21" t="s">
        <v>77</v>
      </c>
      <c r="E29" s="22"/>
      <c r="F29" s="22"/>
      <c r="G29" s="22"/>
      <c r="H29" s="16"/>
    </row>
    <row r="30" spans="2:18" x14ac:dyDescent="0.45">
      <c r="D30" s="10" t="s">
        <v>78</v>
      </c>
      <c r="E30" s="24"/>
      <c r="F30" s="20"/>
      <c r="G30" s="20"/>
      <c r="H30" s="15"/>
    </row>
    <row r="31" spans="2:18" x14ac:dyDescent="0.45">
      <c r="D31" s="10" t="s">
        <v>79</v>
      </c>
      <c r="E31" s="24"/>
      <c r="F31" s="20"/>
      <c r="G31" s="20"/>
      <c r="H31" s="15"/>
    </row>
    <row r="32" spans="2:18" x14ac:dyDescent="0.45">
      <c r="D32" s="10" t="s">
        <v>80</v>
      </c>
      <c r="E32" s="24"/>
      <c r="F32" s="20"/>
      <c r="G32" s="20"/>
      <c r="H32" s="15"/>
    </row>
    <row r="33" spans="2:18" x14ac:dyDescent="0.45">
      <c r="D33" s="10" t="s">
        <v>81</v>
      </c>
      <c r="E33" s="24"/>
      <c r="F33" s="20"/>
      <c r="G33" s="20"/>
      <c r="H33" s="15"/>
    </row>
    <row r="34" spans="2:18" x14ac:dyDescent="0.45">
      <c r="D34" s="10" t="s">
        <v>82</v>
      </c>
      <c r="E34" s="24"/>
      <c r="F34" s="20"/>
      <c r="G34" s="20"/>
      <c r="H34" s="15"/>
    </row>
    <row r="35" spans="2:18" x14ac:dyDescent="0.45">
      <c r="D35" s="10" t="s">
        <v>83</v>
      </c>
      <c r="E35" s="24"/>
      <c r="F35" s="20"/>
      <c r="G35" s="20"/>
      <c r="H35" s="15"/>
    </row>
    <row r="36" spans="2:18" ht="14.65" thickBot="1" x14ac:dyDescent="0.5">
      <c r="D36" s="10" t="s">
        <v>84</v>
      </c>
      <c r="E36" s="24"/>
      <c r="F36" s="20"/>
      <c r="G36" s="20"/>
      <c r="H36" s="15"/>
    </row>
    <row r="37" spans="2:18" x14ac:dyDescent="0.45">
      <c r="B37" s="35" t="s">
        <v>85</v>
      </c>
      <c r="C37" s="35"/>
      <c r="D37" s="35"/>
      <c r="E37" s="36"/>
      <c r="F37" s="37"/>
      <c r="G37" s="37"/>
      <c r="H37" s="38"/>
      <c r="I37" s="39"/>
      <c r="J37" s="39"/>
      <c r="K37" s="39"/>
      <c r="L37" s="39"/>
      <c r="M37" s="39"/>
      <c r="N37" s="39"/>
      <c r="O37" s="39"/>
      <c r="P37" s="39"/>
      <c r="Q37" s="39"/>
      <c r="R37" s="39"/>
    </row>
    <row r="38" spans="2:18" x14ac:dyDescent="0.45">
      <c r="C38" s="21" t="s">
        <v>86</v>
      </c>
      <c r="E38" s="20"/>
      <c r="F38" s="20"/>
      <c r="G38" s="20"/>
      <c r="H38" s="15"/>
    </row>
    <row r="39" spans="2:18" x14ac:dyDescent="0.45">
      <c r="D39" s="10" t="s">
        <v>87</v>
      </c>
      <c r="E39" s="24"/>
      <c r="F39" s="20"/>
      <c r="G39" s="20"/>
      <c r="H39" s="15"/>
    </row>
    <row r="40" spans="2:18" x14ac:dyDescent="0.45">
      <c r="D40" s="10" t="s">
        <v>88</v>
      </c>
      <c r="E40" s="24"/>
      <c r="F40" s="20"/>
      <c r="G40" s="20"/>
      <c r="H40" s="15"/>
    </row>
    <row r="41" spans="2:18" x14ac:dyDescent="0.45">
      <c r="D41" s="10" t="s">
        <v>89</v>
      </c>
      <c r="E41" s="24"/>
      <c r="F41" s="20"/>
      <c r="G41" s="20"/>
      <c r="H41" s="15"/>
    </row>
    <row r="42" spans="2:18" x14ac:dyDescent="0.45">
      <c r="D42" s="10" t="s">
        <v>90</v>
      </c>
      <c r="E42" s="24"/>
      <c r="F42" s="20"/>
      <c r="G42" s="20"/>
      <c r="H42" s="15"/>
    </row>
    <row r="43" spans="2:18" x14ac:dyDescent="0.45">
      <c r="D43" s="10" t="s">
        <v>91</v>
      </c>
      <c r="E43" s="24"/>
      <c r="F43" s="20"/>
      <c r="G43" s="20"/>
      <c r="H43" s="15"/>
    </row>
    <row r="44" spans="2:18" ht="14.65" thickBot="1" x14ac:dyDescent="0.5">
      <c r="D44" s="10" t="s">
        <v>92</v>
      </c>
      <c r="E44" s="24"/>
      <c r="F44" s="20"/>
      <c r="G44" s="20"/>
      <c r="H44" s="15"/>
    </row>
    <row r="45" spans="2:18" x14ac:dyDescent="0.45">
      <c r="B45" s="35" t="s">
        <v>93</v>
      </c>
      <c r="C45" s="35"/>
      <c r="D45" s="35"/>
      <c r="E45" s="36"/>
      <c r="F45" s="37"/>
      <c r="G45" s="37"/>
      <c r="H45" s="38"/>
      <c r="I45" s="39"/>
      <c r="J45" s="39"/>
      <c r="K45" s="39"/>
      <c r="L45" s="39"/>
      <c r="M45" s="39"/>
      <c r="N45" s="39"/>
      <c r="O45" s="39"/>
      <c r="P45" s="39"/>
      <c r="Q45" s="39"/>
      <c r="R45" s="39"/>
    </row>
    <row r="46" spans="2:18" ht="14.65" thickBot="1" x14ac:dyDescent="0.5">
      <c r="B46" s="40" t="s">
        <v>94</v>
      </c>
      <c r="C46" s="40"/>
      <c r="D46" s="40"/>
      <c r="E46" s="41"/>
      <c r="F46" s="42"/>
      <c r="G46" s="42"/>
      <c r="H46" s="43"/>
      <c r="I46" s="44"/>
      <c r="J46" s="44"/>
      <c r="K46" s="44"/>
      <c r="L46" s="44"/>
      <c r="M46" s="44"/>
      <c r="N46" s="44"/>
      <c r="O46" s="44"/>
      <c r="P46" s="44"/>
      <c r="Q46" s="44"/>
      <c r="R46" s="44"/>
    </row>
    <row r="47" spans="2:18" ht="14.65" thickTop="1" x14ac:dyDescent="0.45">
      <c r="C47" s="21" t="s">
        <v>95</v>
      </c>
      <c r="D47" s="21"/>
      <c r="E47" s="17"/>
      <c r="F47" s="20"/>
      <c r="G47" s="20"/>
      <c r="H47" s="15"/>
    </row>
    <row r="48" spans="2:18" x14ac:dyDescent="0.45">
      <c r="D48" s="10" t="s">
        <v>96</v>
      </c>
      <c r="E48" s="24"/>
      <c r="F48" s="20"/>
      <c r="G48" s="20"/>
      <c r="H48" s="15"/>
    </row>
    <row r="49" spans="3:8" x14ac:dyDescent="0.45">
      <c r="C49" s="21" t="s">
        <v>97</v>
      </c>
      <c r="D49" s="21" t="s">
        <v>97</v>
      </c>
      <c r="E49" s="17"/>
      <c r="F49" s="20"/>
      <c r="G49" s="20"/>
      <c r="H49" s="15"/>
    </row>
  </sheetData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C5CA9-B868-46D7-B32E-5C8C1111F1BA}">
  <dimension ref="B5:N36"/>
  <sheetViews>
    <sheetView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10" sqref="E10"/>
    </sheetView>
  </sheetViews>
  <sheetFormatPr defaultColWidth="9.1328125" defaultRowHeight="12.75" x14ac:dyDescent="0.35"/>
  <cols>
    <col min="1" max="1" width="4" style="2" customWidth="1"/>
    <col min="2" max="3" width="5" style="2" customWidth="1"/>
    <col min="4" max="4" width="26.265625" style="2" customWidth="1"/>
    <col min="5" max="16384" width="9.1328125" style="2"/>
  </cols>
  <sheetData>
    <row r="5" spans="2:14" x14ac:dyDescent="0.35">
      <c r="B5" s="27" t="s">
        <v>120</v>
      </c>
    </row>
    <row r="6" spans="2:14" x14ac:dyDescent="0.35">
      <c r="B6" s="32" t="s">
        <v>102</v>
      </c>
      <c r="C6" s="32" t="s">
        <v>103</v>
      </c>
      <c r="D6" s="32"/>
    </row>
    <row r="8" spans="2:14" ht="14.25" x14ac:dyDescent="0.45">
      <c r="B8" s="1"/>
      <c r="C8" s="1"/>
      <c r="D8" s="19"/>
      <c r="E8" s="32" t="s">
        <v>105</v>
      </c>
    </row>
    <row r="9" spans="2:14" ht="14.25" x14ac:dyDescent="0.45">
      <c r="B9" s="45" t="s">
        <v>101</v>
      </c>
      <c r="C9" s="1"/>
      <c r="D9" s="1"/>
      <c r="E9" s="26">
        <v>1</v>
      </c>
      <c r="F9" s="26">
        <v>2</v>
      </c>
      <c r="G9" s="26">
        <v>3</v>
      </c>
      <c r="H9" s="26">
        <v>4</v>
      </c>
      <c r="I9" s="26">
        <v>5</v>
      </c>
      <c r="J9" s="26">
        <v>6</v>
      </c>
      <c r="K9" s="26">
        <v>7</v>
      </c>
      <c r="L9" s="26">
        <v>8</v>
      </c>
      <c r="M9" s="26">
        <v>9</v>
      </c>
      <c r="N9" s="26">
        <v>10</v>
      </c>
    </row>
    <row r="10" spans="2:14" x14ac:dyDescent="0.35">
      <c r="C10" s="47" t="s">
        <v>112</v>
      </c>
      <c r="D10" s="8"/>
      <c r="E10" s="8"/>
    </row>
    <row r="11" spans="2:14" x14ac:dyDescent="0.35">
      <c r="D11" s="2" t="s">
        <v>106</v>
      </c>
      <c r="E11" s="8"/>
    </row>
    <row r="12" spans="2:14" x14ac:dyDescent="0.35">
      <c r="D12" s="2" t="s">
        <v>107</v>
      </c>
      <c r="E12" s="8"/>
    </row>
    <row r="13" spans="2:14" x14ac:dyDescent="0.35">
      <c r="D13" s="2" t="s">
        <v>108</v>
      </c>
      <c r="E13" s="8"/>
    </row>
    <row r="14" spans="2:14" x14ac:dyDescent="0.35">
      <c r="D14" s="2" t="s">
        <v>111</v>
      </c>
      <c r="E14" s="9"/>
    </row>
    <row r="15" spans="2:14" x14ac:dyDescent="0.35">
      <c r="D15" s="2" t="s">
        <v>109</v>
      </c>
      <c r="E15" s="8"/>
    </row>
    <row r="16" spans="2:14" x14ac:dyDescent="0.35">
      <c r="C16" s="47" t="s">
        <v>113</v>
      </c>
      <c r="E16" s="8"/>
    </row>
    <row r="17" spans="2:14" x14ac:dyDescent="0.35">
      <c r="C17" s="47" t="s">
        <v>123</v>
      </c>
      <c r="E17" s="8"/>
    </row>
    <row r="18" spans="2:14" ht="13.15" thickBot="1" x14ac:dyDescent="0.4">
      <c r="D18" s="2" t="s">
        <v>110</v>
      </c>
      <c r="E18" s="8"/>
    </row>
    <row r="19" spans="2:14" x14ac:dyDescent="0.35">
      <c r="B19" s="50" t="s">
        <v>114</v>
      </c>
      <c r="C19" s="51"/>
      <c r="D19" s="52"/>
      <c r="E19" s="51"/>
      <c r="F19" s="52"/>
      <c r="G19" s="52"/>
      <c r="H19" s="52"/>
      <c r="I19" s="52"/>
      <c r="J19" s="52"/>
      <c r="K19" s="52"/>
      <c r="L19" s="52"/>
      <c r="M19" s="52"/>
      <c r="N19" s="52"/>
    </row>
    <row r="20" spans="2:14" x14ac:dyDescent="0.35">
      <c r="B20" s="48"/>
      <c r="C20" s="9" t="s">
        <v>115</v>
      </c>
      <c r="E20" s="9"/>
    </row>
    <row r="21" spans="2:14" x14ac:dyDescent="0.35">
      <c r="C21" s="7"/>
      <c r="D21" s="2" t="s">
        <v>116</v>
      </c>
      <c r="E21" s="8"/>
    </row>
    <row r="22" spans="2:14" x14ac:dyDescent="0.35">
      <c r="C22" s="7"/>
      <c r="D22" s="2" t="s">
        <v>117</v>
      </c>
      <c r="E22" s="8"/>
    </row>
    <row r="23" spans="2:14" x14ac:dyDescent="0.35">
      <c r="C23" s="7"/>
      <c r="D23" s="2" t="s">
        <v>118</v>
      </c>
      <c r="E23" s="8"/>
    </row>
    <row r="24" spans="2:14" x14ac:dyDescent="0.35">
      <c r="C24" s="7"/>
      <c r="D24" s="2" t="s">
        <v>119</v>
      </c>
      <c r="E24" s="8"/>
    </row>
    <row r="25" spans="2:14" x14ac:dyDescent="0.35">
      <c r="C25" s="47" t="s">
        <v>122</v>
      </c>
      <c r="E25" s="8"/>
    </row>
    <row r="26" spans="2:14" x14ac:dyDescent="0.35">
      <c r="C26" s="9" t="s">
        <v>115</v>
      </c>
      <c r="D26" s="8"/>
      <c r="E26" s="8"/>
    </row>
    <row r="27" spans="2:14" x14ac:dyDescent="0.35">
      <c r="C27" s="9"/>
      <c r="D27" s="2" t="s">
        <v>121</v>
      </c>
      <c r="E27" s="8"/>
    </row>
    <row r="28" spans="2:14" ht="13.15" thickBot="1" x14ac:dyDescent="0.4">
      <c r="C28" s="9" t="s">
        <v>124</v>
      </c>
      <c r="D28" s="8"/>
      <c r="E28" s="8"/>
    </row>
    <row r="29" spans="2:14" x14ac:dyDescent="0.35">
      <c r="B29" s="50" t="s">
        <v>125</v>
      </c>
      <c r="C29" s="51"/>
      <c r="D29" s="52"/>
      <c r="E29" s="51"/>
      <c r="F29" s="52"/>
      <c r="G29" s="52"/>
      <c r="H29" s="52"/>
      <c r="I29" s="52"/>
      <c r="J29" s="52"/>
      <c r="K29" s="52"/>
      <c r="L29" s="52"/>
      <c r="M29" s="52"/>
      <c r="N29" s="52"/>
    </row>
    <row r="30" spans="2:14" x14ac:dyDescent="0.35">
      <c r="C30" s="2" t="s">
        <v>126</v>
      </c>
      <c r="D30" s="8"/>
      <c r="E30" s="8"/>
    </row>
    <row r="31" spans="2:14" x14ac:dyDescent="0.35">
      <c r="C31" s="2" t="s">
        <v>127</v>
      </c>
      <c r="D31" s="8"/>
      <c r="E31" s="8"/>
    </row>
    <row r="32" spans="2:14" x14ac:dyDescent="0.35">
      <c r="C32" s="2" t="s">
        <v>128</v>
      </c>
      <c r="D32" s="8"/>
      <c r="E32" s="8"/>
    </row>
    <row r="33" spans="2:14" x14ac:dyDescent="0.35">
      <c r="D33" s="49" t="s">
        <v>129</v>
      </c>
      <c r="E33" s="8"/>
    </row>
    <row r="34" spans="2:14" ht="13.15" thickBot="1" x14ac:dyDescent="0.4">
      <c r="C34" s="9"/>
      <c r="D34" s="49" t="s">
        <v>130</v>
      </c>
      <c r="E34" s="8"/>
    </row>
    <row r="35" spans="2:14" x14ac:dyDescent="0.35">
      <c r="B35" s="50" t="s">
        <v>131</v>
      </c>
      <c r="C35" s="51"/>
      <c r="D35" s="52"/>
      <c r="E35" s="51"/>
      <c r="F35" s="52"/>
      <c r="G35" s="52"/>
      <c r="H35" s="52"/>
      <c r="I35" s="52"/>
      <c r="J35" s="52"/>
      <c r="K35" s="52"/>
      <c r="L35" s="52"/>
      <c r="M35" s="52"/>
      <c r="N35" s="52"/>
    </row>
    <row r="36" spans="2:14" ht="13.15" thickBot="1" x14ac:dyDescent="0.4">
      <c r="B36" s="53" t="s">
        <v>132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99CE4-DA59-4841-888A-F36C8EFE836B}">
  <sheetPr>
    <tabColor rgb="FF194BCF"/>
  </sheetPr>
  <dimension ref="B3:R154"/>
  <sheetViews>
    <sheetView zoomScale="160" zoomScaleNormal="160" workbookViewId="0">
      <pane xSplit="5" ySplit="9" topLeftCell="F113" activePane="bottomRight" state="frozen"/>
      <selection activeCell="I5" sqref="I1:I5"/>
      <selection pane="topRight" activeCell="I5" sqref="I1:I5"/>
      <selection pane="bottomLeft" activeCell="I5" sqref="I1:I5"/>
      <selection pane="bottomRight" activeCell="F127" sqref="F127"/>
    </sheetView>
  </sheetViews>
  <sheetFormatPr defaultColWidth="9.1328125" defaultRowHeight="12.75" outlineLevelRow="1" x14ac:dyDescent="0.35"/>
  <cols>
    <col min="1" max="1" width="3.73046875" style="2" customWidth="1"/>
    <col min="2" max="2" width="5.265625" style="2" customWidth="1"/>
    <col min="3" max="3" width="3.73046875" style="2" customWidth="1"/>
    <col min="4" max="4" width="3.86328125" style="2" customWidth="1"/>
    <col min="5" max="5" width="28.1328125" style="2" customWidth="1"/>
    <col min="6" max="7" width="13" style="2" customWidth="1"/>
    <col min="8" max="8" width="15.1328125" style="2" bestFit="1" customWidth="1"/>
    <col min="9" max="15" width="13" style="2" customWidth="1"/>
    <col min="16" max="16" width="10.265625" style="2" customWidth="1"/>
    <col min="17" max="16384" width="9.1328125" style="2"/>
  </cols>
  <sheetData>
    <row r="3" spans="2:16" x14ac:dyDescent="0.35">
      <c r="H3" s="60"/>
    </row>
    <row r="4" spans="2:16" x14ac:dyDescent="0.35">
      <c r="B4" s="2" t="s">
        <v>25</v>
      </c>
    </row>
    <row r="5" spans="2:16" x14ac:dyDescent="0.35">
      <c r="H5" s="84"/>
    </row>
    <row r="6" spans="2:16" x14ac:dyDescent="0.35">
      <c r="B6" s="27" t="s">
        <v>414</v>
      </c>
      <c r="H6" s="84"/>
    </row>
    <row r="7" spans="2:16" s="6" customFormat="1" x14ac:dyDescent="0.35"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</row>
    <row r="8" spans="2:16" x14ac:dyDescent="0.35">
      <c r="B8" s="32"/>
      <c r="F8" s="32">
        <v>1</v>
      </c>
      <c r="G8" s="2">
        <v>2</v>
      </c>
      <c r="H8" s="2">
        <v>3</v>
      </c>
      <c r="I8" s="2">
        <v>4</v>
      </c>
      <c r="J8" s="2">
        <v>5</v>
      </c>
      <c r="K8" s="2">
        <v>6</v>
      </c>
      <c r="L8" s="2">
        <v>7</v>
      </c>
      <c r="M8" s="2">
        <v>8</v>
      </c>
      <c r="N8" s="2">
        <v>9</v>
      </c>
      <c r="O8" s="2">
        <v>10</v>
      </c>
    </row>
    <row r="9" spans="2:16" ht="13.5" x14ac:dyDescent="0.35">
      <c r="B9" s="45" t="s">
        <v>101</v>
      </c>
      <c r="F9" s="61" t="s">
        <v>529</v>
      </c>
      <c r="G9" s="61" t="s">
        <v>150</v>
      </c>
      <c r="H9" s="61" t="s">
        <v>527</v>
      </c>
      <c r="I9" s="61" t="s">
        <v>528</v>
      </c>
      <c r="J9" s="61" t="s">
        <v>327</v>
      </c>
      <c r="K9" s="61" t="s">
        <v>531</v>
      </c>
      <c r="L9" s="61" t="s">
        <v>153</v>
      </c>
      <c r="M9" s="61" t="s">
        <v>154</v>
      </c>
      <c r="N9" s="61" t="s">
        <v>155</v>
      </c>
      <c r="O9" s="61" t="s">
        <v>530</v>
      </c>
      <c r="P9" s="61"/>
    </row>
    <row r="10" spans="2:16" x14ac:dyDescent="0.35">
      <c r="B10" s="27" t="s">
        <v>522</v>
      </c>
      <c r="G10" s="62"/>
      <c r="H10" s="62"/>
      <c r="I10" s="62"/>
      <c r="J10" s="62"/>
      <c r="K10" s="62"/>
      <c r="L10" s="62"/>
      <c r="M10" s="62"/>
      <c r="N10" s="62"/>
      <c r="O10" s="62"/>
      <c r="P10" s="62"/>
    </row>
    <row r="11" spans="2:16" x14ac:dyDescent="0.35">
      <c r="D11" s="2" t="s">
        <v>6</v>
      </c>
      <c r="F11" s="62">
        <f>ROUNDUP(F92/26,0)</f>
        <v>10</v>
      </c>
      <c r="G11" s="62">
        <f t="shared" ref="G11:O11" si="0">ROUNDUP(G92/26,0)</f>
        <v>7</v>
      </c>
      <c r="H11" s="62">
        <f t="shared" si="0"/>
        <v>11</v>
      </c>
      <c r="I11" s="62">
        <f t="shared" si="0"/>
        <v>10</v>
      </c>
      <c r="J11" s="62">
        <f t="shared" si="0"/>
        <v>10</v>
      </c>
      <c r="K11" s="62">
        <f t="shared" si="0"/>
        <v>17</v>
      </c>
      <c r="L11" s="62">
        <f t="shared" si="0"/>
        <v>14</v>
      </c>
      <c r="M11" s="62">
        <f t="shared" si="0"/>
        <v>0</v>
      </c>
      <c r="N11" s="62">
        <f t="shared" si="0"/>
        <v>5</v>
      </c>
      <c r="O11" s="62">
        <f t="shared" si="0"/>
        <v>8</v>
      </c>
      <c r="P11" s="62"/>
    </row>
    <row r="12" spans="2:16" x14ac:dyDescent="0.35">
      <c r="D12" s="2" t="s">
        <v>8</v>
      </c>
      <c r="F12" s="62">
        <f>ROUNDUP(F93/26,0)</f>
        <v>3</v>
      </c>
      <c r="G12" s="62">
        <f t="shared" ref="G12:O12" si="1">ROUNDUP(G93/26,0)</f>
        <v>0</v>
      </c>
      <c r="H12" s="62">
        <f t="shared" si="1"/>
        <v>5</v>
      </c>
      <c r="I12" s="62">
        <f t="shared" si="1"/>
        <v>2</v>
      </c>
      <c r="J12" s="62">
        <f t="shared" si="1"/>
        <v>0</v>
      </c>
      <c r="K12" s="62">
        <f t="shared" si="1"/>
        <v>2</v>
      </c>
      <c r="L12" s="62">
        <f t="shared" si="1"/>
        <v>3</v>
      </c>
      <c r="M12" s="62">
        <f t="shared" si="1"/>
        <v>7</v>
      </c>
      <c r="N12" s="62">
        <f t="shared" si="1"/>
        <v>0</v>
      </c>
      <c r="O12" s="62">
        <f t="shared" si="1"/>
        <v>2</v>
      </c>
      <c r="P12" s="62"/>
    </row>
    <row r="13" spans="2:16" x14ac:dyDescent="0.35">
      <c r="D13" s="2" t="s">
        <v>7</v>
      </c>
      <c r="F13" s="62">
        <f>ROUNDUP(F94/26,0)</f>
        <v>1</v>
      </c>
      <c r="G13" s="62">
        <f t="shared" ref="G13:O13" si="2">ROUNDUP(G94/26,0)</f>
        <v>2</v>
      </c>
      <c r="H13" s="62">
        <f t="shared" si="2"/>
        <v>0</v>
      </c>
      <c r="I13" s="62">
        <f t="shared" si="2"/>
        <v>0</v>
      </c>
      <c r="J13" s="62">
        <f t="shared" si="2"/>
        <v>0</v>
      </c>
      <c r="K13" s="62">
        <f t="shared" si="2"/>
        <v>2</v>
      </c>
      <c r="L13" s="62">
        <f t="shared" si="2"/>
        <v>2</v>
      </c>
      <c r="M13" s="62">
        <f t="shared" si="2"/>
        <v>0</v>
      </c>
      <c r="N13" s="62">
        <f t="shared" si="2"/>
        <v>0</v>
      </c>
      <c r="O13" s="62">
        <f t="shared" si="2"/>
        <v>1</v>
      </c>
      <c r="P13" s="62"/>
    </row>
    <row r="14" spans="2:16" x14ac:dyDescent="0.35">
      <c r="D14" s="2" t="s">
        <v>9</v>
      </c>
      <c r="F14" s="62">
        <f>ROUNDUP(F95/26,0)</f>
        <v>4</v>
      </c>
      <c r="G14" s="62">
        <f t="shared" ref="G14:O14" si="3">ROUNDUP(G95/26,0)</f>
        <v>0</v>
      </c>
      <c r="H14" s="62">
        <f t="shared" si="3"/>
        <v>0</v>
      </c>
      <c r="I14" s="62">
        <f t="shared" si="3"/>
        <v>0</v>
      </c>
      <c r="J14" s="62">
        <f t="shared" si="3"/>
        <v>0</v>
      </c>
      <c r="K14" s="62">
        <f t="shared" si="3"/>
        <v>0</v>
      </c>
      <c r="L14" s="62">
        <f t="shared" si="3"/>
        <v>0</v>
      </c>
      <c r="M14" s="62">
        <f t="shared" si="3"/>
        <v>0</v>
      </c>
      <c r="N14" s="62">
        <f t="shared" si="3"/>
        <v>0</v>
      </c>
      <c r="O14" s="62">
        <f t="shared" si="3"/>
        <v>3</v>
      </c>
      <c r="P14" s="62"/>
    </row>
    <row r="15" spans="2:16" x14ac:dyDescent="0.35">
      <c r="D15" s="2" t="s">
        <v>10</v>
      </c>
      <c r="F15" s="62">
        <f>ROUNDUP(F96/26,0)</f>
        <v>1</v>
      </c>
      <c r="G15" s="62">
        <f t="shared" ref="G15:O15" si="4">ROUNDUP(G96/26,0)</f>
        <v>0</v>
      </c>
      <c r="H15" s="62">
        <f t="shared" si="4"/>
        <v>0</v>
      </c>
      <c r="I15" s="62">
        <f t="shared" si="4"/>
        <v>0</v>
      </c>
      <c r="J15" s="62">
        <f t="shared" si="4"/>
        <v>0</v>
      </c>
      <c r="K15" s="62">
        <f t="shared" si="4"/>
        <v>1</v>
      </c>
      <c r="L15" s="62">
        <f t="shared" si="4"/>
        <v>0</v>
      </c>
      <c r="M15" s="62">
        <f t="shared" si="4"/>
        <v>0</v>
      </c>
      <c r="N15" s="62">
        <f t="shared" si="4"/>
        <v>0</v>
      </c>
      <c r="O15" s="62">
        <f t="shared" si="4"/>
        <v>0</v>
      </c>
      <c r="P15" s="62"/>
    </row>
    <row r="16" spans="2:16" x14ac:dyDescent="0.35">
      <c r="B16" s="27" t="s">
        <v>523</v>
      </c>
      <c r="F16" s="84"/>
    </row>
    <row r="17" spans="2:16" x14ac:dyDescent="0.35">
      <c r="D17" s="2" t="s">
        <v>6</v>
      </c>
      <c r="F17" s="57">
        <f t="shared" ref="F17:O17" si="5">ROUNDUP(F98/26,0)</f>
        <v>18</v>
      </c>
      <c r="G17" s="57">
        <f t="shared" si="5"/>
        <v>13</v>
      </c>
      <c r="H17" s="57">
        <f t="shared" si="5"/>
        <v>17</v>
      </c>
      <c r="I17" s="57">
        <f t="shared" si="5"/>
        <v>17</v>
      </c>
      <c r="J17" s="57">
        <f t="shared" si="5"/>
        <v>15</v>
      </c>
      <c r="K17" s="57">
        <f t="shared" si="5"/>
        <v>25</v>
      </c>
      <c r="L17" s="57">
        <f t="shared" si="5"/>
        <v>23</v>
      </c>
      <c r="M17" s="57">
        <f t="shared" si="5"/>
        <v>0</v>
      </c>
      <c r="N17" s="57">
        <f t="shared" si="5"/>
        <v>7</v>
      </c>
      <c r="O17" s="57">
        <f t="shared" si="5"/>
        <v>15</v>
      </c>
      <c r="P17" s="57"/>
    </row>
    <row r="18" spans="2:16" x14ac:dyDescent="0.35">
      <c r="D18" s="2" t="s">
        <v>8</v>
      </c>
      <c r="F18" s="57">
        <f>ROUNDUP(F99/26,0)</f>
        <v>5</v>
      </c>
      <c r="G18" s="57">
        <f t="shared" ref="G18:N18" si="6">ROUNDUP(G99/26,0)</f>
        <v>0</v>
      </c>
      <c r="H18" s="57">
        <f t="shared" si="6"/>
        <v>8</v>
      </c>
      <c r="I18" s="57">
        <f t="shared" si="6"/>
        <v>3</v>
      </c>
      <c r="J18" s="57">
        <f t="shared" si="6"/>
        <v>0</v>
      </c>
      <c r="K18" s="57">
        <f t="shared" si="6"/>
        <v>3</v>
      </c>
      <c r="L18" s="57">
        <f t="shared" si="6"/>
        <v>4</v>
      </c>
      <c r="M18" s="57">
        <f t="shared" si="6"/>
        <v>10</v>
      </c>
      <c r="N18" s="57">
        <f t="shared" si="6"/>
        <v>0</v>
      </c>
      <c r="O18" s="57">
        <f>ROUNDUP(O99/26,0)</f>
        <v>4</v>
      </c>
      <c r="P18" s="57"/>
    </row>
    <row r="19" spans="2:16" x14ac:dyDescent="0.35">
      <c r="D19" s="2" t="s">
        <v>7</v>
      </c>
      <c r="F19" s="57">
        <f>ROUNDUP(F100/26,0)</f>
        <v>2</v>
      </c>
      <c r="G19" s="57">
        <f t="shared" ref="G19:N19" si="7">ROUNDUP(G100/26,0)</f>
        <v>3</v>
      </c>
      <c r="H19" s="57">
        <f t="shared" si="7"/>
        <v>0</v>
      </c>
      <c r="I19" s="57">
        <f t="shared" si="7"/>
        <v>0</v>
      </c>
      <c r="J19" s="57">
        <f t="shared" si="7"/>
        <v>0</v>
      </c>
      <c r="K19" s="57">
        <f t="shared" si="7"/>
        <v>2</v>
      </c>
      <c r="L19" s="57">
        <f t="shared" si="7"/>
        <v>2</v>
      </c>
      <c r="M19" s="57">
        <f t="shared" si="7"/>
        <v>0</v>
      </c>
      <c r="N19" s="57">
        <f t="shared" si="7"/>
        <v>0</v>
      </c>
      <c r="O19" s="57">
        <f>ROUNDUP(O100/26,0)</f>
        <v>2</v>
      </c>
      <c r="P19" s="57"/>
    </row>
    <row r="20" spans="2:16" x14ac:dyDescent="0.35">
      <c r="D20" s="2" t="s">
        <v>9</v>
      </c>
      <c r="F20" s="57">
        <f>ROUNDUP(F101/26,0)</f>
        <v>7</v>
      </c>
      <c r="G20" s="57">
        <f t="shared" ref="G20:N20" si="8">ROUNDUP(G101/26,0)</f>
        <v>0</v>
      </c>
      <c r="H20" s="57">
        <f t="shared" si="8"/>
        <v>0</v>
      </c>
      <c r="I20" s="57">
        <f t="shared" si="8"/>
        <v>0</v>
      </c>
      <c r="J20" s="57">
        <f t="shared" si="8"/>
        <v>0</v>
      </c>
      <c r="K20" s="57">
        <f t="shared" si="8"/>
        <v>0</v>
      </c>
      <c r="L20" s="57">
        <f t="shared" si="8"/>
        <v>0</v>
      </c>
      <c r="M20" s="57">
        <f t="shared" si="8"/>
        <v>0</v>
      </c>
      <c r="N20" s="57">
        <f t="shared" si="8"/>
        <v>0</v>
      </c>
      <c r="O20" s="57">
        <f>ROUNDUP(O101/26,0)</f>
        <v>5</v>
      </c>
      <c r="P20" s="57"/>
    </row>
    <row r="21" spans="2:16" x14ac:dyDescent="0.35">
      <c r="D21" s="2" t="s">
        <v>10</v>
      </c>
      <c r="F21" s="57">
        <f>ROUNDUP(F102/26,0)</f>
        <v>2</v>
      </c>
      <c r="G21" s="57">
        <f t="shared" ref="G21:N21" si="9">ROUNDUP(G102/26,0)</f>
        <v>0</v>
      </c>
      <c r="H21" s="57">
        <f t="shared" si="9"/>
        <v>0</v>
      </c>
      <c r="I21" s="57">
        <f t="shared" si="9"/>
        <v>0</v>
      </c>
      <c r="J21" s="57">
        <f t="shared" si="9"/>
        <v>0</v>
      </c>
      <c r="K21" s="57">
        <f t="shared" si="9"/>
        <v>1</v>
      </c>
      <c r="L21" s="57">
        <f t="shared" si="9"/>
        <v>0</v>
      </c>
      <c r="M21" s="57">
        <f t="shared" si="9"/>
        <v>0</v>
      </c>
      <c r="N21" s="57">
        <f t="shared" si="9"/>
        <v>0</v>
      </c>
      <c r="O21" s="57">
        <f>ROUNDUP(O102/26,0)</f>
        <v>0</v>
      </c>
      <c r="P21" s="57"/>
    </row>
    <row r="22" spans="2:16" x14ac:dyDescent="0.35">
      <c r="B22" s="27" t="s">
        <v>413</v>
      </c>
      <c r="G22" s="60"/>
      <c r="H22" s="62"/>
      <c r="I22" s="62"/>
      <c r="J22" s="62"/>
      <c r="K22" s="62"/>
      <c r="L22" s="62"/>
      <c r="M22" s="62"/>
      <c r="N22" s="62"/>
      <c r="O22" s="62"/>
      <c r="P22" s="62"/>
    </row>
    <row r="23" spans="2:16" x14ac:dyDescent="0.35">
      <c r="B23" s="27"/>
      <c r="D23" s="2" t="s">
        <v>6</v>
      </c>
      <c r="F23" s="613">
        <v>0.55000000000000004</v>
      </c>
      <c r="G23" s="614">
        <v>0.85624793933399279</v>
      </c>
      <c r="H23" s="615">
        <v>0.7</v>
      </c>
      <c r="I23" s="615">
        <v>0.8929845422116528</v>
      </c>
      <c r="J23" s="614">
        <v>1</v>
      </c>
      <c r="K23" s="615">
        <f>83.421926910299%</f>
        <v>0.83421926910299005</v>
      </c>
      <c r="L23" s="615">
        <v>0.803475935828877</v>
      </c>
      <c r="M23" s="616">
        <v>0</v>
      </c>
      <c r="N23" s="614">
        <v>1</v>
      </c>
      <c r="O23" s="614">
        <v>0.6</v>
      </c>
      <c r="P23" s="302"/>
    </row>
    <row r="24" spans="2:16" x14ac:dyDescent="0.35">
      <c r="B24" s="27"/>
      <c r="D24" s="2" t="s">
        <v>8</v>
      </c>
      <c r="F24" s="613">
        <v>0.15</v>
      </c>
      <c r="G24" s="616">
        <v>0</v>
      </c>
      <c r="H24" s="614">
        <v>0.3</v>
      </c>
      <c r="I24" s="615">
        <v>0.11</v>
      </c>
      <c r="J24" s="616"/>
      <c r="K24" s="615">
        <f>8.33887043189369%</f>
        <v>8.3388704318936913E-2</v>
      </c>
      <c r="L24" s="615">
        <v>0.13001336898395721</v>
      </c>
      <c r="M24" s="614">
        <v>1</v>
      </c>
      <c r="N24" s="616">
        <v>0</v>
      </c>
      <c r="O24" s="614">
        <v>0.15</v>
      </c>
      <c r="P24" s="62"/>
    </row>
    <row r="25" spans="2:16" x14ac:dyDescent="0.35">
      <c r="B25" s="27"/>
      <c r="D25" s="2" t="s">
        <v>7</v>
      </c>
      <c r="F25" s="613">
        <v>0.05</v>
      </c>
      <c r="G25" s="615">
        <v>0.14375206066600726</v>
      </c>
      <c r="H25" s="616"/>
      <c r="I25" s="616"/>
      <c r="J25" s="616"/>
      <c r="K25" s="615">
        <v>5.9468438538205978E-2</v>
      </c>
      <c r="L25" s="615">
        <v>6.6510695187165778E-2</v>
      </c>
      <c r="M25" s="616">
        <v>0</v>
      </c>
      <c r="N25" s="616">
        <v>0</v>
      </c>
      <c r="O25" s="614">
        <v>0.05</v>
      </c>
      <c r="P25" s="62"/>
    </row>
    <row r="26" spans="2:16" x14ac:dyDescent="0.35">
      <c r="B26" s="27"/>
      <c r="D26" s="2" t="s">
        <v>9</v>
      </c>
      <c r="F26" s="613">
        <v>0.2</v>
      </c>
      <c r="G26" s="616">
        <v>0</v>
      </c>
      <c r="H26" s="616"/>
      <c r="I26" s="615"/>
      <c r="J26" s="616"/>
      <c r="K26" s="616">
        <v>0</v>
      </c>
      <c r="L26" s="616">
        <v>0</v>
      </c>
      <c r="M26" s="616">
        <v>0</v>
      </c>
      <c r="N26" s="616">
        <v>0</v>
      </c>
      <c r="O26" s="614">
        <v>0.2</v>
      </c>
      <c r="P26" s="96"/>
    </row>
    <row r="27" spans="2:16" x14ac:dyDescent="0.35">
      <c r="B27" s="27"/>
      <c r="D27" s="2" t="s">
        <v>10</v>
      </c>
      <c r="F27" s="613">
        <v>0.05</v>
      </c>
      <c r="G27" s="616">
        <v>0</v>
      </c>
      <c r="H27" s="616"/>
      <c r="I27" s="616"/>
      <c r="J27" s="616"/>
      <c r="K27" s="615">
        <v>2.020497803806735E-2</v>
      </c>
      <c r="L27" s="616">
        <v>0</v>
      </c>
      <c r="M27" s="616">
        <v>0</v>
      </c>
      <c r="N27" s="616">
        <v>0</v>
      </c>
      <c r="O27" s="616">
        <v>0</v>
      </c>
      <c r="P27" s="96"/>
    </row>
    <row r="28" spans="2:16" x14ac:dyDescent="0.35">
      <c r="B28" s="27" t="s">
        <v>665</v>
      </c>
      <c r="F28" s="97"/>
      <c r="G28" s="62"/>
      <c r="H28" s="62"/>
      <c r="I28" s="62"/>
      <c r="J28" s="62"/>
      <c r="K28" s="302"/>
      <c r="L28" s="62"/>
      <c r="M28" s="62"/>
      <c r="N28" s="62"/>
      <c r="O28" s="62"/>
      <c r="P28" s="96"/>
    </row>
    <row r="29" spans="2:16" x14ac:dyDescent="0.35">
      <c r="D29" s="2" t="s">
        <v>666</v>
      </c>
      <c r="F29" s="57">
        <f t="shared" ref="F29:O29" si="10">F23*(F83-F75-F71-F67-F64-F58)+F24*(F84-F76-F72-F68-F65-F59)+F25*(F85-F77-F73-F69-F60)+F26*(F86-F61)+F27*(F87-F62)-F80*SUMPRODUCT(F83:F87,F23:F27)</f>
        <v>735847.98842111183</v>
      </c>
      <c r="G29" s="57">
        <f t="shared" si="10"/>
        <v>1142611.1790306629</v>
      </c>
      <c r="H29" s="57">
        <f t="shared" si="10"/>
        <v>950635.60345730046</v>
      </c>
      <c r="I29" s="57">
        <f t="shared" si="10"/>
        <v>1067308.9339476684</v>
      </c>
      <c r="J29" s="57">
        <f t="shared" si="10"/>
        <v>1179409.3567251463</v>
      </c>
      <c r="K29" s="57">
        <f t="shared" si="10"/>
        <v>1064763.6765700472</v>
      </c>
      <c r="L29" s="57">
        <f t="shared" si="10"/>
        <v>949042.17245989305</v>
      </c>
      <c r="M29" s="57">
        <f t="shared" si="10"/>
        <v>475991.17647058819</v>
      </c>
      <c r="N29" s="57">
        <f t="shared" si="10"/>
        <v>1283679.0322580645</v>
      </c>
      <c r="O29" s="57">
        <f t="shared" si="10"/>
        <v>785823.48259527609</v>
      </c>
      <c r="P29" s="57"/>
    </row>
    <row r="30" spans="2:16" x14ac:dyDescent="0.35">
      <c r="B30" s="27"/>
      <c r="D30" s="2" t="s">
        <v>6</v>
      </c>
      <c r="F30" s="57">
        <f>F83-SUM(F58,F64,F67,F71,F75)-F80*F83</f>
        <v>1128056.7939927587</v>
      </c>
      <c r="G30" s="57">
        <f t="shared" ref="G30:O30" si="11">G83-SUM(G58,G64,G67,G71,G75)-G80*G83</f>
        <v>1287082</v>
      </c>
      <c r="H30" s="57">
        <f t="shared" si="11"/>
        <v>1162801.4537553955</v>
      </c>
      <c r="I30" s="57">
        <f t="shared" si="11"/>
        <v>1132936.6537949401</v>
      </c>
      <c r="J30" s="57">
        <f t="shared" si="11"/>
        <v>1179409.3567251461</v>
      </c>
      <c r="K30" s="57">
        <f t="shared" si="11"/>
        <v>1180000</v>
      </c>
      <c r="L30" s="57">
        <f t="shared" si="11"/>
        <v>1077068.785357737</v>
      </c>
      <c r="M30" s="57">
        <f t="shared" si="11"/>
        <v>0</v>
      </c>
      <c r="N30" s="57">
        <f t="shared" si="11"/>
        <v>1283679.0322580645</v>
      </c>
      <c r="O30" s="57">
        <f t="shared" si="11"/>
        <v>1128056.7939927587</v>
      </c>
      <c r="P30" s="96"/>
    </row>
    <row r="31" spans="2:16" x14ac:dyDescent="0.35">
      <c r="B31" s="27"/>
      <c r="D31" s="2" t="s">
        <v>8</v>
      </c>
      <c r="F31" s="57">
        <f>F84-F76-F72-F68-F59-F80*F84</f>
        <v>537032.51393944758</v>
      </c>
      <c r="G31" s="57">
        <f t="shared" ref="G31:O31" si="12">G84-G76-G72-G68-G59-G80*G84</f>
        <v>0</v>
      </c>
      <c r="H31" s="57">
        <f t="shared" si="12"/>
        <v>455581.95276174543</v>
      </c>
      <c r="I31" s="57">
        <f t="shared" si="12"/>
        <v>505581.95276174543</v>
      </c>
      <c r="J31" s="57">
        <f t="shared" si="12"/>
        <v>0</v>
      </c>
      <c r="K31" s="57">
        <f t="shared" si="12"/>
        <v>788778.66135458171</v>
      </c>
      <c r="L31" s="57">
        <f t="shared" si="12"/>
        <v>545504.12339331617</v>
      </c>
      <c r="M31" s="57">
        <f t="shared" si="12"/>
        <v>475991.17647058819</v>
      </c>
      <c r="N31" s="57">
        <f t="shared" si="12"/>
        <v>0</v>
      </c>
      <c r="O31" s="57">
        <f t="shared" si="12"/>
        <v>537032.51393944758</v>
      </c>
      <c r="P31" s="96"/>
    </row>
    <row r="32" spans="2:16" x14ac:dyDescent="0.35">
      <c r="B32" s="27"/>
      <c r="D32" s="2" t="s">
        <v>7</v>
      </c>
      <c r="F32" s="57">
        <f>F85-F77-F73-F69-F60-F80*F85</f>
        <v>156251.03195717715</v>
      </c>
      <c r="G32" s="57">
        <f t="shared" ref="G32:O32" si="13">G85-G77-G73-G69-G60-G80*G85</f>
        <v>282082</v>
      </c>
      <c r="H32" s="57">
        <f t="shared" si="13"/>
        <v>0</v>
      </c>
      <c r="I32" s="57">
        <f t="shared" si="13"/>
        <v>0</v>
      </c>
      <c r="J32" s="57">
        <f t="shared" si="13"/>
        <v>0</v>
      </c>
      <c r="K32" s="57">
        <f t="shared" si="13"/>
        <v>218256.96648044692</v>
      </c>
      <c r="L32" s="57">
        <f t="shared" si="13"/>
        <v>191254.85427135677</v>
      </c>
      <c r="M32" s="57">
        <f t="shared" si="13"/>
        <v>0</v>
      </c>
      <c r="N32" s="57">
        <f t="shared" si="13"/>
        <v>0</v>
      </c>
      <c r="O32" s="57">
        <f t="shared" si="13"/>
        <v>156251.03195717715</v>
      </c>
      <c r="P32" s="96"/>
    </row>
    <row r="33" spans="2:17" x14ac:dyDescent="0.35">
      <c r="B33" s="27"/>
      <c r="D33" s="2" t="s">
        <v>9</v>
      </c>
      <c r="F33" s="57">
        <f>F86-F78-F61-F80*F86</f>
        <v>83109.887554224668</v>
      </c>
      <c r="G33" s="57">
        <f t="shared" ref="G33:O33" si="14">G86-G78-G61-G80*G86</f>
        <v>0</v>
      </c>
      <c r="H33" s="57">
        <f t="shared" si="14"/>
        <v>0</v>
      </c>
      <c r="I33" s="57">
        <f t="shared" si="14"/>
        <v>0</v>
      </c>
      <c r="J33" s="57">
        <f t="shared" si="14"/>
        <v>0</v>
      </c>
      <c r="K33" s="57">
        <f t="shared" si="14"/>
        <v>0</v>
      </c>
      <c r="L33" s="57">
        <f t="shared" si="14"/>
        <v>0</v>
      </c>
      <c r="M33" s="57">
        <f t="shared" si="14"/>
        <v>0</v>
      </c>
      <c r="N33" s="57">
        <f t="shared" si="14"/>
        <v>0</v>
      </c>
      <c r="O33" s="57">
        <f t="shared" si="14"/>
        <v>83109.887554224668</v>
      </c>
      <c r="P33" s="96"/>
    </row>
    <row r="34" spans="2:17" x14ac:dyDescent="0.35">
      <c r="B34" s="27"/>
      <c r="D34" s="2" t="s">
        <v>10</v>
      </c>
      <c r="F34" s="57">
        <f>F87-F79-F62-F80*F79</f>
        <v>152528.39199095307</v>
      </c>
      <c r="G34" s="57">
        <f t="shared" ref="G34:O34" si="15">G87-G79-G62-G80*G79</f>
        <v>0</v>
      </c>
      <c r="H34" s="57">
        <f t="shared" si="15"/>
        <v>0</v>
      </c>
      <c r="I34" s="57">
        <f t="shared" si="15"/>
        <v>0</v>
      </c>
      <c r="J34" s="57">
        <f t="shared" si="15"/>
        <v>0</v>
      </c>
      <c r="K34" s="57">
        <f t="shared" si="15"/>
        <v>94927.536231884063</v>
      </c>
      <c r="L34" s="57">
        <f t="shared" si="15"/>
        <v>0</v>
      </c>
      <c r="M34" s="57">
        <f t="shared" si="15"/>
        <v>0</v>
      </c>
      <c r="N34" s="57">
        <f t="shared" si="15"/>
        <v>0</v>
      </c>
      <c r="O34" s="57">
        <f t="shared" si="15"/>
        <v>0</v>
      </c>
      <c r="P34" s="96"/>
    </row>
    <row r="35" spans="2:17" x14ac:dyDescent="0.35">
      <c r="B35" s="27"/>
      <c r="F35" s="97"/>
      <c r="G35" s="62"/>
      <c r="H35" s="62"/>
      <c r="I35" s="62"/>
      <c r="J35" s="62"/>
      <c r="K35" s="302"/>
      <c r="L35" s="62"/>
      <c r="M35" s="62"/>
      <c r="N35" s="62"/>
      <c r="O35" s="62"/>
      <c r="P35" s="96"/>
    </row>
    <row r="36" spans="2:17" x14ac:dyDescent="0.35">
      <c r="B36" s="6" t="s">
        <v>434</v>
      </c>
      <c r="F36" s="85">
        <f t="shared" ref="F36:O36" si="16">SUMPRODUCT(F83:F87,F98:F102)/10^6</f>
        <v>1103.9555555555555</v>
      </c>
      <c r="G36" s="85">
        <f t="shared" si="16"/>
        <v>652.5</v>
      </c>
      <c r="H36" s="85">
        <f t="shared" si="16"/>
        <v>1045</v>
      </c>
      <c r="I36" s="85">
        <f t="shared" si="16"/>
        <v>933</v>
      </c>
      <c r="J36" s="85">
        <f t="shared" si="16"/>
        <v>762</v>
      </c>
      <c r="K36" s="85">
        <f t="shared" si="16"/>
        <v>1525.8188405797102</v>
      </c>
      <c r="L36" s="85">
        <f t="shared" si="16"/>
        <v>1278</v>
      </c>
      <c r="M36" s="85">
        <f t="shared" si="16"/>
        <v>247</v>
      </c>
      <c r="N36" s="85">
        <f t="shared" si="16"/>
        <v>378.4</v>
      </c>
      <c r="O36" s="85">
        <f t="shared" si="16"/>
        <v>885.91851851851857</v>
      </c>
      <c r="P36" s="57"/>
    </row>
    <row r="37" spans="2:17" hidden="1" x14ac:dyDescent="0.35">
      <c r="B37" s="6" t="s">
        <v>437</v>
      </c>
      <c r="F37" s="307">
        <f t="shared" ref="F37:O37" si="17">SUM(F98*SUM(F75,F71,F67,F64,F58),F99*SUM(F76,F72,F68,F65,F59),F100*SUM(F77,F73,F69,F60),F101*SUM(F78,F61),F102*SUM(F62))/10^6+F80*F36</f>
        <v>495.46367165327922</v>
      </c>
      <c r="G37" s="307">
        <f t="shared" si="17"/>
        <v>234.69298800000001</v>
      </c>
      <c r="H37" s="307">
        <f t="shared" si="17"/>
        <v>460.71271362425705</v>
      </c>
      <c r="I37" s="307">
        <f t="shared" si="17"/>
        <v>407.83380158212532</v>
      </c>
      <c r="J37" s="307">
        <f t="shared" si="17"/>
        <v>312.64503508771929</v>
      </c>
      <c r="K37" s="307">
        <f t="shared" si="17"/>
        <v>703.29739264080808</v>
      </c>
      <c r="L37" s="307">
        <f t="shared" si="17"/>
        <v>592.84248388851552</v>
      </c>
      <c r="M37" s="307">
        <f t="shared" si="17"/>
        <v>129.4301794117647</v>
      </c>
      <c r="N37" s="307">
        <f t="shared" si="17"/>
        <v>157.60720645161291</v>
      </c>
      <c r="O37" s="307">
        <f t="shared" si="17"/>
        <v>398.15545228801096</v>
      </c>
      <c r="P37" s="307"/>
      <c r="Q37" s="201">
        <f>M37/M36</f>
        <v>0.52400882352941169</v>
      </c>
    </row>
    <row r="38" spans="2:17" hidden="1" x14ac:dyDescent="0.35">
      <c r="B38" s="2" t="s">
        <v>667</v>
      </c>
      <c r="F38" s="57">
        <f t="shared" ref="F38:O38" si="18">F36-F37-F89</f>
        <v>-2.7118369310572916</v>
      </c>
      <c r="G38" s="57">
        <f t="shared" si="18"/>
        <v>1.1425613623218283</v>
      </c>
      <c r="H38" s="57">
        <f t="shared" si="18"/>
        <v>0.52618045582460127</v>
      </c>
      <c r="I38" s="57">
        <f t="shared" si="18"/>
        <v>0.97420530171314113</v>
      </c>
      <c r="J38" s="57">
        <f t="shared" si="18"/>
        <v>0.88555018701435984</v>
      </c>
      <c r="K38" s="57">
        <f t="shared" si="18"/>
        <v>0.7423586409223617</v>
      </c>
      <c r="L38" s="57">
        <f t="shared" si="18"/>
        <v>0.34320176182359319</v>
      </c>
      <c r="M38" s="57">
        <f t="shared" si="18"/>
        <v>0.46537647712418106</v>
      </c>
      <c r="N38" s="57">
        <f t="shared" si="18"/>
        <v>0.37439127060929422</v>
      </c>
      <c r="O38" s="57">
        <f t="shared" si="18"/>
        <v>-0.87748932421465042</v>
      </c>
      <c r="P38" s="57"/>
    </row>
    <row r="39" spans="2:17" x14ac:dyDescent="0.35">
      <c r="B39" s="27" t="s">
        <v>671</v>
      </c>
      <c r="F39" s="218">
        <f>SUMPRODUCT(F92:F96,F83:F87)/10^6</f>
        <v>620.762962962963</v>
      </c>
      <c r="G39" s="218">
        <f t="shared" ref="G39:O39" si="19">SUMPRODUCT(G92:G96,G83:G87)/10^6</f>
        <v>363</v>
      </c>
      <c r="H39" s="218">
        <f t="shared" si="19"/>
        <v>639</v>
      </c>
      <c r="I39" s="218">
        <f t="shared" si="19"/>
        <v>548</v>
      </c>
      <c r="J39" s="218">
        <f t="shared" si="19"/>
        <v>482</v>
      </c>
      <c r="K39" s="218">
        <f t="shared" si="19"/>
        <v>1011.8442028985507</v>
      </c>
      <c r="L39" s="218">
        <f t="shared" si="19"/>
        <v>798</v>
      </c>
      <c r="M39" s="218">
        <f t="shared" si="19"/>
        <v>176</v>
      </c>
      <c r="N39" s="218">
        <f t="shared" si="19"/>
        <v>244.2</v>
      </c>
      <c r="O39" s="218">
        <f t="shared" si="19"/>
        <v>450.28148148148148</v>
      </c>
      <c r="P39" s="96"/>
    </row>
    <row r="40" spans="2:17" x14ac:dyDescent="0.35">
      <c r="B40" s="27"/>
      <c r="F40" s="97"/>
      <c r="G40" s="62"/>
      <c r="H40" s="62"/>
      <c r="I40" s="62"/>
      <c r="J40" s="62"/>
      <c r="K40" s="302"/>
      <c r="L40" s="62"/>
      <c r="M40" s="62"/>
      <c r="N40" s="62"/>
      <c r="O40" s="62"/>
      <c r="P40" s="96"/>
    </row>
    <row r="41" spans="2:17" x14ac:dyDescent="0.35">
      <c r="B41" s="27" t="s">
        <v>181</v>
      </c>
      <c r="D41" s="6"/>
      <c r="F41" s="62"/>
      <c r="G41" s="60"/>
      <c r="H41" s="62"/>
      <c r="I41" s="62"/>
      <c r="J41" s="62"/>
      <c r="K41" s="62"/>
      <c r="L41" s="62"/>
      <c r="M41" s="62"/>
      <c r="N41" s="62"/>
      <c r="O41" s="62"/>
      <c r="P41" s="62"/>
    </row>
    <row r="42" spans="2:17" x14ac:dyDescent="0.35">
      <c r="B42" s="27"/>
      <c r="C42" s="2" t="s">
        <v>408</v>
      </c>
      <c r="D42" s="6"/>
      <c r="F42" s="284">
        <v>30.244499999999999</v>
      </c>
      <c r="G42" s="62">
        <v>22</v>
      </c>
      <c r="H42" s="62">
        <v>75</v>
      </c>
      <c r="I42" s="284">
        <v>38.888888999999999</v>
      </c>
      <c r="J42" s="62">
        <v>44</v>
      </c>
      <c r="K42" s="62">
        <f>192584000/10^6</f>
        <v>192.584</v>
      </c>
      <c r="L42" s="284">
        <v>102.09099999999999</v>
      </c>
      <c r="M42" s="62">
        <v>11</v>
      </c>
      <c r="N42" s="62">
        <v>22</v>
      </c>
      <c r="O42" s="62">
        <v>30</v>
      </c>
      <c r="P42" s="62"/>
    </row>
    <row r="43" spans="2:17" x14ac:dyDescent="0.35">
      <c r="B43" s="27"/>
      <c r="C43" s="2" t="s">
        <v>310</v>
      </c>
      <c r="D43" s="6"/>
      <c r="F43" s="295">
        <v>147.618666666667</v>
      </c>
      <c r="G43" s="238">
        <v>63.052691727272723</v>
      </c>
      <c r="H43" s="295">
        <v>90.18</v>
      </c>
      <c r="I43" s="295">
        <v>84.96</v>
      </c>
      <c r="J43" s="295">
        <v>90.712249999999997</v>
      </c>
      <c r="K43" s="295">
        <v>112.0575</v>
      </c>
      <c r="L43" s="295">
        <v>83.305833333333325</v>
      </c>
      <c r="M43" s="295">
        <v>24.16</v>
      </c>
      <c r="N43" s="295">
        <v>56.500250000000001</v>
      </c>
      <c r="O43" s="295">
        <v>96.21</v>
      </c>
      <c r="P43" s="295"/>
    </row>
    <row r="44" spans="2:17" x14ac:dyDescent="0.35">
      <c r="B44" s="27"/>
      <c r="C44" s="2" t="s">
        <v>452</v>
      </c>
      <c r="D44" s="6"/>
      <c r="F44" s="62">
        <v>50</v>
      </c>
      <c r="G44" s="284">
        <v>41.273922454545456</v>
      </c>
      <c r="H44" s="284">
        <v>35.709500454545456</v>
      </c>
      <c r="I44" s="284">
        <v>33.905602000000002</v>
      </c>
      <c r="J44" s="62">
        <v>33</v>
      </c>
      <c r="K44" s="284">
        <v>63.939354909090909</v>
      </c>
      <c r="L44" s="284">
        <v>65.761448257575751</v>
      </c>
      <c r="M44" s="62">
        <v>10</v>
      </c>
      <c r="N44" s="62">
        <v>10</v>
      </c>
      <c r="O44" s="62">
        <v>15</v>
      </c>
      <c r="P44" s="62"/>
    </row>
    <row r="45" spans="2:17" x14ac:dyDescent="0.35">
      <c r="B45" s="27"/>
      <c r="C45" s="2" t="s">
        <v>182</v>
      </c>
      <c r="D45" s="6"/>
      <c r="F45" s="62">
        <f>Maintenance!D12</f>
        <v>110.02510416666667</v>
      </c>
      <c r="G45" s="62">
        <f>Maintenance!E12</f>
        <v>48.636215277777779</v>
      </c>
      <c r="H45" s="62">
        <f>Maintenance!F12</f>
        <v>82.247326388888879</v>
      </c>
      <c r="I45" s="62">
        <f>Maintenance!G12</f>
        <v>82.247326388888879</v>
      </c>
      <c r="J45" s="62">
        <f>Maintenance!H12</f>
        <v>48.636215277777779</v>
      </c>
      <c r="K45" s="62">
        <f>Maintenance!I12</f>
        <v>82.247326388888879</v>
      </c>
      <c r="L45" s="62">
        <f>Maintenance!J12</f>
        <v>82.247326388888879</v>
      </c>
      <c r="M45" s="62">
        <f>Maintenance!K12</f>
        <v>33.611111111111107</v>
      </c>
      <c r="N45" s="62">
        <f>Maintenance!L12</f>
        <v>48.636215277777779</v>
      </c>
      <c r="O45" s="62">
        <f>Maintenance!M12</f>
        <v>55.55555555555555</v>
      </c>
      <c r="P45" s="62"/>
    </row>
    <row r="46" spans="2:17" x14ac:dyDescent="0.35">
      <c r="B46" s="27"/>
      <c r="C46" s="2" t="s">
        <v>410</v>
      </c>
      <c r="D46" s="6"/>
      <c r="F46" s="62">
        <v>0</v>
      </c>
      <c r="G46" s="62">
        <f>VTB_CaMau!J26</f>
        <v>52.005719178082195</v>
      </c>
      <c r="H46" s="62">
        <f>-'BIDV-THH'!I24/12</f>
        <v>67.83950182648401</v>
      </c>
      <c r="I46" s="62">
        <f>-VTB_TNN!I28/12</f>
        <v>62.242500000000007</v>
      </c>
      <c r="J46" s="62">
        <f>-VTB_TBH!I29/12</f>
        <v>62.727858447488586</v>
      </c>
      <c r="K46" s="62">
        <f>-'VTB_YẾT KIÊU'!F27/12</f>
        <v>89.097750000000005</v>
      </c>
      <c r="L46" s="62">
        <f>-'VTB_Nha trang.'!F28/12</f>
        <v>88.516551369863009</v>
      </c>
      <c r="M46" s="62">
        <v>0</v>
      </c>
      <c r="N46" s="62">
        <v>0</v>
      </c>
      <c r="O46" s="62">
        <v>46.25</v>
      </c>
      <c r="P46" s="62"/>
    </row>
    <row r="47" spans="2:17" x14ac:dyDescent="0.35">
      <c r="B47" s="27"/>
      <c r="C47" s="2" t="s">
        <v>409</v>
      </c>
      <c r="D47" s="6"/>
      <c r="F47" s="62">
        <f t="shared" ref="F47:O47" si="20">SUM(F48:F53)</f>
        <v>268.31545</v>
      </c>
      <c r="G47" s="62">
        <f t="shared" si="20"/>
        <v>184.69590199999999</v>
      </c>
      <c r="H47" s="62">
        <f t="shared" si="20"/>
        <v>227.78477724999999</v>
      </c>
      <c r="I47" s="62">
        <f t="shared" si="20"/>
        <v>216.94767572727272</v>
      </c>
      <c r="J47" s="62">
        <f t="shared" si="20"/>
        <v>164.39309100000003</v>
      </c>
      <c r="K47" s="62">
        <f t="shared" si="20"/>
        <v>276.85315800000001</v>
      </c>
      <c r="L47" s="62">
        <f t="shared" si="20"/>
        <v>257.892155</v>
      </c>
      <c r="M47" s="62">
        <f t="shared" si="20"/>
        <v>33.333333000000003</v>
      </c>
      <c r="N47" s="62">
        <f t="shared" si="20"/>
        <v>78.281936999999999</v>
      </c>
      <c r="O47" s="62">
        <f t="shared" si="20"/>
        <v>240.6249999991667</v>
      </c>
      <c r="P47" s="62"/>
    </row>
    <row r="48" spans="2:17" outlineLevel="1" x14ac:dyDescent="0.35">
      <c r="B48" s="27"/>
      <c r="D48" s="2" t="s">
        <v>6</v>
      </c>
      <c r="F48" s="297">
        <f>HaiDuong!G76</f>
        <v>133.33333300000001</v>
      </c>
      <c r="G48" s="297">
        <v>140</v>
      </c>
      <c r="H48" s="297">
        <f>ThanhHoa!F45</f>
        <v>145.26985525000001</v>
      </c>
      <c r="I48" s="297">
        <f>ThaiNguyen!G45</f>
        <v>143.33333300000001</v>
      </c>
      <c r="J48" s="299">
        <v>143.33333300000001</v>
      </c>
      <c r="K48" s="299">
        <v>154.77374799999998</v>
      </c>
      <c r="L48" s="298">
        <v>148.308077</v>
      </c>
      <c r="M48" s="297">
        <v>0</v>
      </c>
      <c r="N48" s="299">
        <v>57.5</v>
      </c>
      <c r="O48" s="299">
        <v>151.66666666941668</v>
      </c>
      <c r="P48" s="297"/>
    </row>
    <row r="49" spans="2:16" outlineLevel="1" x14ac:dyDescent="0.35">
      <c r="B49" s="27"/>
      <c r="D49" s="2" t="s">
        <v>8</v>
      </c>
      <c r="F49" s="297">
        <f>HaiDuong!G78</f>
        <v>70.833332999999996</v>
      </c>
      <c r="G49" s="297">
        <v>0</v>
      </c>
      <c r="H49" s="297">
        <f>ThanhHoa!F47</f>
        <v>32.5</v>
      </c>
      <c r="I49" s="297">
        <f>ThaiNguyen!Q47</f>
        <v>25</v>
      </c>
      <c r="J49" s="297">
        <v>0</v>
      </c>
      <c r="K49" s="299">
        <v>28.983547999999999</v>
      </c>
      <c r="L49" s="298">
        <v>29.302578</v>
      </c>
      <c r="M49" s="298">
        <v>33.333333000000003</v>
      </c>
      <c r="N49" s="297">
        <v>0</v>
      </c>
      <c r="O49" s="299">
        <v>34.166666664666664</v>
      </c>
      <c r="P49" s="297"/>
    </row>
    <row r="50" spans="2:16" outlineLevel="1" x14ac:dyDescent="0.35">
      <c r="B50" s="27"/>
      <c r="D50" s="2" t="s">
        <v>7</v>
      </c>
      <c r="F50" s="297">
        <f>HaiDuong!G77</f>
        <v>20</v>
      </c>
      <c r="G50" s="297">
        <v>20</v>
      </c>
      <c r="H50" s="297">
        <v>0</v>
      </c>
      <c r="I50" s="297">
        <v>0</v>
      </c>
      <c r="J50" s="297">
        <v>0</v>
      </c>
      <c r="K50" s="299">
        <v>20.231773</v>
      </c>
      <c r="L50" s="298">
        <v>20.650756000000001</v>
      </c>
      <c r="M50" s="297">
        <v>0</v>
      </c>
      <c r="N50" s="297">
        <v>0</v>
      </c>
      <c r="O50" s="299">
        <v>30.833333331749998</v>
      </c>
      <c r="P50" s="297"/>
    </row>
    <row r="51" spans="2:16" outlineLevel="1" x14ac:dyDescent="0.35">
      <c r="B51" s="27"/>
      <c r="D51" s="2" t="s">
        <v>9</v>
      </c>
      <c r="F51" s="297">
        <f>HaiDuong!G79</f>
        <v>5.6666670000000003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9">
        <v>3.9583333333333335</v>
      </c>
      <c r="P51" s="297"/>
    </row>
    <row r="52" spans="2:16" outlineLevel="1" x14ac:dyDescent="0.35">
      <c r="B52" s="27"/>
      <c r="D52" s="2" t="s">
        <v>10</v>
      </c>
      <c r="F52" s="297">
        <f>HaiDuong!G80</f>
        <v>6.6666670000000003</v>
      </c>
      <c r="G52" s="297">
        <v>0</v>
      </c>
      <c r="H52" s="297">
        <v>0</v>
      </c>
      <c r="I52" s="297">
        <v>0</v>
      </c>
      <c r="J52" s="297">
        <v>0</v>
      </c>
      <c r="K52" s="299">
        <v>11.666667</v>
      </c>
      <c r="L52" s="297">
        <v>0</v>
      </c>
      <c r="M52" s="297">
        <v>0</v>
      </c>
      <c r="N52" s="297">
        <v>0</v>
      </c>
      <c r="O52" s="297">
        <v>0</v>
      </c>
      <c r="P52" s="297"/>
    </row>
    <row r="53" spans="2:16" outlineLevel="1" x14ac:dyDescent="0.35">
      <c r="B53" s="27"/>
      <c r="D53" s="2" t="s">
        <v>18</v>
      </c>
      <c r="F53" s="297">
        <f>HaiDuong!G81+7.4</f>
        <v>31.815449999999998</v>
      </c>
      <c r="G53" s="297">
        <f>CaMau!F51</f>
        <v>24.695902</v>
      </c>
      <c r="H53" s="297">
        <f>ThanhHoa!F50+20</f>
        <v>50.014921999999999</v>
      </c>
      <c r="I53" s="297">
        <f>ThaiNguyen!G50+23.3939657272727</f>
        <v>48.6143427272727</v>
      </c>
      <c r="J53" s="299">
        <v>21.059758000000002</v>
      </c>
      <c r="K53" s="299">
        <v>61.197421999999996</v>
      </c>
      <c r="L53" s="298">
        <v>59.630744</v>
      </c>
      <c r="M53" s="297">
        <v>0</v>
      </c>
      <c r="N53" s="299">
        <v>20.781936999999999</v>
      </c>
      <c r="O53" s="297">
        <v>20</v>
      </c>
      <c r="P53" s="297"/>
    </row>
    <row r="54" spans="2:16" x14ac:dyDescent="0.35">
      <c r="B54" s="27"/>
      <c r="C54" s="2" t="s">
        <v>664</v>
      </c>
      <c r="F54" s="62">
        <v>5</v>
      </c>
      <c r="G54" s="62">
        <v>5</v>
      </c>
      <c r="H54" s="62">
        <v>5</v>
      </c>
      <c r="I54" s="62">
        <v>5</v>
      </c>
      <c r="J54" s="62">
        <v>5</v>
      </c>
      <c r="K54" s="62">
        <v>5</v>
      </c>
      <c r="L54" s="62">
        <v>5</v>
      </c>
      <c r="M54" s="62">
        <v>5</v>
      </c>
      <c r="N54" s="62">
        <v>5</v>
      </c>
      <c r="O54" s="62">
        <v>5</v>
      </c>
      <c r="P54" s="62"/>
    </row>
    <row r="55" spans="2:16" x14ac:dyDescent="0.35">
      <c r="B55" s="27"/>
      <c r="F55" s="297"/>
      <c r="G55" s="297"/>
      <c r="H55" s="297"/>
      <c r="I55" s="297"/>
      <c r="J55" s="299"/>
      <c r="K55" s="299"/>
      <c r="L55" s="298"/>
      <c r="M55" s="297"/>
      <c r="N55" s="299"/>
      <c r="O55" s="297"/>
      <c r="P55" s="297"/>
    </row>
    <row r="56" spans="2:16" x14ac:dyDescent="0.35">
      <c r="B56" s="27" t="s">
        <v>411</v>
      </c>
      <c r="F56" s="62"/>
      <c r="G56" s="60"/>
      <c r="H56" s="62"/>
      <c r="I56" s="62"/>
      <c r="J56" s="62"/>
      <c r="K56" s="62"/>
      <c r="L56" s="62"/>
      <c r="M56" s="62"/>
      <c r="N56" s="62"/>
      <c r="O56" s="62"/>
      <c r="P56" s="62"/>
    </row>
    <row r="57" spans="2:16" x14ac:dyDescent="0.35">
      <c r="B57" s="27"/>
      <c r="C57" s="55" t="s">
        <v>23</v>
      </c>
      <c r="F57" s="62"/>
      <c r="G57" s="60"/>
      <c r="H57" s="62"/>
      <c r="I57" s="62"/>
      <c r="J57" s="62"/>
      <c r="K57" s="62"/>
      <c r="L57" s="62"/>
      <c r="M57" s="62"/>
      <c r="N57" s="62"/>
      <c r="O57" s="62"/>
      <c r="P57" s="62"/>
    </row>
    <row r="58" spans="2:16" x14ac:dyDescent="0.35">
      <c r="B58" s="580"/>
      <c r="D58" s="2" t="s">
        <v>6</v>
      </c>
      <c r="F58" s="62">
        <f>HaiDuong!R25</f>
        <v>66943.206007241359</v>
      </c>
      <c r="G58" s="62">
        <v>7918</v>
      </c>
      <c r="H58" s="284">
        <v>32198.546244604571</v>
      </c>
      <c r="I58" s="284">
        <v>62063.346205059919</v>
      </c>
      <c r="J58" s="238">
        <v>65590.643274853806</v>
      </c>
      <c r="K58" s="62">
        <v>85000</v>
      </c>
      <c r="L58" s="303">
        <v>67931.214642262901</v>
      </c>
      <c r="M58" s="62">
        <v>0</v>
      </c>
      <c r="N58" s="303">
        <v>81320.967741935485</v>
      </c>
      <c r="O58" s="62">
        <f>F58</f>
        <v>66943.206007241359</v>
      </c>
      <c r="P58" s="62"/>
    </row>
    <row r="59" spans="2:16" x14ac:dyDescent="0.35">
      <c r="B59" s="580"/>
      <c r="D59" s="2" t="s">
        <v>8</v>
      </c>
      <c r="F59" s="62">
        <f>HaiDuong!R26</f>
        <v>32967.486060552445</v>
      </c>
      <c r="G59" s="62">
        <v>0</v>
      </c>
      <c r="H59" s="284">
        <v>29418.047238254516</v>
      </c>
      <c r="I59" s="62">
        <f>H59</f>
        <v>29418.047238254516</v>
      </c>
      <c r="J59" s="62">
        <v>0</v>
      </c>
      <c r="K59" s="62">
        <v>51221.338645418327</v>
      </c>
      <c r="L59" s="303">
        <v>39495.876606683807</v>
      </c>
      <c r="M59" s="303">
        <v>59008.823529411762</v>
      </c>
      <c r="N59" s="62">
        <v>0</v>
      </c>
      <c r="O59" s="62">
        <f>F59</f>
        <v>32967.486060552445</v>
      </c>
      <c r="P59" s="62"/>
    </row>
    <row r="60" spans="2:16" x14ac:dyDescent="0.35">
      <c r="B60" s="580"/>
      <c r="D60" s="2" t="s">
        <v>7</v>
      </c>
      <c r="F60" s="62">
        <f>HaiDuong!R27</f>
        <v>73748.968042822846</v>
      </c>
      <c r="G60" s="62">
        <v>7918</v>
      </c>
      <c r="H60" s="62">
        <v>0</v>
      </c>
      <c r="I60" s="62">
        <v>0</v>
      </c>
      <c r="J60" s="62">
        <v>0</v>
      </c>
      <c r="K60" s="62">
        <v>11743.033519553073</v>
      </c>
      <c r="L60" s="303">
        <v>38745.14572864322</v>
      </c>
      <c r="M60" s="62">
        <v>0</v>
      </c>
      <c r="N60" s="62">
        <v>0</v>
      </c>
      <c r="O60" s="62">
        <f>F60</f>
        <v>73748.968042822846</v>
      </c>
      <c r="P60" s="62"/>
    </row>
    <row r="61" spans="2:16" x14ac:dyDescent="0.35">
      <c r="B61" s="580"/>
      <c r="D61" s="2" t="s">
        <v>9</v>
      </c>
      <c r="F61" s="62">
        <f>HaiDuong!R28</f>
        <v>22816.038371701263</v>
      </c>
      <c r="G61" s="62">
        <v>0</v>
      </c>
      <c r="H61" s="62">
        <v>0</v>
      </c>
      <c r="I61" s="62">
        <v>0</v>
      </c>
      <c r="J61" s="62">
        <v>0</v>
      </c>
      <c r="K61" s="62">
        <v>0</v>
      </c>
      <c r="L61" s="62">
        <v>0</v>
      </c>
      <c r="M61" s="62">
        <v>0</v>
      </c>
      <c r="N61" s="62">
        <v>0</v>
      </c>
      <c r="O61" s="62">
        <f>F61</f>
        <v>22816.038371701263</v>
      </c>
      <c r="P61" s="62"/>
    </row>
    <row r="62" spans="2:16" x14ac:dyDescent="0.35">
      <c r="B62" s="580"/>
      <c r="D62" s="2" t="s">
        <v>10</v>
      </c>
      <c r="F62" s="62">
        <f>HaiDuong!R29</f>
        <v>7348.1512189234854</v>
      </c>
      <c r="G62" s="62">
        <v>0</v>
      </c>
      <c r="H62" s="62">
        <v>0</v>
      </c>
      <c r="I62" s="62">
        <v>0</v>
      </c>
      <c r="J62" s="62">
        <v>0</v>
      </c>
      <c r="K62" s="62">
        <v>0</v>
      </c>
      <c r="L62" s="62">
        <v>0</v>
      </c>
      <c r="M62" s="62">
        <v>0</v>
      </c>
      <c r="N62" s="62">
        <v>0</v>
      </c>
      <c r="O62" s="62">
        <v>0</v>
      </c>
      <c r="P62" s="62"/>
    </row>
    <row r="63" spans="2:16" hidden="1" x14ac:dyDescent="0.35">
      <c r="B63" s="27"/>
      <c r="C63" s="2" t="s">
        <v>418</v>
      </c>
      <c r="F63" s="62"/>
      <c r="G63" s="60"/>
      <c r="H63" s="62"/>
      <c r="I63" s="62"/>
      <c r="J63" s="62"/>
      <c r="K63" s="62"/>
      <c r="L63" s="62"/>
      <c r="M63" s="62"/>
      <c r="N63" s="62"/>
      <c r="O63" s="62"/>
      <c r="P63" s="62"/>
    </row>
    <row r="64" spans="2:16" hidden="1" x14ac:dyDescent="0.35">
      <c r="B64" s="27"/>
      <c r="D64" s="2" t="s">
        <v>6</v>
      </c>
      <c r="F64" s="284"/>
      <c r="G64" s="62"/>
      <c r="H64" s="284"/>
      <c r="I64" s="284"/>
      <c r="J64" s="62"/>
      <c r="K64" s="62"/>
      <c r="L64" s="62"/>
      <c r="M64" s="62"/>
      <c r="N64" s="62"/>
      <c r="O64" s="62"/>
      <c r="P64" s="62"/>
    </row>
    <row r="65" spans="2:16" hidden="1" x14ac:dyDescent="0.35">
      <c r="B65" s="27"/>
      <c r="D65" s="2" t="s">
        <v>8</v>
      </c>
      <c r="F65" s="284"/>
      <c r="G65" s="62"/>
      <c r="H65" s="284"/>
      <c r="I65" s="62"/>
      <c r="J65" s="62"/>
      <c r="K65" s="62"/>
      <c r="L65" s="62"/>
      <c r="M65" s="62"/>
      <c r="N65" s="62"/>
      <c r="O65" s="62"/>
      <c r="P65" s="62"/>
    </row>
    <row r="66" spans="2:16" x14ac:dyDescent="0.35">
      <c r="B66" s="27"/>
      <c r="C66" s="55" t="s">
        <v>663</v>
      </c>
      <c r="F66" s="62"/>
      <c r="G66" s="60"/>
      <c r="H66" s="62"/>
      <c r="I66" s="62"/>
      <c r="J66" s="62"/>
      <c r="K66" s="62"/>
      <c r="L66" s="62"/>
      <c r="M66" s="62"/>
      <c r="N66" s="62"/>
      <c r="O66" s="62"/>
      <c r="P66" s="62"/>
    </row>
    <row r="67" spans="2:16" x14ac:dyDescent="0.35">
      <c r="B67" s="580"/>
      <c r="D67" s="2" t="s">
        <v>6</v>
      </c>
      <c r="F67" s="62">
        <v>90000</v>
      </c>
      <c r="G67" s="62">
        <f>$F67</f>
        <v>90000</v>
      </c>
      <c r="H67" s="62">
        <f t="shared" ref="H67:O67" si="21">$F67</f>
        <v>90000</v>
      </c>
      <c r="I67" s="62">
        <f t="shared" si="21"/>
        <v>90000</v>
      </c>
      <c r="J67" s="62">
        <f t="shared" si="21"/>
        <v>90000</v>
      </c>
      <c r="K67" s="62">
        <f t="shared" si="21"/>
        <v>90000</v>
      </c>
      <c r="L67" s="62">
        <f t="shared" si="21"/>
        <v>90000</v>
      </c>
      <c r="M67" s="62">
        <v>0</v>
      </c>
      <c r="N67" s="62">
        <f t="shared" si="21"/>
        <v>90000</v>
      </c>
      <c r="O67" s="62">
        <f t="shared" si="21"/>
        <v>90000</v>
      </c>
      <c r="P67" s="62"/>
    </row>
    <row r="68" spans="2:16" x14ac:dyDescent="0.35">
      <c r="B68" s="580"/>
      <c r="D68" s="2" t="s">
        <v>8</v>
      </c>
      <c r="F68" s="62">
        <v>50000</v>
      </c>
      <c r="G68" s="62">
        <v>0</v>
      </c>
      <c r="H68" s="62">
        <f>$F68</f>
        <v>50000</v>
      </c>
      <c r="I68" s="62">
        <f>$F68</f>
        <v>50000</v>
      </c>
      <c r="J68" s="62">
        <v>0</v>
      </c>
      <c r="K68" s="62">
        <f>$F68</f>
        <v>50000</v>
      </c>
      <c r="L68" s="62">
        <f>$F68</f>
        <v>50000</v>
      </c>
      <c r="M68" s="62">
        <f>$F68</f>
        <v>50000</v>
      </c>
      <c r="N68" s="62">
        <v>0</v>
      </c>
      <c r="O68" s="62">
        <f>$F68</f>
        <v>50000</v>
      </c>
      <c r="P68" s="62"/>
    </row>
    <row r="69" spans="2:16" x14ac:dyDescent="0.35">
      <c r="B69" s="580"/>
      <c r="D69" s="2" t="s">
        <v>7</v>
      </c>
      <c r="F69" s="62">
        <v>25000</v>
      </c>
      <c r="G69" s="62">
        <f>$F69</f>
        <v>25000</v>
      </c>
      <c r="H69" s="62">
        <v>0</v>
      </c>
      <c r="I69" s="62">
        <v>0</v>
      </c>
      <c r="J69" s="62">
        <v>0</v>
      </c>
      <c r="K69" s="62">
        <f>$F69</f>
        <v>25000</v>
      </c>
      <c r="L69" s="62">
        <f>$F69</f>
        <v>25000</v>
      </c>
      <c r="M69" s="62">
        <v>0</v>
      </c>
      <c r="N69" s="62">
        <v>0</v>
      </c>
      <c r="O69" s="62">
        <f>$F69</f>
        <v>25000</v>
      </c>
      <c r="P69" s="62"/>
    </row>
    <row r="70" spans="2:16" x14ac:dyDescent="0.35">
      <c r="B70" s="27"/>
      <c r="C70" s="55" t="s">
        <v>661</v>
      </c>
      <c r="F70" s="62"/>
      <c r="G70" s="60"/>
      <c r="H70" s="60"/>
      <c r="I70" s="60"/>
      <c r="J70" s="60"/>
      <c r="K70" s="62"/>
      <c r="L70" s="62"/>
      <c r="M70" s="60"/>
      <c r="N70" s="62"/>
      <c r="O70" s="62"/>
      <c r="P70" s="62"/>
    </row>
    <row r="71" spans="2:16" x14ac:dyDescent="0.35">
      <c r="B71" s="580"/>
      <c r="D71" s="2" t="s">
        <v>6</v>
      </c>
      <c r="F71" s="62">
        <v>300000</v>
      </c>
      <c r="G71" s="62">
        <v>200000</v>
      </c>
      <c r="H71" s="62">
        <f>$F71</f>
        <v>300000</v>
      </c>
      <c r="I71" s="62">
        <f>$F71</f>
        <v>300000</v>
      </c>
      <c r="J71" s="62">
        <v>250000</v>
      </c>
      <c r="K71" s="62">
        <v>400000</v>
      </c>
      <c r="L71" s="62">
        <v>350000</v>
      </c>
      <c r="M71" s="62">
        <v>0</v>
      </c>
      <c r="N71" s="62">
        <f>$F71</f>
        <v>300000</v>
      </c>
      <c r="O71" s="62">
        <f>$F71</f>
        <v>300000</v>
      </c>
      <c r="P71" s="62"/>
    </row>
    <row r="72" spans="2:16" x14ac:dyDescent="0.35">
      <c r="B72" s="580"/>
      <c r="D72" s="2" t="s">
        <v>8</v>
      </c>
      <c r="F72" s="62">
        <v>200000</v>
      </c>
      <c r="G72" s="62">
        <v>0</v>
      </c>
      <c r="H72" s="62">
        <f>$F72</f>
        <v>200000</v>
      </c>
      <c r="I72" s="62">
        <v>150000</v>
      </c>
      <c r="J72" s="62">
        <v>0</v>
      </c>
      <c r="K72" s="62">
        <v>100000</v>
      </c>
      <c r="L72" s="62">
        <v>100000</v>
      </c>
      <c r="M72" s="62">
        <v>150000</v>
      </c>
      <c r="N72" s="62">
        <v>0</v>
      </c>
      <c r="O72" s="62">
        <f>$F72</f>
        <v>200000</v>
      </c>
      <c r="P72" s="62"/>
    </row>
    <row r="73" spans="2:16" x14ac:dyDescent="0.35">
      <c r="B73" s="580"/>
      <c r="D73" s="2" t="s">
        <v>7</v>
      </c>
      <c r="F73" s="284">
        <v>100000</v>
      </c>
      <c r="G73" s="62">
        <v>50000</v>
      </c>
      <c r="H73" s="62">
        <v>0</v>
      </c>
      <c r="I73" s="62">
        <v>0</v>
      </c>
      <c r="J73" s="62">
        <v>0</v>
      </c>
      <c r="K73" s="62">
        <f>$F73</f>
        <v>100000</v>
      </c>
      <c r="L73" s="62">
        <f>$F73</f>
        <v>100000</v>
      </c>
      <c r="M73" s="62">
        <v>0</v>
      </c>
      <c r="N73" s="62">
        <v>0</v>
      </c>
      <c r="O73" s="62">
        <f>$F73</f>
        <v>100000</v>
      </c>
      <c r="P73" s="62"/>
    </row>
    <row r="74" spans="2:16" x14ac:dyDescent="0.35">
      <c r="B74" s="27"/>
      <c r="C74" s="55" t="s">
        <v>28</v>
      </c>
      <c r="F74" s="62"/>
      <c r="G74" s="60"/>
      <c r="H74" s="60"/>
      <c r="I74" s="60"/>
      <c r="J74" s="60"/>
      <c r="K74" s="62"/>
      <c r="L74" s="62"/>
      <c r="M74" s="60"/>
      <c r="N74" s="62"/>
      <c r="O74" s="60"/>
      <c r="P74" s="62"/>
    </row>
    <row r="75" spans="2:16" x14ac:dyDescent="0.35">
      <c r="B75" s="580"/>
      <c r="D75" s="2" t="s">
        <v>6</v>
      </c>
      <c r="F75" s="62">
        <v>115000</v>
      </c>
      <c r="G75" s="62">
        <f t="shared" ref="G75:L75" si="22">$F75</f>
        <v>115000</v>
      </c>
      <c r="H75" s="62">
        <f t="shared" si="22"/>
        <v>115000</v>
      </c>
      <c r="I75" s="62">
        <f t="shared" si="22"/>
        <v>115000</v>
      </c>
      <c r="J75" s="62">
        <f t="shared" si="22"/>
        <v>115000</v>
      </c>
      <c r="K75" s="62">
        <f t="shared" si="22"/>
        <v>115000</v>
      </c>
      <c r="L75" s="62">
        <f t="shared" si="22"/>
        <v>115000</v>
      </c>
      <c r="M75" s="62">
        <v>0</v>
      </c>
      <c r="N75" s="62">
        <f t="shared" ref="N75:O78" si="23">$F75</f>
        <v>115000</v>
      </c>
      <c r="O75" s="62">
        <f t="shared" si="23"/>
        <v>115000</v>
      </c>
      <c r="P75" s="62"/>
    </row>
    <row r="76" spans="2:16" x14ac:dyDescent="0.35">
      <c r="B76" s="580"/>
      <c r="D76" s="2" t="s">
        <v>8</v>
      </c>
      <c r="F76" s="62">
        <v>115000</v>
      </c>
      <c r="G76" s="62">
        <v>0</v>
      </c>
      <c r="H76" s="62">
        <f>$F76</f>
        <v>115000</v>
      </c>
      <c r="I76" s="62">
        <f>$F76</f>
        <v>115000</v>
      </c>
      <c r="J76" s="62">
        <v>0</v>
      </c>
      <c r="K76" s="62">
        <f>$F76</f>
        <v>115000</v>
      </c>
      <c r="L76" s="62">
        <f>$F76</f>
        <v>115000</v>
      </c>
      <c r="M76" s="62">
        <f>$F76</f>
        <v>115000</v>
      </c>
      <c r="N76" s="62">
        <v>0</v>
      </c>
      <c r="O76" s="62">
        <f t="shared" si="23"/>
        <v>115000</v>
      </c>
      <c r="P76" s="62"/>
    </row>
    <row r="77" spans="2:16" x14ac:dyDescent="0.35">
      <c r="B77" s="580"/>
      <c r="D77" s="2" t="s">
        <v>7</v>
      </c>
      <c r="F77" s="62">
        <v>70000</v>
      </c>
      <c r="G77" s="62">
        <v>60000</v>
      </c>
      <c r="H77" s="62">
        <v>0</v>
      </c>
      <c r="I77" s="62">
        <v>0</v>
      </c>
      <c r="J77" s="62">
        <v>0</v>
      </c>
      <c r="K77" s="62">
        <f>$F77</f>
        <v>70000</v>
      </c>
      <c r="L77" s="62">
        <f>$F77</f>
        <v>70000</v>
      </c>
      <c r="M77" s="62">
        <v>0</v>
      </c>
      <c r="N77" s="62">
        <v>0</v>
      </c>
      <c r="O77" s="62">
        <f t="shared" si="23"/>
        <v>70000</v>
      </c>
      <c r="P77" s="62"/>
    </row>
    <row r="78" spans="2:16" x14ac:dyDescent="0.35">
      <c r="B78" s="580"/>
      <c r="D78" s="2" t="s">
        <v>9</v>
      </c>
      <c r="F78" s="62">
        <v>20000</v>
      </c>
      <c r="G78" s="62">
        <v>0</v>
      </c>
      <c r="H78" s="62">
        <v>0</v>
      </c>
      <c r="I78" s="62">
        <v>0</v>
      </c>
      <c r="J78" s="62">
        <v>0</v>
      </c>
      <c r="K78" s="62">
        <v>0</v>
      </c>
      <c r="L78" s="62">
        <v>0</v>
      </c>
      <c r="M78" s="62">
        <v>0</v>
      </c>
      <c r="N78" s="62">
        <v>0</v>
      </c>
      <c r="O78" s="62">
        <f t="shared" si="23"/>
        <v>20000</v>
      </c>
      <c r="P78" s="62"/>
    </row>
    <row r="79" spans="2:16" x14ac:dyDescent="0.35">
      <c r="B79" s="27"/>
      <c r="D79" s="2" t="s">
        <v>469</v>
      </c>
      <c r="F79" s="62"/>
      <c r="G79" s="60"/>
      <c r="H79" s="62"/>
      <c r="I79" s="62"/>
      <c r="J79" s="62"/>
      <c r="K79" s="62"/>
      <c r="L79" s="62"/>
      <c r="M79" s="62"/>
      <c r="N79" s="62"/>
      <c r="O79" s="62"/>
      <c r="P79" s="62"/>
    </row>
    <row r="80" spans="2:16" x14ac:dyDescent="0.35">
      <c r="B80" s="617">
        <v>0.15</v>
      </c>
      <c r="C80" s="55" t="s">
        <v>662</v>
      </c>
      <c r="F80" s="96">
        <f>$B$80</f>
        <v>0.15</v>
      </c>
      <c r="G80" s="96">
        <f t="shared" ref="G80:O80" si="24">$B$80</f>
        <v>0.15</v>
      </c>
      <c r="H80" s="96">
        <f t="shared" si="24"/>
        <v>0.15</v>
      </c>
      <c r="I80" s="96">
        <f t="shared" si="24"/>
        <v>0.15</v>
      </c>
      <c r="J80" s="96">
        <f t="shared" si="24"/>
        <v>0.15</v>
      </c>
      <c r="K80" s="96">
        <f t="shared" si="24"/>
        <v>0.15</v>
      </c>
      <c r="L80" s="96">
        <f t="shared" si="24"/>
        <v>0.15</v>
      </c>
      <c r="M80" s="96">
        <f t="shared" si="24"/>
        <v>0.15</v>
      </c>
      <c r="N80" s="96">
        <f t="shared" si="24"/>
        <v>0.15</v>
      </c>
      <c r="O80" s="96">
        <f t="shared" si="24"/>
        <v>0.15</v>
      </c>
      <c r="P80" s="62"/>
    </row>
    <row r="81" spans="2:18" x14ac:dyDescent="0.35">
      <c r="B81" s="27"/>
      <c r="F81" s="62"/>
      <c r="G81" s="60"/>
      <c r="H81" s="62"/>
      <c r="I81" s="62"/>
      <c r="J81" s="62"/>
      <c r="K81" s="62"/>
      <c r="L81" s="62"/>
      <c r="M81" s="62"/>
      <c r="N81" s="62"/>
      <c r="O81" s="62"/>
      <c r="P81" s="62"/>
    </row>
    <row r="82" spans="2:18" x14ac:dyDescent="0.35">
      <c r="B82" s="27" t="s">
        <v>412</v>
      </c>
      <c r="G82" s="60"/>
      <c r="H82" s="62"/>
      <c r="I82" s="62"/>
      <c r="J82" s="62"/>
      <c r="K82" s="62"/>
      <c r="L82" s="62"/>
      <c r="M82" s="62"/>
      <c r="N82" s="62"/>
      <c r="O82" s="62"/>
      <c r="P82" s="62"/>
    </row>
    <row r="83" spans="2:18" x14ac:dyDescent="0.35">
      <c r="B83" s="27"/>
      <c r="D83" s="2" t="s">
        <v>6</v>
      </c>
      <c r="F83" s="84">
        <v>2000000</v>
      </c>
      <c r="G83" s="62">
        <v>2000000</v>
      </c>
      <c r="H83" s="62">
        <v>2000000</v>
      </c>
      <c r="I83" s="62">
        <v>2000000</v>
      </c>
      <c r="J83" s="62">
        <v>2000000</v>
      </c>
      <c r="K83" s="62">
        <v>2200000</v>
      </c>
      <c r="L83" s="62">
        <v>2000000</v>
      </c>
      <c r="M83" s="62">
        <v>0</v>
      </c>
      <c r="N83" s="62">
        <f>K83</f>
        <v>2200000</v>
      </c>
      <c r="O83" s="62">
        <f>F83</f>
        <v>2000000</v>
      </c>
      <c r="P83" s="62"/>
      <c r="Q83" s="201" t="e">
        <f>1-K83/P83</f>
        <v>#DIV/0!</v>
      </c>
    </row>
    <row r="84" spans="2:18" x14ac:dyDescent="0.35">
      <c r="B84" s="27"/>
      <c r="D84" s="2" t="s">
        <v>8</v>
      </c>
      <c r="F84" s="84">
        <v>1100000</v>
      </c>
      <c r="G84" s="62">
        <v>0</v>
      </c>
      <c r="H84" s="284">
        <v>1000000</v>
      </c>
      <c r="I84" s="62">
        <v>1000000</v>
      </c>
      <c r="J84" s="62">
        <v>0</v>
      </c>
      <c r="K84" s="62">
        <v>1300000</v>
      </c>
      <c r="L84" s="62">
        <v>1000000</v>
      </c>
      <c r="M84" s="284">
        <v>1000000</v>
      </c>
      <c r="N84" s="62">
        <v>0</v>
      </c>
      <c r="O84" s="62">
        <f>F84</f>
        <v>1100000</v>
      </c>
    </row>
    <row r="85" spans="2:18" x14ac:dyDescent="0.35">
      <c r="B85" s="27"/>
      <c r="D85" s="2" t="s">
        <v>7</v>
      </c>
      <c r="F85" s="84">
        <v>500000</v>
      </c>
      <c r="G85" s="62">
        <v>500000</v>
      </c>
      <c r="H85" s="62">
        <v>0</v>
      </c>
      <c r="I85" s="62">
        <v>0</v>
      </c>
      <c r="J85" s="62">
        <v>0</v>
      </c>
      <c r="K85" s="62">
        <v>500000</v>
      </c>
      <c r="L85" s="62">
        <v>500000</v>
      </c>
      <c r="M85" s="62">
        <v>0</v>
      </c>
      <c r="N85" s="62">
        <v>0</v>
      </c>
      <c r="O85" s="62">
        <f>F85</f>
        <v>500000</v>
      </c>
      <c r="P85" s="62"/>
    </row>
    <row r="86" spans="2:18" x14ac:dyDescent="0.35">
      <c r="B86" s="27"/>
      <c r="D86" s="2" t="s">
        <v>9</v>
      </c>
      <c r="F86" s="84">
        <v>148148.14814814815</v>
      </c>
      <c r="G86" s="62">
        <v>0</v>
      </c>
      <c r="H86" s="62">
        <v>0</v>
      </c>
      <c r="I86" s="62">
        <v>0</v>
      </c>
      <c r="J86" s="62">
        <v>0</v>
      </c>
      <c r="K86" s="62">
        <v>0</v>
      </c>
      <c r="L86" s="62">
        <v>0</v>
      </c>
      <c r="M86" s="62">
        <v>0</v>
      </c>
      <c r="N86" s="62">
        <v>0</v>
      </c>
      <c r="O86" s="62">
        <f>F86</f>
        <v>148148.14814814815</v>
      </c>
      <c r="P86" s="62"/>
    </row>
    <row r="87" spans="2:18" x14ac:dyDescent="0.35">
      <c r="B87" s="27"/>
      <c r="D87" s="2" t="s">
        <v>10</v>
      </c>
      <c r="F87" s="84">
        <v>159876.54320987655</v>
      </c>
      <c r="G87" s="62">
        <v>0</v>
      </c>
      <c r="H87" s="62">
        <v>0</v>
      </c>
      <c r="I87" s="62">
        <v>0</v>
      </c>
      <c r="J87" s="62"/>
      <c r="K87" s="62">
        <v>94927.536231884063</v>
      </c>
      <c r="L87" s="62">
        <v>0</v>
      </c>
      <c r="M87" s="62">
        <v>0</v>
      </c>
      <c r="N87" s="62">
        <v>0</v>
      </c>
      <c r="O87" s="62">
        <v>0</v>
      </c>
      <c r="P87" s="62"/>
    </row>
    <row r="88" spans="2:18" x14ac:dyDescent="0.35">
      <c r="B88" s="27" t="s">
        <v>435</v>
      </c>
      <c r="F88" s="618">
        <f t="shared" ref="F88:O88" si="25">SUM(F42:F46,F54)</f>
        <v>342.88827083333365</v>
      </c>
      <c r="G88" s="618">
        <f t="shared" si="25"/>
        <v>231.96854863767817</v>
      </c>
      <c r="H88" s="618">
        <f t="shared" si="25"/>
        <v>355.97632866991836</v>
      </c>
      <c r="I88" s="618">
        <f t="shared" si="25"/>
        <v>307.24431738888887</v>
      </c>
      <c r="J88" s="618">
        <f t="shared" si="25"/>
        <v>284.07632372526632</v>
      </c>
      <c r="K88" s="618">
        <f t="shared" si="25"/>
        <v>544.92593129797979</v>
      </c>
      <c r="L88" s="618">
        <f t="shared" si="25"/>
        <v>426.92215934966094</v>
      </c>
      <c r="M88" s="618">
        <f t="shared" si="25"/>
        <v>83.771111111111111</v>
      </c>
      <c r="N88" s="618">
        <f t="shared" si="25"/>
        <v>142.13646527777777</v>
      </c>
      <c r="O88" s="618">
        <f t="shared" si="25"/>
        <v>248.01555555555552</v>
      </c>
      <c r="P88" s="218"/>
      <c r="R88" s="84"/>
    </row>
    <row r="89" spans="2:18" x14ac:dyDescent="0.35">
      <c r="B89" s="27" t="s">
        <v>436</v>
      </c>
      <c r="F89" s="619">
        <f t="shared" ref="F89:O89" si="26">SUM(F42:F47,F54)</f>
        <v>611.20372083333359</v>
      </c>
      <c r="G89" s="619">
        <f t="shared" si="26"/>
        <v>416.66445063767816</v>
      </c>
      <c r="H89" s="619">
        <f t="shared" si="26"/>
        <v>583.76110591991835</v>
      </c>
      <c r="I89" s="619">
        <f t="shared" si="26"/>
        <v>524.1919931161616</v>
      </c>
      <c r="J89" s="619">
        <f t="shared" si="26"/>
        <v>448.46941472526635</v>
      </c>
      <c r="K89" s="619">
        <f t="shared" si="26"/>
        <v>821.77908929797979</v>
      </c>
      <c r="L89" s="619">
        <f t="shared" si="26"/>
        <v>684.81431434966089</v>
      </c>
      <c r="M89" s="619">
        <f t="shared" si="26"/>
        <v>117.10444411111112</v>
      </c>
      <c r="N89" s="619">
        <f t="shared" si="26"/>
        <v>220.41840227777777</v>
      </c>
      <c r="O89" s="619">
        <f t="shared" si="26"/>
        <v>488.64055555472225</v>
      </c>
      <c r="P89" s="85"/>
    </row>
    <row r="90" spans="2:18" x14ac:dyDescent="0.35">
      <c r="B90" s="27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</row>
    <row r="91" spans="2:18" x14ac:dyDescent="0.35">
      <c r="B91" s="27" t="s">
        <v>668</v>
      </c>
      <c r="G91" s="60"/>
      <c r="H91" s="62"/>
      <c r="I91" s="62"/>
      <c r="J91" s="62"/>
      <c r="K91" s="62"/>
      <c r="L91" s="62"/>
      <c r="M91" s="62"/>
      <c r="N91" s="62"/>
      <c r="O91" s="62"/>
      <c r="P91" s="62"/>
      <c r="R91" s="305">
        <f>255*10^6/643587</f>
        <v>396.21682849404976</v>
      </c>
    </row>
    <row r="92" spans="2:18" x14ac:dyDescent="0.35">
      <c r="B92" s="27"/>
      <c r="D92" s="2" t="s">
        <v>6</v>
      </c>
      <c r="F92" s="2">
        <f t="shared" ref="F92:O92" si="27">ROUNDUP(F$88*10^6*F23/F$29,0)</f>
        <v>257</v>
      </c>
      <c r="G92" s="62">
        <f t="shared" si="27"/>
        <v>174</v>
      </c>
      <c r="H92" s="62">
        <f t="shared" si="27"/>
        <v>263</v>
      </c>
      <c r="I92" s="2">
        <f t="shared" si="27"/>
        <v>258</v>
      </c>
      <c r="J92" s="2">
        <f t="shared" si="27"/>
        <v>241</v>
      </c>
      <c r="K92" s="2">
        <f t="shared" si="27"/>
        <v>427</v>
      </c>
      <c r="L92" s="2">
        <f t="shared" si="27"/>
        <v>362</v>
      </c>
      <c r="M92" s="2">
        <f t="shared" si="27"/>
        <v>0</v>
      </c>
      <c r="N92" s="2">
        <f t="shared" si="27"/>
        <v>111</v>
      </c>
      <c r="O92" s="2">
        <f t="shared" si="27"/>
        <v>190</v>
      </c>
    </row>
    <row r="93" spans="2:18" x14ac:dyDescent="0.35">
      <c r="B93" s="27"/>
      <c r="D93" s="2" t="s">
        <v>8</v>
      </c>
      <c r="F93" s="2">
        <f t="shared" ref="F93:O93" si="28">ROUNDUP(F$88*10^6*F24/F$29,0)</f>
        <v>70</v>
      </c>
      <c r="G93" s="62">
        <f t="shared" si="28"/>
        <v>0</v>
      </c>
      <c r="H93" s="62">
        <f t="shared" si="28"/>
        <v>113</v>
      </c>
      <c r="I93" s="2">
        <f t="shared" si="28"/>
        <v>32</v>
      </c>
      <c r="J93" s="2">
        <f t="shared" si="28"/>
        <v>0</v>
      </c>
      <c r="K93" s="2">
        <f t="shared" si="28"/>
        <v>43</v>
      </c>
      <c r="L93" s="2">
        <f t="shared" si="28"/>
        <v>59</v>
      </c>
      <c r="M93" s="2">
        <f t="shared" si="28"/>
        <v>176</v>
      </c>
      <c r="N93" s="2">
        <f t="shared" si="28"/>
        <v>0</v>
      </c>
      <c r="O93" s="2">
        <f t="shared" si="28"/>
        <v>48</v>
      </c>
    </row>
    <row r="94" spans="2:18" x14ac:dyDescent="0.35">
      <c r="B94" s="27"/>
      <c r="D94" s="2" t="s">
        <v>7</v>
      </c>
      <c r="F94" s="2">
        <f t="shared" ref="F94:O94" si="29">ROUNDUP(F$88*10^6*F25/F$29,0)</f>
        <v>24</v>
      </c>
      <c r="G94" s="62">
        <f t="shared" si="29"/>
        <v>30</v>
      </c>
      <c r="H94" s="62">
        <f t="shared" si="29"/>
        <v>0</v>
      </c>
      <c r="I94" s="2">
        <f t="shared" si="29"/>
        <v>0</v>
      </c>
      <c r="J94" s="2">
        <f t="shared" si="29"/>
        <v>0</v>
      </c>
      <c r="K94" s="2">
        <f t="shared" si="29"/>
        <v>31</v>
      </c>
      <c r="L94" s="2">
        <f t="shared" si="29"/>
        <v>30</v>
      </c>
      <c r="M94" s="2">
        <f t="shared" si="29"/>
        <v>0</v>
      </c>
      <c r="N94" s="2">
        <f t="shared" si="29"/>
        <v>0</v>
      </c>
      <c r="O94" s="2">
        <f t="shared" si="29"/>
        <v>16</v>
      </c>
    </row>
    <row r="95" spans="2:18" x14ac:dyDescent="0.35">
      <c r="B95" s="27"/>
      <c r="D95" s="2" t="s">
        <v>9</v>
      </c>
      <c r="F95" s="2">
        <f t="shared" ref="F95:O95" si="30">ROUNDUP(F$88*10^6*F26/F$29,0)</f>
        <v>94</v>
      </c>
      <c r="G95" s="62">
        <f t="shared" si="30"/>
        <v>0</v>
      </c>
      <c r="H95" s="62">
        <f t="shared" si="30"/>
        <v>0</v>
      </c>
      <c r="I95" s="2">
        <f t="shared" si="30"/>
        <v>0</v>
      </c>
      <c r="J95" s="2">
        <f t="shared" si="30"/>
        <v>0</v>
      </c>
      <c r="K95" s="2">
        <f t="shared" si="30"/>
        <v>0</v>
      </c>
      <c r="L95" s="2">
        <f t="shared" si="30"/>
        <v>0</v>
      </c>
      <c r="M95" s="2">
        <f t="shared" si="30"/>
        <v>0</v>
      </c>
      <c r="N95" s="2">
        <f t="shared" si="30"/>
        <v>0</v>
      </c>
      <c r="O95" s="2">
        <f t="shared" si="30"/>
        <v>64</v>
      </c>
    </row>
    <row r="96" spans="2:18" x14ac:dyDescent="0.35">
      <c r="B96" s="27"/>
      <c r="D96" s="2" t="s">
        <v>10</v>
      </c>
      <c r="F96" s="2">
        <f t="shared" ref="F96:O96" si="31">ROUNDUP(F$88*10^6*F27/F$29,0)</f>
        <v>24</v>
      </c>
      <c r="G96" s="62">
        <f t="shared" si="31"/>
        <v>0</v>
      </c>
      <c r="H96" s="62">
        <f t="shared" si="31"/>
        <v>0</v>
      </c>
      <c r="I96" s="2">
        <f t="shared" si="31"/>
        <v>0</v>
      </c>
      <c r="J96" s="2">
        <f t="shared" si="31"/>
        <v>0</v>
      </c>
      <c r="K96" s="2">
        <f t="shared" si="31"/>
        <v>11</v>
      </c>
      <c r="L96" s="2">
        <f t="shared" si="31"/>
        <v>0</v>
      </c>
      <c r="M96" s="2">
        <f t="shared" si="31"/>
        <v>0</v>
      </c>
      <c r="N96" s="2">
        <f t="shared" si="31"/>
        <v>0</v>
      </c>
      <c r="O96" s="2">
        <f t="shared" si="31"/>
        <v>0</v>
      </c>
    </row>
    <row r="97" spans="2:16" x14ac:dyDescent="0.35">
      <c r="B97" s="27" t="s">
        <v>669</v>
      </c>
      <c r="G97" s="60"/>
      <c r="H97" s="62"/>
      <c r="I97" s="62"/>
      <c r="J97" s="62"/>
      <c r="K97" s="62"/>
      <c r="L97" s="62"/>
      <c r="M97" s="62"/>
      <c r="N97" s="62"/>
      <c r="O97" s="62"/>
      <c r="P97" s="62"/>
    </row>
    <row r="98" spans="2:16" x14ac:dyDescent="0.35">
      <c r="D98" s="2" t="s">
        <v>6</v>
      </c>
      <c r="F98" s="2">
        <f t="shared" ref="F98:O98" si="32">ROUNDUP(F$89*10^6*F23/F$29,0)</f>
        <v>457</v>
      </c>
      <c r="G98" s="62">
        <f t="shared" si="32"/>
        <v>313</v>
      </c>
      <c r="H98" s="62">
        <f t="shared" si="32"/>
        <v>430</v>
      </c>
      <c r="I98" s="62">
        <f t="shared" si="32"/>
        <v>439</v>
      </c>
      <c r="J98" s="62">
        <f t="shared" si="32"/>
        <v>381</v>
      </c>
      <c r="K98" s="62">
        <f t="shared" si="32"/>
        <v>644</v>
      </c>
      <c r="L98" s="62">
        <f t="shared" si="32"/>
        <v>580</v>
      </c>
      <c r="M98" s="62">
        <f t="shared" si="32"/>
        <v>0</v>
      </c>
      <c r="N98" s="62">
        <f t="shared" si="32"/>
        <v>172</v>
      </c>
      <c r="O98" s="62">
        <f t="shared" si="32"/>
        <v>374</v>
      </c>
      <c r="P98" s="62"/>
    </row>
    <row r="99" spans="2:16" x14ac:dyDescent="0.35">
      <c r="D99" s="2" t="s">
        <v>8</v>
      </c>
      <c r="F99" s="2">
        <f t="shared" ref="F99:O99" si="33">ROUNDUP(F$89*10^6*F24/F$29,0)</f>
        <v>125</v>
      </c>
      <c r="G99" s="62">
        <f t="shared" si="33"/>
        <v>0</v>
      </c>
      <c r="H99" s="62">
        <f t="shared" si="33"/>
        <v>185</v>
      </c>
      <c r="I99" s="62">
        <f t="shared" si="33"/>
        <v>55</v>
      </c>
      <c r="J99" s="62">
        <f t="shared" si="33"/>
        <v>0</v>
      </c>
      <c r="K99" s="62">
        <f t="shared" si="33"/>
        <v>65</v>
      </c>
      <c r="L99" s="62">
        <f t="shared" si="33"/>
        <v>94</v>
      </c>
      <c r="M99" s="62">
        <f t="shared" si="33"/>
        <v>247</v>
      </c>
      <c r="N99" s="62">
        <f t="shared" si="33"/>
        <v>0</v>
      </c>
      <c r="O99" s="62">
        <f t="shared" si="33"/>
        <v>94</v>
      </c>
      <c r="P99" s="62"/>
    </row>
    <row r="100" spans="2:16" x14ac:dyDescent="0.35">
      <c r="D100" s="2" t="s">
        <v>7</v>
      </c>
      <c r="F100" s="2">
        <f t="shared" ref="F100:O100" si="34">ROUNDUP(F$89*10^6*F25/F$29,0)</f>
        <v>42</v>
      </c>
      <c r="G100" s="62">
        <f t="shared" si="34"/>
        <v>53</v>
      </c>
      <c r="H100" s="62">
        <f t="shared" si="34"/>
        <v>0</v>
      </c>
      <c r="I100" s="62">
        <f t="shared" si="34"/>
        <v>0</v>
      </c>
      <c r="J100" s="62">
        <f t="shared" si="34"/>
        <v>0</v>
      </c>
      <c r="K100" s="62">
        <f t="shared" si="34"/>
        <v>46</v>
      </c>
      <c r="L100" s="62">
        <f t="shared" si="34"/>
        <v>48</v>
      </c>
      <c r="M100" s="62">
        <f t="shared" si="34"/>
        <v>0</v>
      </c>
      <c r="N100" s="62">
        <f t="shared" si="34"/>
        <v>0</v>
      </c>
      <c r="O100" s="62">
        <f t="shared" si="34"/>
        <v>32</v>
      </c>
      <c r="P100" s="62"/>
    </row>
    <row r="101" spans="2:16" x14ac:dyDescent="0.35">
      <c r="D101" s="2" t="s">
        <v>9</v>
      </c>
      <c r="F101" s="2">
        <f t="shared" ref="F101:O101" si="35">ROUNDUP(F$89*10^6*F26/F$29,0)</f>
        <v>167</v>
      </c>
      <c r="G101" s="62">
        <f t="shared" si="35"/>
        <v>0</v>
      </c>
      <c r="H101" s="62">
        <f t="shared" si="35"/>
        <v>0</v>
      </c>
      <c r="I101" s="62">
        <f t="shared" si="35"/>
        <v>0</v>
      </c>
      <c r="J101" s="62">
        <f t="shared" si="35"/>
        <v>0</v>
      </c>
      <c r="K101" s="62">
        <f t="shared" si="35"/>
        <v>0</v>
      </c>
      <c r="L101" s="62">
        <f t="shared" si="35"/>
        <v>0</v>
      </c>
      <c r="M101" s="62">
        <f t="shared" si="35"/>
        <v>0</v>
      </c>
      <c r="N101" s="62">
        <f t="shared" si="35"/>
        <v>0</v>
      </c>
      <c r="O101" s="62">
        <f t="shared" si="35"/>
        <v>125</v>
      </c>
      <c r="P101" s="62"/>
    </row>
    <row r="102" spans="2:16" x14ac:dyDescent="0.35">
      <c r="D102" s="2" t="s">
        <v>10</v>
      </c>
      <c r="F102" s="2">
        <f t="shared" ref="F102:O102" si="36">ROUNDUP(F$89*10^6*F27/F$29,0)</f>
        <v>42</v>
      </c>
      <c r="G102" s="62">
        <f t="shared" si="36"/>
        <v>0</v>
      </c>
      <c r="H102" s="62">
        <f t="shared" si="36"/>
        <v>0</v>
      </c>
      <c r="I102" s="62">
        <f t="shared" si="36"/>
        <v>0</v>
      </c>
      <c r="J102" s="62">
        <f t="shared" si="36"/>
        <v>0</v>
      </c>
      <c r="K102" s="62">
        <f t="shared" si="36"/>
        <v>16</v>
      </c>
      <c r="L102" s="62">
        <f t="shared" si="36"/>
        <v>0</v>
      </c>
      <c r="M102" s="62">
        <f t="shared" si="36"/>
        <v>0</v>
      </c>
      <c r="N102" s="62">
        <f t="shared" si="36"/>
        <v>0</v>
      </c>
      <c r="O102" s="62">
        <f t="shared" si="36"/>
        <v>0</v>
      </c>
      <c r="P102" s="62"/>
    </row>
    <row r="103" spans="2:16" x14ac:dyDescent="0.35">
      <c r="F103" s="84"/>
    </row>
    <row r="104" spans="2:16" x14ac:dyDescent="0.35">
      <c r="B104" s="27" t="s">
        <v>711</v>
      </c>
    </row>
    <row r="105" spans="2:16" x14ac:dyDescent="0.35">
      <c r="C105" s="6" t="s">
        <v>6</v>
      </c>
      <c r="F105" s="201"/>
      <c r="H105" s="201"/>
    </row>
    <row r="106" spans="2:16" x14ac:dyDescent="0.35">
      <c r="C106" s="6"/>
      <c r="D106" s="55" t="s">
        <v>177</v>
      </c>
      <c r="F106" s="201"/>
      <c r="H106" s="201"/>
    </row>
    <row r="107" spans="2:16" x14ac:dyDescent="0.35">
      <c r="E107" s="2" t="s">
        <v>23</v>
      </c>
      <c r="F107" s="201">
        <f t="shared" ref="F107:O107" si="37">IFERROR(F58/F83,"")</f>
        <v>3.3471603003620683E-2</v>
      </c>
      <c r="G107" s="201">
        <f t="shared" si="37"/>
        <v>3.9589999999999998E-3</v>
      </c>
      <c r="H107" s="201">
        <f t="shared" si="37"/>
        <v>1.6099273122302287E-2</v>
      </c>
      <c r="I107" s="201">
        <f t="shared" si="37"/>
        <v>3.1031673102529959E-2</v>
      </c>
      <c r="J107" s="201">
        <f t="shared" si="37"/>
        <v>3.2795321637426905E-2</v>
      </c>
      <c r="K107" s="201">
        <f t="shared" si="37"/>
        <v>3.8636363636363635E-2</v>
      </c>
      <c r="L107" s="201">
        <f t="shared" si="37"/>
        <v>3.396560732113145E-2</v>
      </c>
      <c r="M107" s="201" t="str">
        <f t="shared" si="37"/>
        <v/>
      </c>
      <c r="N107" s="201">
        <f t="shared" si="37"/>
        <v>3.6964076246334313E-2</v>
      </c>
      <c r="O107" s="201">
        <f t="shared" si="37"/>
        <v>3.3471603003620683E-2</v>
      </c>
    </row>
    <row r="108" spans="2:16" x14ac:dyDescent="0.35">
      <c r="E108" s="2" t="s">
        <v>642</v>
      </c>
      <c r="F108" s="201">
        <f t="shared" ref="F108:O108" si="38">IFERROR(F67/F83,"")</f>
        <v>4.4999999999999998E-2</v>
      </c>
      <c r="G108" s="201">
        <f t="shared" si="38"/>
        <v>4.4999999999999998E-2</v>
      </c>
      <c r="H108" s="201">
        <f t="shared" si="38"/>
        <v>4.4999999999999998E-2</v>
      </c>
      <c r="I108" s="201">
        <f t="shared" si="38"/>
        <v>4.4999999999999998E-2</v>
      </c>
      <c r="J108" s="201">
        <f t="shared" si="38"/>
        <v>4.4999999999999998E-2</v>
      </c>
      <c r="K108" s="201">
        <f t="shared" si="38"/>
        <v>4.0909090909090909E-2</v>
      </c>
      <c r="L108" s="201">
        <f t="shared" si="38"/>
        <v>4.4999999999999998E-2</v>
      </c>
      <c r="M108" s="201" t="str">
        <f t="shared" si="38"/>
        <v/>
      </c>
      <c r="N108" s="201">
        <f t="shared" si="38"/>
        <v>4.0909090909090909E-2</v>
      </c>
      <c r="O108" s="201">
        <f t="shared" si="38"/>
        <v>4.4999999999999998E-2</v>
      </c>
    </row>
    <row r="109" spans="2:16" x14ac:dyDescent="0.35">
      <c r="E109" s="2" t="s">
        <v>661</v>
      </c>
      <c r="F109" s="201">
        <f t="shared" ref="F109:O109" si="39">IFERROR(F71/F83,"")</f>
        <v>0.15</v>
      </c>
      <c r="G109" s="201">
        <f t="shared" si="39"/>
        <v>0.1</v>
      </c>
      <c r="H109" s="201">
        <f t="shared" si="39"/>
        <v>0.15</v>
      </c>
      <c r="I109" s="201">
        <f t="shared" si="39"/>
        <v>0.15</v>
      </c>
      <c r="J109" s="201">
        <f t="shared" si="39"/>
        <v>0.125</v>
      </c>
      <c r="K109" s="201">
        <f t="shared" si="39"/>
        <v>0.18181818181818182</v>
      </c>
      <c r="L109" s="201">
        <f t="shared" si="39"/>
        <v>0.17499999999999999</v>
      </c>
      <c r="M109" s="201" t="str">
        <f t="shared" si="39"/>
        <v/>
      </c>
      <c r="N109" s="201">
        <f t="shared" si="39"/>
        <v>0.13636363636363635</v>
      </c>
      <c r="O109" s="201">
        <f t="shared" si="39"/>
        <v>0.15</v>
      </c>
    </row>
    <row r="110" spans="2:16" x14ac:dyDescent="0.35">
      <c r="E110" s="2" t="s">
        <v>28</v>
      </c>
      <c r="F110" s="201">
        <f t="shared" ref="F110:O110" si="40">IFERROR(F75/F83,"")</f>
        <v>5.7500000000000002E-2</v>
      </c>
      <c r="G110" s="201">
        <f t="shared" si="40"/>
        <v>5.7500000000000002E-2</v>
      </c>
      <c r="H110" s="201">
        <f t="shared" si="40"/>
        <v>5.7500000000000002E-2</v>
      </c>
      <c r="I110" s="201">
        <f t="shared" si="40"/>
        <v>5.7500000000000002E-2</v>
      </c>
      <c r="J110" s="201">
        <f t="shared" si="40"/>
        <v>5.7500000000000002E-2</v>
      </c>
      <c r="K110" s="201">
        <f t="shared" si="40"/>
        <v>5.2272727272727269E-2</v>
      </c>
      <c r="L110" s="201">
        <f t="shared" si="40"/>
        <v>5.7500000000000002E-2</v>
      </c>
      <c r="M110" s="201" t="str">
        <f t="shared" si="40"/>
        <v/>
      </c>
      <c r="N110" s="201">
        <f t="shared" si="40"/>
        <v>5.2272727272727269E-2</v>
      </c>
      <c r="O110" s="201">
        <f t="shared" si="40"/>
        <v>5.7500000000000002E-2</v>
      </c>
    </row>
    <row r="111" spans="2:16" x14ac:dyDescent="0.35">
      <c r="E111" s="2" t="s">
        <v>670</v>
      </c>
      <c r="F111" s="201">
        <f t="shared" ref="F111:L111" si="41">F80</f>
        <v>0.15</v>
      </c>
      <c r="G111" s="201">
        <f t="shared" si="41"/>
        <v>0.15</v>
      </c>
      <c r="H111" s="201">
        <f t="shared" si="41"/>
        <v>0.15</v>
      </c>
      <c r="I111" s="201">
        <f t="shared" si="41"/>
        <v>0.15</v>
      </c>
      <c r="J111" s="201">
        <f t="shared" si="41"/>
        <v>0.15</v>
      </c>
      <c r="K111" s="201">
        <f t="shared" si="41"/>
        <v>0.15</v>
      </c>
      <c r="L111" s="201">
        <f t="shared" si="41"/>
        <v>0.15</v>
      </c>
      <c r="M111" s="201"/>
      <c r="N111" s="201">
        <f>N80</f>
        <v>0.15</v>
      </c>
      <c r="O111" s="201">
        <f>O80</f>
        <v>0.15</v>
      </c>
    </row>
    <row r="112" spans="2:16" x14ac:dyDescent="0.35">
      <c r="D112" s="55" t="s">
        <v>181</v>
      </c>
      <c r="F112" s="620">
        <f>100%-SUM(F107:F111)</f>
        <v>0.5640283969963793</v>
      </c>
      <c r="G112" s="620">
        <f t="shared" ref="G112:O112" si="42">100%-SUM(G107:G111)</f>
        <v>0.64354100000000003</v>
      </c>
      <c r="H112" s="620">
        <f t="shared" si="42"/>
        <v>0.58140072687769773</v>
      </c>
      <c r="I112" s="620">
        <f t="shared" si="42"/>
        <v>0.56646832689747006</v>
      </c>
      <c r="J112" s="620">
        <f t="shared" si="42"/>
        <v>0.58970467836257312</v>
      </c>
      <c r="K112" s="620">
        <f t="shared" si="42"/>
        <v>0.53636363636363638</v>
      </c>
      <c r="L112" s="620">
        <f t="shared" si="42"/>
        <v>0.5385343926788686</v>
      </c>
      <c r="M112" s="620"/>
      <c r="N112" s="620">
        <f t="shared" si="42"/>
        <v>0.58349046920821113</v>
      </c>
      <c r="O112" s="620">
        <f t="shared" si="42"/>
        <v>0.5640283969963793</v>
      </c>
      <c r="P112" s="55"/>
    </row>
    <row r="113" spans="3:15" x14ac:dyDescent="0.35">
      <c r="E113" s="2" t="s">
        <v>98</v>
      </c>
      <c r="F113" s="201">
        <f>F48/(F$83*F$98/10^6)</f>
        <v>0.14587892013129103</v>
      </c>
      <c r="G113" s="201">
        <f t="shared" ref="G113:L113" si="43">G48/(G$83*G$98/10^6)</f>
        <v>0.22364217252396165</v>
      </c>
      <c r="H113" s="201">
        <f t="shared" si="43"/>
        <v>0.16891843633720932</v>
      </c>
      <c r="I113" s="201">
        <f t="shared" si="43"/>
        <v>0.16324980979498863</v>
      </c>
      <c r="J113" s="201">
        <f t="shared" si="43"/>
        <v>0.18810148687664044</v>
      </c>
      <c r="K113" s="201">
        <f t="shared" si="43"/>
        <v>0.10924177583286278</v>
      </c>
      <c r="L113" s="201">
        <f t="shared" si="43"/>
        <v>0.12785179051724138</v>
      </c>
      <c r="M113" s="201"/>
      <c r="N113" s="201">
        <f t="shared" ref="N113:O113" si="44">N48/(N$83*N$98/10^6)</f>
        <v>0.15195560253699789</v>
      </c>
      <c r="O113" s="201">
        <f t="shared" si="44"/>
        <v>0.20276292335483515</v>
      </c>
    </row>
    <row r="114" spans="3:15" x14ac:dyDescent="0.35">
      <c r="E114" s="2" t="s">
        <v>712</v>
      </c>
      <c r="F114" s="201">
        <f>F43/(F$83*F$98/10^6)</f>
        <v>0.16150838803792888</v>
      </c>
      <c r="G114" s="201">
        <f t="shared" ref="G114:L114" si="45">G43/(G$83*G$98/10^6)</f>
        <v>0.10072314972407784</v>
      </c>
      <c r="H114" s="201">
        <f t="shared" si="45"/>
        <v>0.10486046511627908</v>
      </c>
      <c r="I114" s="201">
        <f t="shared" si="45"/>
        <v>9.6765375854214117E-2</v>
      </c>
      <c r="J114" s="201">
        <f t="shared" si="45"/>
        <v>0.11904494750656168</v>
      </c>
      <c r="K114" s="201">
        <f t="shared" si="45"/>
        <v>7.9091967814793912E-2</v>
      </c>
      <c r="L114" s="201">
        <f t="shared" si="45"/>
        <v>7.181537356321839E-2</v>
      </c>
      <c r="M114" s="201"/>
      <c r="N114" s="201">
        <f t="shared" ref="N114:O114" si="46">N43/(N$83*N$98/10^6)</f>
        <v>0.14931355708245245</v>
      </c>
      <c r="O114" s="201">
        <f t="shared" si="46"/>
        <v>0.1286229946524064</v>
      </c>
    </row>
    <row r="115" spans="3:15" x14ac:dyDescent="0.35">
      <c r="E115" s="2" t="s">
        <v>713</v>
      </c>
      <c r="F115" s="201">
        <f>F45/(F$83*F$98/10^6)</f>
        <v>0.12037757567469</v>
      </c>
      <c r="G115" s="201">
        <f t="shared" ref="G115:L115" si="47">G45/(G$83*G$98/10^6)</f>
        <v>7.7693634629037986E-2</v>
      </c>
      <c r="H115" s="201">
        <f t="shared" si="47"/>
        <v>9.5636426033591723E-2</v>
      </c>
      <c r="I115" s="201">
        <f t="shared" si="47"/>
        <v>9.3675770374588699E-2</v>
      </c>
      <c r="J115" s="201">
        <f t="shared" si="47"/>
        <v>6.382705417031205E-2</v>
      </c>
      <c r="K115" s="201">
        <f t="shared" si="47"/>
        <v>5.8051472606499774E-2</v>
      </c>
      <c r="L115" s="201">
        <f t="shared" si="47"/>
        <v>7.0902867576628351E-2</v>
      </c>
      <c r="M115" s="201"/>
      <c r="N115" s="201">
        <f t="shared" ref="N115:O115" si="48">N45/(N$83*N$98/10^6)</f>
        <v>0.12853122430702374</v>
      </c>
      <c r="O115" s="201">
        <f t="shared" si="48"/>
        <v>7.4272133095662496E-2</v>
      </c>
    </row>
    <row r="116" spans="3:15" x14ac:dyDescent="0.35">
      <c r="E116" s="2" t="s">
        <v>714</v>
      </c>
      <c r="F116" s="201">
        <f>F42/(F$83*F$98/10^6)</f>
        <v>3.3090262582056891E-2</v>
      </c>
      <c r="G116" s="201">
        <f t="shared" ref="G116:L116" si="49">G42/(G$83*G$98/10^6)</f>
        <v>3.5143769968051117E-2</v>
      </c>
      <c r="H116" s="201">
        <f t="shared" si="49"/>
        <v>8.7209302325581398E-2</v>
      </c>
      <c r="I116" s="201">
        <f t="shared" si="49"/>
        <v>4.4292584282460135E-2</v>
      </c>
      <c r="J116" s="201">
        <f t="shared" si="49"/>
        <v>5.774278215223097E-2</v>
      </c>
      <c r="K116" s="201">
        <f t="shared" si="49"/>
        <v>0.13592885375494071</v>
      </c>
      <c r="L116" s="201">
        <f t="shared" si="49"/>
        <v>8.800948275862068E-2</v>
      </c>
      <c r="M116" s="201"/>
      <c r="N116" s="201">
        <f t="shared" ref="N116:O116" si="50">N42/(N$83*N$98/10^6)</f>
        <v>5.8139534883720936E-2</v>
      </c>
      <c r="O116" s="201">
        <f t="shared" si="50"/>
        <v>4.0106951871657755E-2</v>
      </c>
    </row>
    <row r="117" spans="3:15" x14ac:dyDescent="0.35">
      <c r="E117" s="2" t="s">
        <v>715</v>
      </c>
      <c r="F117" s="201">
        <f>SUM(F44,F54)/(F$83*F$98/10^6)</f>
        <v>6.0175054704595186E-2</v>
      </c>
      <c r="G117" s="201">
        <f>SUM(G44,G54)/(G$83*G$98/10^6)</f>
        <v>7.3920003920999136E-2</v>
      </c>
      <c r="H117" s="201">
        <f t="shared" ref="H117:L117" si="51">SUM(H44,H54)/(H$83*H$98/10^6)</f>
        <v>4.7336628435517975E-2</v>
      </c>
      <c r="I117" s="201">
        <f t="shared" si="51"/>
        <v>4.4311619589977223E-2</v>
      </c>
      <c r="J117" s="201">
        <f t="shared" si="51"/>
        <v>4.9868766404199474E-2</v>
      </c>
      <c r="K117" s="201">
        <f t="shared" si="51"/>
        <v>4.8658494430470718E-2</v>
      </c>
      <c r="L117" s="201">
        <f t="shared" si="51"/>
        <v>6.1001248497910131E-2</v>
      </c>
      <c r="M117" s="201"/>
      <c r="N117" s="201">
        <f t="shared" ref="N117:O117" si="52">SUM(N44,N54)/(N$83*N$98/10^6)</f>
        <v>3.9640591966173366E-2</v>
      </c>
      <c r="O117" s="201">
        <f t="shared" si="52"/>
        <v>2.6737967914438502E-2</v>
      </c>
    </row>
    <row r="118" spans="3:15" x14ac:dyDescent="0.35">
      <c r="E118" s="2" t="s">
        <v>716</v>
      </c>
      <c r="F118" s="621">
        <f>F46</f>
        <v>0</v>
      </c>
      <c r="G118" s="201">
        <f>G46/(G$83*G$98/10^6)</f>
        <v>8.307622871898114E-2</v>
      </c>
      <c r="H118" s="201">
        <f t="shared" ref="H118:L118" si="53">H46/(H$83*H$98/10^6)</f>
        <v>7.8883141658702333E-2</v>
      </c>
      <c r="I118" s="201">
        <f t="shared" si="53"/>
        <v>7.0891230068337141E-2</v>
      </c>
      <c r="J118" s="201">
        <f t="shared" si="53"/>
        <v>8.2320024209302609E-2</v>
      </c>
      <c r="K118" s="201">
        <f t="shared" si="53"/>
        <v>6.2886610671936766E-2</v>
      </c>
      <c r="L118" s="201">
        <f t="shared" si="53"/>
        <v>7.6307371870571558E-2</v>
      </c>
      <c r="M118" s="201"/>
      <c r="N118" s="201">
        <f t="shared" ref="N118:O118" si="54">N46/(N$83*N$98/10^6)</f>
        <v>0</v>
      </c>
      <c r="O118" s="201">
        <f t="shared" si="54"/>
        <v>6.1831550802139035E-2</v>
      </c>
    </row>
    <row r="119" spans="3:15" x14ac:dyDescent="0.35">
      <c r="C119" s="6" t="s">
        <v>8</v>
      </c>
    </row>
    <row r="120" spans="3:15" x14ac:dyDescent="0.35">
      <c r="C120" s="6"/>
      <c r="D120" s="55" t="s">
        <v>177</v>
      </c>
    </row>
    <row r="121" spans="3:15" x14ac:dyDescent="0.35">
      <c r="E121" s="2" t="s">
        <v>23</v>
      </c>
      <c r="F121" s="201">
        <f t="shared" ref="F121:O121" si="55">IFERROR(F59/F84,"")</f>
        <v>2.9970441873229496E-2</v>
      </c>
      <c r="G121" s="201" t="str">
        <f t="shared" si="55"/>
        <v/>
      </c>
      <c r="H121" s="201">
        <f t="shared" si="55"/>
        <v>2.9418047238254516E-2</v>
      </c>
      <c r="I121" s="201">
        <f t="shared" si="55"/>
        <v>2.9418047238254516E-2</v>
      </c>
      <c r="J121" s="201" t="str">
        <f t="shared" si="55"/>
        <v/>
      </c>
      <c r="K121" s="201">
        <f t="shared" si="55"/>
        <v>3.9401029727244866E-2</v>
      </c>
      <c r="L121" s="201">
        <f t="shared" si="55"/>
        <v>3.9495876606683807E-2</v>
      </c>
      <c r="M121" s="201">
        <f t="shared" si="55"/>
        <v>5.9008823529411759E-2</v>
      </c>
      <c r="N121" s="201" t="str">
        <f t="shared" si="55"/>
        <v/>
      </c>
      <c r="O121" s="201">
        <f t="shared" si="55"/>
        <v>2.9970441873229496E-2</v>
      </c>
    </row>
    <row r="122" spans="3:15" x14ac:dyDescent="0.35">
      <c r="E122" s="2" t="s">
        <v>717</v>
      </c>
      <c r="F122" s="201">
        <f t="shared" ref="F122:O122" si="56">IFERROR(F68/F84,"")</f>
        <v>4.5454545454545456E-2</v>
      </c>
      <c r="G122" s="201" t="str">
        <f t="shared" si="56"/>
        <v/>
      </c>
      <c r="H122" s="201">
        <f t="shared" si="56"/>
        <v>0.05</v>
      </c>
      <c r="I122" s="201">
        <f t="shared" si="56"/>
        <v>0.05</v>
      </c>
      <c r="J122" s="201" t="str">
        <f t="shared" si="56"/>
        <v/>
      </c>
      <c r="K122" s="201">
        <f t="shared" si="56"/>
        <v>3.8461538461538464E-2</v>
      </c>
      <c r="L122" s="201">
        <f t="shared" si="56"/>
        <v>0.05</v>
      </c>
      <c r="M122" s="201">
        <f t="shared" si="56"/>
        <v>0.05</v>
      </c>
      <c r="N122" s="201" t="str">
        <f t="shared" si="56"/>
        <v/>
      </c>
      <c r="O122" s="201">
        <f t="shared" si="56"/>
        <v>4.5454545454545456E-2</v>
      </c>
    </row>
    <row r="123" spans="3:15" x14ac:dyDescent="0.35">
      <c r="E123" s="2" t="s">
        <v>661</v>
      </c>
      <c r="F123" s="201">
        <f t="shared" ref="F123:O123" si="57">IFERROR(F72/F84,"")</f>
        <v>0.18181818181818182</v>
      </c>
      <c r="G123" s="201" t="str">
        <f t="shared" si="57"/>
        <v/>
      </c>
      <c r="H123" s="201">
        <f t="shared" si="57"/>
        <v>0.2</v>
      </c>
      <c r="I123" s="201">
        <f t="shared" si="57"/>
        <v>0.15</v>
      </c>
      <c r="J123" s="201" t="str">
        <f t="shared" si="57"/>
        <v/>
      </c>
      <c r="K123" s="201">
        <f t="shared" si="57"/>
        <v>7.6923076923076927E-2</v>
      </c>
      <c r="L123" s="201">
        <f t="shared" si="57"/>
        <v>0.1</v>
      </c>
      <c r="M123" s="201">
        <f t="shared" si="57"/>
        <v>0.15</v>
      </c>
      <c r="N123" s="201" t="str">
        <f t="shared" si="57"/>
        <v/>
      </c>
      <c r="O123" s="201">
        <f t="shared" si="57"/>
        <v>0.18181818181818182</v>
      </c>
    </row>
    <row r="124" spans="3:15" x14ac:dyDescent="0.35">
      <c r="E124" s="2" t="s">
        <v>28</v>
      </c>
      <c r="F124" s="201">
        <f t="shared" ref="F124:O124" si="58">IFERROR(F76/F84,"")</f>
        <v>0.10454545454545454</v>
      </c>
      <c r="G124" s="201" t="str">
        <f t="shared" si="58"/>
        <v/>
      </c>
      <c r="H124" s="201">
        <f t="shared" si="58"/>
        <v>0.115</v>
      </c>
      <c r="I124" s="201">
        <f t="shared" si="58"/>
        <v>0.115</v>
      </c>
      <c r="J124" s="201" t="str">
        <f t="shared" si="58"/>
        <v/>
      </c>
      <c r="K124" s="201">
        <f t="shared" si="58"/>
        <v>8.8461538461538466E-2</v>
      </c>
      <c r="L124" s="201">
        <f t="shared" si="58"/>
        <v>0.115</v>
      </c>
      <c r="M124" s="201">
        <f t="shared" si="58"/>
        <v>0.115</v>
      </c>
      <c r="N124" s="201" t="str">
        <f t="shared" si="58"/>
        <v/>
      </c>
      <c r="O124" s="201">
        <f t="shared" si="58"/>
        <v>0.10454545454545454</v>
      </c>
    </row>
    <row r="125" spans="3:15" x14ac:dyDescent="0.35">
      <c r="E125" s="2" t="s">
        <v>670</v>
      </c>
      <c r="F125" s="97">
        <f>F80</f>
        <v>0.15</v>
      </c>
      <c r="H125" s="97">
        <v>0.15</v>
      </c>
      <c r="I125" s="97">
        <v>0.15</v>
      </c>
      <c r="K125" s="97">
        <v>0.15</v>
      </c>
      <c r="L125" s="97">
        <v>0.15</v>
      </c>
      <c r="M125" s="97">
        <v>0.15</v>
      </c>
      <c r="O125" s="97">
        <v>0.15</v>
      </c>
    </row>
    <row r="126" spans="3:15" x14ac:dyDescent="0.35">
      <c r="D126" s="55" t="s">
        <v>181</v>
      </c>
      <c r="F126" s="622">
        <f>1-SUM(F121:F125)</f>
        <v>0.48821137630858868</v>
      </c>
      <c r="G126" s="55"/>
      <c r="H126" s="622">
        <f>1-SUM(H121:H125)</f>
        <v>0.45558195276174551</v>
      </c>
      <c r="I126" s="622">
        <f>1-SUM(I121:I125)</f>
        <v>0.50558195276174545</v>
      </c>
      <c r="J126" s="55"/>
      <c r="K126" s="622">
        <f>1-SUM(K121:K125)</f>
        <v>0.60675281642660128</v>
      </c>
      <c r="L126" s="622">
        <f>1-SUM(L121:L125)</f>
        <v>0.54550412339331622</v>
      </c>
      <c r="M126" s="622">
        <f>1-SUM(M121:M125)</f>
        <v>0.4759911764705882</v>
      </c>
      <c r="N126" s="55"/>
      <c r="O126" s="622">
        <f>1-SUM(O121:O125)</f>
        <v>0.48821137630858868</v>
      </c>
    </row>
    <row r="127" spans="3:15" x14ac:dyDescent="0.35">
      <c r="D127" s="55"/>
      <c r="E127" s="2" t="s">
        <v>98</v>
      </c>
      <c r="F127" s="97">
        <f>F49/(F$99*F$84/10^6)</f>
        <v>0.51515151272727266</v>
      </c>
      <c r="H127" s="97"/>
      <c r="I127" s="97"/>
      <c r="K127" s="97"/>
      <c r="L127" s="97"/>
      <c r="M127" s="97"/>
      <c r="O127" s="97"/>
    </row>
    <row r="128" spans="3:15" x14ac:dyDescent="0.35">
      <c r="D128" s="55"/>
      <c r="E128" s="2" t="s">
        <v>712</v>
      </c>
      <c r="F128" s="97"/>
      <c r="H128" s="97"/>
      <c r="I128" s="97"/>
      <c r="K128" s="97"/>
      <c r="L128" s="97"/>
      <c r="M128" s="97"/>
      <c r="O128" s="97"/>
    </row>
    <row r="129" spans="3:15" x14ac:dyDescent="0.35">
      <c r="D129" s="55"/>
      <c r="E129" s="2" t="s">
        <v>713</v>
      </c>
      <c r="F129" s="97"/>
      <c r="H129" s="97"/>
      <c r="I129" s="97"/>
      <c r="K129" s="97"/>
      <c r="L129" s="97"/>
      <c r="M129" s="97"/>
      <c r="O129" s="97"/>
    </row>
    <row r="130" spans="3:15" x14ac:dyDescent="0.35">
      <c r="D130" s="55"/>
      <c r="E130" s="2" t="s">
        <v>714</v>
      </c>
      <c r="F130" s="97"/>
      <c r="H130" s="97"/>
      <c r="I130" s="97"/>
      <c r="K130" s="97"/>
      <c r="L130" s="97"/>
      <c r="M130" s="97"/>
      <c r="O130" s="97"/>
    </row>
    <row r="131" spans="3:15" x14ac:dyDescent="0.35">
      <c r="D131" s="55"/>
      <c r="E131" s="2" t="s">
        <v>715</v>
      </c>
      <c r="F131" s="97"/>
      <c r="H131" s="97"/>
      <c r="I131" s="97"/>
      <c r="K131" s="97"/>
      <c r="L131" s="97"/>
      <c r="M131" s="97"/>
      <c r="O131" s="97"/>
    </row>
    <row r="132" spans="3:15" x14ac:dyDescent="0.35">
      <c r="D132" s="55"/>
      <c r="E132" s="2" t="s">
        <v>716</v>
      </c>
      <c r="F132" s="97"/>
      <c r="H132" s="97"/>
      <c r="I132" s="97"/>
      <c r="K132" s="97"/>
      <c r="L132" s="97"/>
      <c r="M132" s="97"/>
      <c r="O132" s="97"/>
    </row>
    <row r="133" spans="3:15" x14ac:dyDescent="0.35">
      <c r="C133" s="6" t="s">
        <v>7</v>
      </c>
    </row>
    <row r="134" spans="3:15" x14ac:dyDescent="0.35">
      <c r="D134" s="2" t="s">
        <v>23</v>
      </c>
      <c r="F134" s="201">
        <f t="shared" ref="F134:O134" si="59">IFERROR(F60/F85,"")</f>
        <v>0.14749793608564568</v>
      </c>
      <c r="G134" s="201">
        <f t="shared" si="59"/>
        <v>1.5835999999999999E-2</v>
      </c>
      <c r="H134" s="201" t="str">
        <f t="shared" si="59"/>
        <v/>
      </c>
      <c r="I134" s="201" t="str">
        <f t="shared" si="59"/>
        <v/>
      </c>
      <c r="J134" s="201" t="str">
        <f t="shared" si="59"/>
        <v/>
      </c>
      <c r="K134" s="201">
        <f t="shared" si="59"/>
        <v>2.3486067039106148E-2</v>
      </c>
      <c r="L134" s="201">
        <f t="shared" si="59"/>
        <v>7.7490291457286434E-2</v>
      </c>
      <c r="M134" s="201" t="str">
        <f t="shared" si="59"/>
        <v/>
      </c>
      <c r="N134" s="201" t="str">
        <f t="shared" si="59"/>
        <v/>
      </c>
      <c r="O134" s="201">
        <f t="shared" si="59"/>
        <v>0.14749793608564568</v>
      </c>
    </row>
    <row r="135" spans="3:15" x14ac:dyDescent="0.35">
      <c r="D135" s="2" t="s">
        <v>663</v>
      </c>
      <c r="F135" s="201">
        <f t="shared" ref="F135:O135" si="60">IFERROR(F69/F85,"")</f>
        <v>0.05</v>
      </c>
      <c r="G135" s="201">
        <f t="shared" si="60"/>
        <v>0.05</v>
      </c>
      <c r="H135" s="201" t="str">
        <f t="shared" si="60"/>
        <v/>
      </c>
      <c r="I135" s="201" t="str">
        <f t="shared" si="60"/>
        <v/>
      </c>
      <c r="J135" s="201" t="str">
        <f t="shared" si="60"/>
        <v/>
      </c>
      <c r="K135" s="201">
        <f t="shared" si="60"/>
        <v>0.05</v>
      </c>
      <c r="L135" s="201">
        <f t="shared" si="60"/>
        <v>0.05</v>
      </c>
      <c r="M135" s="201" t="str">
        <f t="shared" si="60"/>
        <v/>
      </c>
      <c r="N135" s="201" t="str">
        <f t="shared" si="60"/>
        <v/>
      </c>
      <c r="O135" s="201">
        <f t="shared" si="60"/>
        <v>0.05</v>
      </c>
    </row>
    <row r="136" spans="3:15" x14ac:dyDescent="0.35">
      <c r="D136" s="2" t="s">
        <v>661</v>
      </c>
      <c r="F136" s="201">
        <f t="shared" ref="F136:O136" si="61">IFERROR(F73/F85,"")</f>
        <v>0.2</v>
      </c>
      <c r="G136" s="201">
        <f t="shared" si="61"/>
        <v>0.1</v>
      </c>
      <c r="H136" s="201" t="str">
        <f t="shared" si="61"/>
        <v/>
      </c>
      <c r="I136" s="201" t="str">
        <f t="shared" si="61"/>
        <v/>
      </c>
      <c r="J136" s="201" t="str">
        <f t="shared" si="61"/>
        <v/>
      </c>
      <c r="K136" s="201">
        <f t="shared" si="61"/>
        <v>0.2</v>
      </c>
      <c r="L136" s="201">
        <f t="shared" si="61"/>
        <v>0.2</v>
      </c>
      <c r="M136" s="201" t="str">
        <f t="shared" si="61"/>
        <v/>
      </c>
      <c r="N136" s="201" t="str">
        <f t="shared" si="61"/>
        <v/>
      </c>
      <c r="O136" s="201">
        <f t="shared" si="61"/>
        <v>0.2</v>
      </c>
    </row>
    <row r="137" spans="3:15" x14ac:dyDescent="0.35">
      <c r="D137" s="2" t="s">
        <v>28</v>
      </c>
      <c r="F137" s="201">
        <f t="shared" ref="F137:O137" si="62">IFERROR(F77/F85,"")</f>
        <v>0.14000000000000001</v>
      </c>
      <c r="G137" s="201">
        <f t="shared" si="62"/>
        <v>0.12</v>
      </c>
      <c r="H137" s="201" t="str">
        <f t="shared" si="62"/>
        <v/>
      </c>
      <c r="I137" s="201" t="str">
        <f t="shared" si="62"/>
        <v/>
      </c>
      <c r="J137" s="201" t="str">
        <f t="shared" si="62"/>
        <v/>
      </c>
      <c r="K137" s="201">
        <f t="shared" si="62"/>
        <v>0.14000000000000001</v>
      </c>
      <c r="L137" s="201">
        <f t="shared" si="62"/>
        <v>0.14000000000000001</v>
      </c>
      <c r="M137" s="201" t="str">
        <f t="shared" si="62"/>
        <v/>
      </c>
      <c r="N137" s="201" t="str">
        <f t="shared" si="62"/>
        <v/>
      </c>
      <c r="O137" s="201">
        <f t="shared" si="62"/>
        <v>0.14000000000000001</v>
      </c>
    </row>
    <row r="138" spans="3:15" x14ac:dyDescent="0.35">
      <c r="D138" s="2" t="s">
        <v>670</v>
      </c>
      <c r="F138" s="97">
        <f>F80</f>
        <v>0.15</v>
      </c>
      <c r="G138" s="97">
        <f>G80</f>
        <v>0.15</v>
      </c>
      <c r="H138" s="97"/>
      <c r="I138" s="97"/>
      <c r="J138" s="97"/>
      <c r="K138" s="97">
        <f>K80</f>
        <v>0.15</v>
      </c>
      <c r="L138" s="97">
        <f>L80</f>
        <v>0.15</v>
      </c>
      <c r="M138" s="97"/>
      <c r="N138" s="97"/>
      <c r="O138" s="97">
        <f>O80</f>
        <v>0.15</v>
      </c>
    </row>
    <row r="139" spans="3:15" x14ac:dyDescent="0.35">
      <c r="D139" s="2" t="s">
        <v>181</v>
      </c>
      <c r="F139" s="97">
        <f>1-SUM(F134:F138)</f>
        <v>0.3125020639143542</v>
      </c>
      <c r="G139" s="97">
        <f t="shared" ref="G139" si="63">1-SUM(G134:G138)</f>
        <v>0.564164</v>
      </c>
      <c r="H139" s="97"/>
      <c r="I139" s="97"/>
      <c r="J139" s="97"/>
      <c r="K139" s="97">
        <f>1-SUM(K134:K138)</f>
        <v>0.4365139329608938</v>
      </c>
      <c r="L139" s="97">
        <f>1-SUM(L134:L138)</f>
        <v>0.38250970854271349</v>
      </c>
      <c r="M139" s="97"/>
      <c r="N139" s="97"/>
      <c r="O139" s="97">
        <f>1-SUM(O134:O138)</f>
        <v>0.3125020639143542</v>
      </c>
    </row>
    <row r="140" spans="3:15" x14ac:dyDescent="0.35">
      <c r="C140" s="6" t="s">
        <v>9</v>
      </c>
    </row>
    <row r="141" spans="3:15" x14ac:dyDescent="0.35">
      <c r="D141" s="2" t="s">
        <v>23</v>
      </c>
      <c r="F141" s="201">
        <f t="shared" ref="F141:O141" si="64">IFERROR(F61/F86,"")</f>
        <v>0.15400825900898352</v>
      </c>
      <c r="G141" s="201" t="str">
        <f t="shared" si="64"/>
        <v/>
      </c>
      <c r="H141" s="201" t="str">
        <f t="shared" si="64"/>
        <v/>
      </c>
      <c r="I141" s="201" t="str">
        <f t="shared" si="64"/>
        <v/>
      </c>
      <c r="J141" s="201" t="str">
        <f t="shared" si="64"/>
        <v/>
      </c>
      <c r="K141" s="201" t="str">
        <f t="shared" si="64"/>
        <v/>
      </c>
      <c r="L141" s="201" t="str">
        <f t="shared" si="64"/>
        <v/>
      </c>
      <c r="M141" s="201" t="str">
        <f t="shared" si="64"/>
        <v/>
      </c>
      <c r="N141" s="201" t="str">
        <f t="shared" si="64"/>
        <v/>
      </c>
      <c r="O141" s="201">
        <f t="shared" si="64"/>
        <v>0.15400825900898352</v>
      </c>
    </row>
    <row r="142" spans="3:15" x14ac:dyDescent="0.35">
      <c r="D142" s="2" t="s">
        <v>663</v>
      </c>
      <c r="F142" s="201">
        <v>0</v>
      </c>
      <c r="G142" s="201"/>
      <c r="H142" s="201"/>
      <c r="I142" s="201"/>
      <c r="J142" s="201"/>
      <c r="K142" s="201"/>
      <c r="L142" s="201"/>
      <c r="M142" s="201"/>
      <c r="N142" s="201"/>
      <c r="O142" s="201">
        <v>0</v>
      </c>
    </row>
    <row r="143" spans="3:15" x14ac:dyDescent="0.35">
      <c r="D143" s="2" t="s">
        <v>661</v>
      </c>
      <c r="F143" s="201">
        <f>0%</f>
        <v>0</v>
      </c>
      <c r="G143" s="201"/>
      <c r="H143" s="201"/>
      <c r="I143" s="201"/>
      <c r="J143" s="201"/>
      <c r="K143" s="201"/>
      <c r="L143" s="201"/>
      <c r="M143" s="201"/>
      <c r="N143" s="201"/>
      <c r="O143" s="201">
        <f>0%</f>
        <v>0</v>
      </c>
    </row>
    <row r="144" spans="3:15" x14ac:dyDescent="0.35">
      <c r="D144" s="2" t="s">
        <v>28</v>
      </c>
      <c r="F144" s="201">
        <f t="shared" ref="F144:O144" si="65">IFERROR(F78/F86,"")</f>
        <v>0.13500000000000001</v>
      </c>
      <c r="G144" s="201" t="str">
        <f t="shared" si="65"/>
        <v/>
      </c>
      <c r="H144" s="201" t="str">
        <f t="shared" si="65"/>
        <v/>
      </c>
      <c r="I144" s="201" t="str">
        <f t="shared" si="65"/>
        <v/>
      </c>
      <c r="J144" s="201" t="str">
        <f t="shared" si="65"/>
        <v/>
      </c>
      <c r="K144" s="201" t="str">
        <f t="shared" si="65"/>
        <v/>
      </c>
      <c r="L144" s="201" t="str">
        <f t="shared" si="65"/>
        <v/>
      </c>
      <c r="M144" s="201" t="str">
        <f t="shared" si="65"/>
        <v/>
      </c>
      <c r="N144" s="201" t="str">
        <f t="shared" si="65"/>
        <v/>
      </c>
      <c r="O144" s="201">
        <f t="shared" si="65"/>
        <v>0.13500000000000001</v>
      </c>
    </row>
    <row r="145" spans="2:15" x14ac:dyDescent="0.35">
      <c r="D145" s="2" t="s">
        <v>670</v>
      </c>
      <c r="F145" s="97">
        <v>0.15</v>
      </c>
      <c r="O145" s="97">
        <f>O80</f>
        <v>0.15</v>
      </c>
    </row>
    <row r="146" spans="2:15" x14ac:dyDescent="0.35">
      <c r="D146" s="2" t="s">
        <v>181</v>
      </c>
      <c r="F146" s="97">
        <f>1-SUM(F141:F145)</f>
        <v>0.56099174099101645</v>
      </c>
      <c r="O146" s="97">
        <f>1-SUM(O141:O145)</f>
        <v>0.56099174099101645</v>
      </c>
    </row>
    <row r="147" spans="2:15" x14ac:dyDescent="0.35">
      <c r="C147" s="6" t="s">
        <v>10</v>
      </c>
    </row>
    <row r="148" spans="2:15" x14ac:dyDescent="0.35">
      <c r="D148" s="2" t="s">
        <v>23</v>
      </c>
      <c r="F148" s="201">
        <f t="shared" ref="F148:O148" si="66">IFERROR(F62/F87,"")</f>
        <v>4.5961409168556164E-2</v>
      </c>
      <c r="G148" s="201" t="str">
        <f t="shared" si="66"/>
        <v/>
      </c>
      <c r="H148" s="201" t="str">
        <f t="shared" si="66"/>
        <v/>
      </c>
      <c r="I148" s="201" t="str">
        <f t="shared" si="66"/>
        <v/>
      </c>
      <c r="J148" s="201" t="str">
        <f t="shared" si="66"/>
        <v/>
      </c>
      <c r="K148" s="201">
        <f t="shared" si="66"/>
        <v>0</v>
      </c>
      <c r="L148" s="201" t="str">
        <f t="shared" si="66"/>
        <v/>
      </c>
      <c r="M148" s="201" t="str">
        <f t="shared" si="66"/>
        <v/>
      </c>
      <c r="N148" s="201" t="str">
        <f t="shared" si="66"/>
        <v/>
      </c>
      <c r="O148" s="201" t="str">
        <f t="shared" si="66"/>
        <v/>
      </c>
    </row>
    <row r="149" spans="2:15" x14ac:dyDescent="0.35">
      <c r="D149" s="2" t="s">
        <v>663</v>
      </c>
      <c r="F149" s="201">
        <v>0</v>
      </c>
      <c r="G149" s="201"/>
      <c r="H149" s="201"/>
      <c r="I149" s="201"/>
      <c r="J149" s="201"/>
      <c r="K149" s="201">
        <v>0</v>
      </c>
      <c r="L149" s="201"/>
      <c r="M149" s="201"/>
      <c r="N149" s="201"/>
      <c r="O149" s="201"/>
    </row>
    <row r="150" spans="2:15" x14ac:dyDescent="0.35">
      <c r="D150" s="2" t="s">
        <v>661</v>
      </c>
      <c r="F150" s="201">
        <v>0</v>
      </c>
      <c r="G150" s="201"/>
      <c r="H150" s="201"/>
      <c r="I150" s="201"/>
      <c r="J150" s="201"/>
      <c r="K150" s="201">
        <v>0</v>
      </c>
      <c r="L150" s="201"/>
      <c r="M150" s="201"/>
      <c r="N150" s="201"/>
      <c r="O150" s="201"/>
    </row>
    <row r="151" spans="2:15" x14ac:dyDescent="0.35">
      <c r="D151" s="2" t="s">
        <v>28</v>
      </c>
      <c r="F151" s="201">
        <v>0</v>
      </c>
      <c r="G151" s="201"/>
      <c r="H151" s="201"/>
      <c r="I151" s="201"/>
      <c r="J151" s="201"/>
      <c r="K151" s="201">
        <v>0</v>
      </c>
      <c r="L151" s="201"/>
      <c r="M151" s="201"/>
      <c r="N151" s="201"/>
      <c r="O151" s="201"/>
    </row>
    <row r="152" spans="2:15" x14ac:dyDescent="0.35">
      <c r="D152" s="2" t="s">
        <v>670</v>
      </c>
      <c r="F152" s="201">
        <f>F80</f>
        <v>0.15</v>
      </c>
      <c r="G152" s="201"/>
      <c r="H152" s="201"/>
      <c r="I152" s="201"/>
      <c r="J152" s="201"/>
      <c r="K152" s="201">
        <f>K80</f>
        <v>0.15</v>
      </c>
      <c r="L152" s="201"/>
      <c r="M152" s="201"/>
      <c r="N152" s="201"/>
      <c r="O152" s="201"/>
    </row>
    <row r="153" spans="2:15" x14ac:dyDescent="0.35">
      <c r="D153" s="2" t="s">
        <v>181</v>
      </c>
      <c r="F153" s="97">
        <f>1-SUM(F148:F152)</f>
        <v>0.8040385908314438</v>
      </c>
      <c r="K153" s="97">
        <f>1-SUM(K148:K152)</f>
        <v>0.85</v>
      </c>
    </row>
    <row r="154" spans="2:15" x14ac:dyDescent="0.35">
      <c r="B154" s="6"/>
    </row>
  </sheetData>
  <pageMargins left="0.7" right="0.7" top="0.75" bottom="0.75" header="0.3" footer="0.3"/>
  <pageSetup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FAD0-696E-4871-B3E0-2EFED6A93434}">
  <sheetPr>
    <tabColor rgb="FF194BCF"/>
  </sheetPr>
  <dimension ref="A3:Y75"/>
  <sheetViews>
    <sheetView zoomScale="160" zoomScaleNormal="160" workbookViewId="0">
      <pane xSplit="5" ySplit="9" topLeftCell="F10" activePane="bottomRight" state="frozen"/>
      <selection activeCell="I5" sqref="I1:I5"/>
      <selection pane="topRight" activeCell="I5" sqref="I1:I5"/>
      <selection pane="bottomLeft" activeCell="I5" sqref="I1:I5"/>
      <selection pane="bottomRight" activeCell="G28" sqref="G28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24.59765625" style="2" customWidth="1"/>
    <col min="6" max="14" width="13" style="2" customWidth="1" outlineLevel="1"/>
    <col min="15" max="15" width="11" style="2" customWidth="1" outlineLevel="1"/>
    <col min="16" max="16" width="9.1328125" style="2" customWidth="1" outlineLevel="1"/>
    <col min="17" max="18" width="10.265625" style="2" customWidth="1" outlineLevel="1"/>
    <col min="19" max="19" width="9.1328125" style="2" customWidth="1" outlineLevel="1"/>
    <col min="20" max="20" width="11.265625" style="2" customWidth="1"/>
    <col min="21" max="21" width="18.59765625" style="2" customWidth="1"/>
    <col min="22" max="22" width="11.3984375" style="2" customWidth="1"/>
    <col min="23" max="23" width="12.86328125" style="2" customWidth="1"/>
    <col min="24" max="24" width="13.1328125" style="2" customWidth="1"/>
    <col min="25" max="16384" width="9.1328125" style="2"/>
  </cols>
  <sheetData>
    <row r="3" spans="2:25" x14ac:dyDescent="0.35">
      <c r="H3" s="60"/>
    </row>
    <row r="4" spans="2:25" x14ac:dyDescent="0.35">
      <c r="B4" s="2" t="s">
        <v>25</v>
      </c>
    </row>
    <row r="6" spans="2:25" x14ac:dyDescent="0.35">
      <c r="B6" s="27" t="s">
        <v>330</v>
      </c>
    </row>
    <row r="7" spans="2:25" s="6" customFormat="1" x14ac:dyDescent="0.35"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</row>
    <row r="8" spans="2:25" x14ac:dyDescent="0.35">
      <c r="B8" s="32" t="s">
        <v>212</v>
      </c>
      <c r="F8" s="32"/>
    </row>
    <row r="9" spans="2:25" ht="13.5" x14ac:dyDescent="0.35">
      <c r="B9" s="45" t="s">
        <v>101</v>
      </c>
      <c r="F9" s="61" t="s">
        <v>147</v>
      </c>
      <c r="G9" s="61" t="s">
        <v>150</v>
      </c>
      <c r="H9" s="61" t="s">
        <v>146</v>
      </c>
      <c r="I9" s="61" t="s">
        <v>148</v>
      </c>
      <c r="J9" s="61" t="s">
        <v>327</v>
      </c>
      <c r="K9" s="61" t="s">
        <v>151</v>
      </c>
      <c r="L9" s="61" t="s">
        <v>153</v>
      </c>
      <c r="M9" s="61" t="s">
        <v>154</v>
      </c>
      <c r="N9" s="61" t="s">
        <v>155</v>
      </c>
      <c r="O9" s="61" t="s">
        <v>326</v>
      </c>
      <c r="P9" s="61" t="s">
        <v>165</v>
      </c>
      <c r="Q9" s="61" t="s">
        <v>176</v>
      </c>
      <c r="R9" s="61" t="s">
        <v>454</v>
      </c>
      <c r="S9" s="113" t="s">
        <v>329</v>
      </c>
      <c r="T9" s="247" t="s">
        <v>333</v>
      </c>
      <c r="U9" s="114"/>
      <c r="V9" s="32"/>
      <c r="W9" s="32"/>
      <c r="X9" s="6"/>
      <c r="Y9" s="73"/>
    </row>
    <row r="10" spans="2:25" x14ac:dyDescent="0.35">
      <c r="B10" s="27" t="s">
        <v>532</v>
      </c>
      <c r="D10" s="6"/>
      <c r="F10" s="430">
        <f>HaiDuong!AB49</f>
        <v>13785.859167429147</v>
      </c>
      <c r="G10" s="430">
        <f>CaMau!AB19</f>
        <v>6789.8678619881248</v>
      </c>
      <c r="H10" s="430">
        <f>ThanhHoa!AC17</f>
        <v>11365.714285714286</v>
      </c>
      <c r="I10" s="430">
        <f>ThaiNguyen2!F36</f>
        <v>10535</v>
      </c>
      <c r="J10" s="430">
        <f>ThaiBinh2!F27</f>
        <v>7514</v>
      </c>
      <c r="K10" s="430">
        <f>'YetKieu-2'!F49</f>
        <v>17159.636231884055</v>
      </c>
      <c r="L10" s="430">
        <f>'NhaTrang-2'!F49</f>
        <v>14461.5</v>
      </c>
      <c r="M10" s="430">
        <f>ThachThat!Z13</f>
        <v>3276</v>
      </c>
      <c r="N10" s="430">
        <f>SocSon!F22</f>
        <v>2820.4</v>
      </c>
      <c r="O10" s="430">
        <f>'Site liên kết'!S20</f>
        <v>3442.247455144065</v>
      </c>
      <c r="P10" s="430">
        <f>SUM('Hà Tĩnh'!F44:F47)</f>
        <v>3445.1555555555556</v>
      </c>
      <c r="Q10" s="430"/>
      <c r="R10" s="430">
        <v>7953.6</v>
      </c>
      <c r="S10" s="62"/>
      <c r="T10" s="249">
        <f>SUM(F10:S10)</f>
        <v>102548.98055771523</v>
      </c>
    </row>
    <row r="11" spans="2:25" x14ac:dyDescent="0.35">
      <c r="B11" s="27" t="s">
        <v>513</v>
      </c>
      <c r="D11" s="6"/>
      <c r="F11" s="430">
        <v>15000</v>
      </c>
      <c r="G11" s="430">
        <v>10000</v>
      </c>
      <c r="H11" s="430">
        <v>12600</v>
      </c>
      <c r="I11" s="430">
        <v>7300</v>
      </c>
      <c r="J11" s="430">
        <v>5500</v>
      </c>
      <c r="K11" s="430">
        <v>12000</v>
      </c>
      <c r="L11" s="430">
        <v>8500</v>
      </c>
      <c r="M11" s="430">
        <v>3300</v>
      </c>
      <c r="N11" s="430">
        <v>4000</v>
      </c>
      <c r="O11" s="430">
        <f>O10</f>
        <v>3442.247455144065</v>
      </c>
      <c r="P11" s="430">
        <v>5500</v>
      </c>
      <c r="Q11" s="430"/>
      <c r="R11" s="430"/>
      <c r="S11" s="62"/>
      <c r="T11" s="249">
        <f>SUM(F11:S11)</f>
        <v>87142.247455144068</v>
      </c>
    </row>
    <row r="12" spans="2:25" x14ac:dyDescent="0.35">
      <c r="B12" s="27" t="s">
        <v>514</v>
      </c>
      <c r="D12" s="6"/>
      <c r="F12" s="430">
        <v>18000</v>
      </c>
      <c r="G12" s="430">
        <v>10000</v>
      </c>
      <c r="H12" s="430">
        <v>12000</v>
      </c>
      <c r="I12" s="430">
        <v>10000</v>
      </c>
      <c r="J12" s="430">
        <v>6000</v>
      </c>
      <c r="K12" s="430">
        <v>15000</v>
      </c>
      <c r="L12" s="430">
        <v>12000</v>
      </c>
      <c r="M12" s="430">
        <v>3300</v>
      </c>
      <c r="N12" s="430">
        <v>6000</v>
      </c>
      <c r="O12" s="430">
        <f>O10</f>
        <v>3442.247455144065</v>
      </c>
      <c r="P12" s="430">
        <v>6000</v>
      </c>
      <c r="Q12" s="430"/>
      <c r="R12" s="430">
        <v>25000</v>
      </c>
      <c r="S12" s="62"/>
      <c r="T12" s="249">
        <f>SUM(F12:S12)</f>
        <v>126742.24745514407</v>
      </c>
    </row>
    <row r="13" spans="2:25" ht="13.15" thickBot="1" x14ac:dyDescent="0.4">
      <c r="B13" s="27" t="s">
        <v>328</v>
      </c>
      <c r="D13" s="55"/>
      <c r="F13" s="195">
        <f>-(HaiDuong!AB63+HaiDuong!AB71)</f>
        <v>-7839.6251465013629</v>
      </c>
      <c r="G13" s="195">
        <f>-SUM(CaMau!AB33,CaMau!AB41)</f>
        <v>-3453.8630848825251</v>
      </c>
      <c r="H13" s="195">
        <f>-SUM(ThanhHoa!AC32,ThanhHoa!AC40)</f>
        <v>-7428.3875315943105</v>
      </c>
      <c r="I13" s="195">
        <f>-SUM(ThaiNguyen2!F38:F47)</f>
        <v>-7084.4384231401054</v>
      </c>
      <c r="J13" s="195">
        <f>-ThaiBinh2!F40</f>
        <v>-4857.1072967836262</v>
      </c>
      <c r="K13" s="195">
        <f>-'YetKieu-2'!F61</f>
        <v>-12635.895379833204</v>
      </c>
      <c r="L13" s="195">
        <f>-'NhaTrang-2'!F61</f>
        <v>-10132.833512420097</v>
      </c>
      <c r="M13" s="195">
        <f>-SUM(ThachThat!Z17:Z27)</f>
        <v>-1875.0030098039215</v>
      </c>
      <c r="N13" s="195">
        <f>-SocSon!F35</f>
        <v>-2809.521063978495</v>
      </c>
      <c r="O13" s="195"/>
      <c r="P13" s="195">
        <f>-'Hà Tĩnh'!F61</f>
        <v>-3349.089385085194</v>
      </c>
      <c r="Q13" s="195"/>
      <c r="R13" s="195"/>
      <c r="S13" s="195">
        <f>-'HO-2'!F19</f>
        <v>-7821.0261940000055</v>
      </c>
      <c r="T13" s="249">
        <f>SUM(F13:S13)</f>
        <v>-69286.790028022835</v>
      </c>
      <c r="U13" s="59"/>
      <c r="V13" s="118"/>
      <c r="Y13" s="59"/>
    </row>
    <row r="14" spans="2:25" ht="13.15" thickBot="1" x14ac:dyDescent="0.4">
      <c r="B14" s="232" t="s">
        <v>350</v>
      </c>
      <c r="C14" s="223"/>
      <c r="D14" s="100"/>
      <c r="E14" s="100"/>
      <c r="F14" s="226">
        <f>SUM(F10,F13)</f>
        <v>5946.2340209277845</v>
      </c>
      <c r="G14" s="226">
        <f t="shared" ref="G14:T14" si="0">SUM(G10,G13)</f>
        <v>3336.0047771055997</v>
      </c>
      <c r="H14" s="226">
        <f t="shared" si="0"/>
        <v>3937.3267541199757</v>
      </c>
      <c r="I14" s="226">
        <f t="shared" si="0"/>
        <v>3450.5615768598946</v>
      </c>
      <c r="J14" s="226">
        <f t="shared" si="0"/>
        <v>2656.8927032163738</v>
      </c>
      <c r="K14" s="226">
        <f t="shared" si="0"/>
        <v>4523.7408520508507</v>
      </c>
      <c r="L14" s="226">
        <f>SUM(L10,L13)</f>
        <v>4328.6664875799033</v>
      </c>
      <c r="M14" s="226">
        <f t="shared" si="0"/>
        <v>1400.9969901960785</v>
      </c>
      <c r="N14" s="226">
        <f t="shared" si="0"/>
        <v>10.878936021505069</v>
      </c>
      <c r="O14" s="226">
        <f t="shared" si="0"/>
        <v>3442.247455144065</v>
      </c>
      <c r="P14" s="226">
        <f t="shared" si="0"/>
        <v>96.066170470361612</v>
      </c>
      <c r="Q14" s="226">
        <f t="shared" si="0"/>
        <v>0</v>
      </c>
      <c r="R14" s="226">
        <f t="shared" si="0"/>
        <v>7953.6</v>
      </c>
      <c r="S14" s="226">
        <f t="shared" ref="S14" si="1">SUM(S10:S13)</f>
        <v>-7821.0261940000055</v>
      </c>
      <c r="T14" s="250">
        <f t="shared" si="0"/>
        <v>33262.190529692394</v>
      </c>
      <c r="U14" s="57"/>
      <c r="V14" s="118"/>
      <c r="W14" s="97"/>
      <c r="Y14" s="57"/>
    </row>
    <row r="15" spans="2:25" x14ac:dyDescent="0.35">
      <c r="B15" s="89"/>
      <c r="C15" s="90"/>
      <c r="D15" s="90"/>
      <c r="E15" s="91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251"/>
      <c r="U15" s="85"/>
      <c r="V15" s="105"/>
      <c r="W15" s="85"/>
      <c r="X15" s="85"/>
      <c r="Y15" s="85"/>
    </row>
    <row r="16" spans="2:25" x14ac:dyDescent="0.35">
      <c r="B16" s="27" t="s">
        <v>275</v>
      </c>
      <c r="D16" s="6"/>
      <c r="F16" s="274">
        <f>HaiDuong!AB73</f>
        <v>5173.2235982071725</v>
      </c>
      <c r="G16" s="274">
        <f>CaMau!AB43</f>
        <v>1834.8026274080801</v>
      </c>
      <c r="H16" s="274">
        <f>ThanhHoa!AC42</f>
        <v>2362.3960524719851</v>
      </c>
      <c r="I16" s="274">
        <f>ThaiNguyen2!F58</f>
        <v>3289.4203512205377</v>
      </c>
      <c r="J16" s="274">
        <f>ThaiBinh2!F55</f>
        <v>1925.4597381869971</v>
      </c>
      <c r="K16" s="274">
        <f>K14</f>
        <v>4523.7408520508507</v>
      </c>
      <c r="L16" s="274">
        <f>L14</f>
        <v>4328.6664875799033</v>
      </c>
      <c r="M16" s="274">
        <f>M14</f>
        <v>1400.9969901960785</v>
      </c>
      <c r="N16" s="274">
        <f>N14</f>
        <v>10.878936021505069</v>
      </c>
      <c r="O16" s="274">
        <f>O14</f>
        <v>3442.247455144065</v>
      </c>
      <c r="P16" s="275"/>
      <c r="Q16" s="275"/>
      <c r="R16" s="275"/>
      <c r="S16" s="57">
        <f>S14</f>
        <v>-7821.0261940000055</v>
      </c>
      <c r="T16" s="252">
        <f>SUM(F16:S16)</f>
        <v>20470.80689448717</v>
      </c>
      <c r="U16" s="57"/>
      <c r="V16" s="96"/>
      <c r="W16" s="57"/>
      <c r="X16" s="57"/>
      <c r="Y16" s="57"/>
    </row>
    <row r="17" spans="1:25" x14ac:dyDescent="0.35">
      <c r="B17" s="27"/>
      <c r="D17" s="6"/>
      <c r="F17" s="85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249"/>
      <c r="U17" s="57"/>
      <c r="V17" s="96"/>
      <c r="W17" s="57"/>
      <c r="X17" s="57"/>
      <c r="Y17" s="57"/>
    </row>
    <row r="18" spans="1:25" outlineLevel="1" x14ac:dyDescent="0.35">
      <c r="B18" s="27" t="s">
        <v>45</v>
      </c>
      <c r="F18" s="62">
        <v>0</v>
      </c>
      <c r="G18" s="195">
        <f>-VTB_CaMau!J25</f>
        <v>-343.2377465753425</v>
      </c>
      <c r="H18" s="195">
        <f>'BIDV-THH'!I24</f>
        <v>-814.07402191780818</v>
      </c>
      <c r="I18" s="62">
        <f>VTB_TNN!I28</f>
        <v>-746.91000000000008</v>
      </c>
      <c r="J18" s="60">
        <f>ThaiBinh2!F42</f>
        <v>-752.73430136986303</v>
      </c>
      <c r="K18" s="84">
        <f>'VTB_YẾT KIÊU'!F27</f>
        <v>-1069.173</v>
      </c>
      <c r="L18" s="84">
        <f>'VTB_Nha trang.'!F28</f>
        <v>-1062.1986164383561</v>
      </c>
      <c r="M18" s="57">
        <v>0</v>
      </c>
      <c r="N18" s="57">
        <v>0</v>
      </c>
      <c r="O18" s="84"/>
      <c r="P18" s="84"/>
      <c r="Q18" s="84"/>
      <c r="R18" s="84"/>
      <c r="S18" s="84"/>
      <c r="T18" s="252">
        <f>SUM(F18:S18)</f>
        <v>-4788.3276863013698</v>
      </c>
    </row>
    <row r="19" spans="1:25" outlineLevel="1" x14ac:dyDescent="0.35">
      <c r="A19" s="266"/>
      <c r="B19" s="267" t="s">
        <v>379</v>
      </c>
      <c r="C19" s="266"/>
      <c r="D19" s="266"/>
      <c r="E19" s="266"/>
      <c r="F19" s="268">
        <f>SUM(F16,F18)</f>
        <v>5173.2235982071725</v>
      </c>
      <c r="G19" s="268">
        <f t="shared" ref="G19:S19" si="2">SUM(G16,G18)</f>
        <v>1491.5648808327376</v>
      </c>
      <c r="H19" s="268">
        <f t="shared" si="2"/>
        <v>1548.3220305541768</v>
      </c>
      <c r="I19" s="268">
        <f>SUM(I16,I18)</f>
        <v>2542.5103512205378</v>
      </c>
      <c r="J19" s="268">
        <f t="shared" si="2"/>
        <v>1172.7254368171341</v>
      </c>
      <c r="K19" s="268">
        <f t="shared" si="2"/>
        <v>3454.5678520508509</v>
      </c>
      <c r="L19" s="268">
        <f t="shared" si="2"/>
        <v>3266.4678711415472</v>
      </c>
      <c r="M19" s="268">
        <f t="shared" si="2"/>
        <v>1400.9969901960785</v>
      </c>
      <c r="N19" s="268">
        <f t="shared" si="2"/>
        <v>10.878936021505069</v>
      </c>
      <c r="O19" s="268">
        <f t="shared" si="2"/>
        <v>3442.247455144065</v>
      </c>
      <c r="P19" s="268">
        <f t="shared" si="2"/>
        <v>0</v>
      </c>
      <c r="Q19" s="268">
        <f t="shared" si="2"/>
        <v>0</v>
      </c>
      <c r="R19" s="268"/>
      <c r="S19" s="268">
        <f t="shared" si="2"/>
        <v>-7821.0261940000055</v>
      </c>
      <c r="T19" s="269">
        <f>SUM(F19:S19)</f>
        <v>15682.479208185803</v>
      </c>
    </row>
    <row r="20" spans="1:25" hidden="1" outlineLevel="1" x14ac:dyDescent="0.35">
      <c r="B20" s="27" t="s">
        <v>41</v>
      </c>
      <c r="F20" s="62">
        <f>-(HaiDuong!AB75+HaiDuong!AB81)*'Site list'!H4</f>
        <v>-2723.9572980000003</v>
      </c>
      <c r="G20" s="195">
        <f>-(CaMau!AB45+CaMau!AB51)*55%</f>
        <v>-1218.9929532000001</v>
      </c>
      <c r="H20" s="195">
        <f>-SUM(ThanhHoa!AC45,ThanhHoa!AC50)*(1-ThanhHoa!AA56)</f>
        <v>-1262.0503962000003</v>
      </c>
      <c r="I20" s="62">
        <f>-SUM(ThaiNguyen!AB44,ThaiNguyen!AB50)*(1-ThaiNguyen!Z56)</f>
        <v>0</v>
      </c>
      <c r="J20" s="60">
        <f>-ThaiBinh!Z40*(1-ThaiBinh!X47)</f>
        <v>0</v>
      </c>
      <c r="K20" s="84">
        <f>-YetKieu!X41</f>
        <v>0</v>
      </c>
      <c r="L20" s="84">
        <f>-NhaTrang!Z37</f>
        <v>0</v>
      </c>
      <c r="M20" s="57">
        <f>-ThachThat!Z30</f>
        <v>-399.99999600000001</v>
      </c>
      <c r="N20" s="57">
        <f>-SocSon!F38</f>
        <v>-939.38324399999976</v>
      </c>
      <c r="O20" s="57">
        <v>0</v>
      </c>
      <c r="P20" s="84"/>
      <c r="Q20" s="84"/>
      <c r="R20" s="84"/>
      <c r="S20" s="84"/>
      <c r="T20" s="249">
        <f>SUM(F20:S20)</f>
        <v>-6544.3838874000003</v>
      </c>
    </row>
    <row r="21" spans="1:25" outlineLevel="1" x14ac:dyDescent="0.35">
      <c r="B21" s="27" t="s">
        <v>192</v>
      </c>
      <c r="F21" s="62">
        <f>SUM(F19:F20)</f>
        <v>2449.2663002071722</v>
      </c>
      <c r="G21" s="62">
        <f>SUM(G19:G20)</f>
        <v>272.57192763273747</v>
      </c>
      <c r="H21" s="195">
        <f t="shared" ref="H21:N21" si="3">H19+H20</f>
        <v>286.27163435417651</v>
      </c>
      <c r="I21" s="195">
        <f t="shared" si="3"/>
        <v>2542.5103512205378</v>
      </c>
      <c r="J21" s="195">
        <f t="shared" si="3"/>
        <v>1172.7254368171341</v>
      </c>
      <c r="K21" s="195">
        <f t="shared" si="3"/>
        <v>3454.5678520508509</v>
      </c>
      <c r="L21" s="195">
        <f t="shared" si="3"/>
        <v>3266.4678711415472</v>
      </c>
      <c r="M21" s="195">
        <f t="shared" si="3"/>
        <v>1000.9969941960785</v>
      </c>
      <c r="N21" s="195">
        <f t="shared" si="3"/>
        <v>-928.50430797849469</v>
      </c>
      <c r="O21" s="195">
        <f>O19+O20</f>
        <v>3442.247455144065</v>
      </c>
      <c r="P21" s="195">
        <f>P19+P20</f>
        <v>0</v>
      </c>
      <c r="Q21" s="195">
        <f>Q19+Q20</f>
        <v>0</v>
      </c>
      <c r="R21" s="195"/>
      <c r="S21" s="195">
        <f>S19+S20</f>
        <v>-7821.0261940000055</v>
      </c>
      <c r="T21" s="249">
        <f>SUM(F21:S21)</f>
        <v>9138.0953207858001</v>
      </c>
    </row>
    <row r="22" spans="1:25" outlineLevel="1" x14ac:dyDescent="0.35">
      <c r="B22" s="27"/>
      <c r="F22" s="62"/>
      <c r="G22" s="195"/>
      <c r="H22" s="195"/>
      <c r="I22" s="62"/>
      <c r="J22" s="60"/>
      <c r="K22" s="84"/>
      <c r="L22" s="84"/>
      <c r="M22" s="57"/>
      <c r="N22" s="57"/>
      <c r="O22" s="84"/>
      <c r="P22" s="84"/>
      <c r="Q22" s="84"/>
      <c r="R22" s="84"/>
      <c r="S22" s="84"/>
      <c r="T22" s="252"/>
    </row>
    <row r="23" spans="1:25" outlineLevel="1" x14ac:dyDescent="0.35">
      <c r="B23" s="27" t="s">
        <v>331</v>
      </c>
      <c r="F23" s="62">
        <v>0</v>
      </c>
      <c r="G23" s="195">
        <f>-VTB_CaMau!I25</f>
        <v>-1452</v>
      </c>
      <c r="H23" s="195">
        <f>'BIDV-THH'!C24</f>
        <v>-3280</v>
      </c>
      <c r="I23" s="62">
        <f>VTB_TNN!C28</f>
        <v>-2150</v>
      </c>
      <c r="J23" s="60">
        <f>ThaiBinh2!F46</f>
        <v>-2036</v>
      </c>
      <c r="K23" s="84">
        <f>'VTB_YẾT KIÊU'!C27</f>
        <v>-3066</v>
      </c>
      <c r="L23" s="84">
        <f>'VTB_Nha trang.'!C28</f>
        <v>-3046</v>
      </c>
      <c r="M23" s="57">
        <v>0</v>
      </c>
      <c r="N23" s="57">
        <v>0</v>
      </c>
      <c r="O23" s="84"/>
      <c r="P23" s="84"/>
      <c r="Q23" s="84"/>
      <c r="R23" s="84"/>
      <c r="S23" s="57">
        <f>-12.2*1000</f>
        <v>-12200</v>
      </c>
      <c r="T23" s="252">
        <f>SUM(F23:S23)</f>
        <v>-27230</v>
      </c>
    </row>
    <row r="24" spans="1:25" outlineLevel="1" x14ac:dyDescent="0.35">
      <c r="B24" s="27" t="s">
        <v>332</v>
      </c>
      <c r="F24" s="62">
        <f>-HaiDuong!AB91</f>
        <v>-520</v>
      </c>
      <c r="G24" s="200">
        <v>0</v>
      </c>
      <c r="H24" s="195">
        <f>-'Capital req'!F50</f>
        <v>-1040</v>
      </c>
      <c r="I24" s="62">
        <f>-ThaiNguyen!AB60</f>
        <v>0</v>
      </c>
      <c r="J24" s="60">
        <f>ThaiBinh2!F47</f>
        <v>-599.1</v>
      </c>
      <c r="K24" s="62">
        <v>0</v>
      </c>
      <c r="L24" s="62">
        <v>0</v>
      </c>
      <c r="M24" s="57">
        <v>0</v>
      </c>
      <c r="N24" s="57">
        <v>0</v>
      </c>
      <c r="T24" s="252">
        <f>SUM(F24:S24)</f>
        <v>-2159.1</v>
      </c>
    </row>
    <row r="25" spans="1:25" ht="13.15" outlineLevel="1" thickBot="1" x14ac:dyDescent="0.4">
      <c r="B25" s="233" t="s">
        <v>339</v>
      </c>
      <c r="C25" s="234"/>
      <c r="D25" s="234"/>
      <c r="E25" s="234"/>
      <c r="F25" s="236">
        <f>SUM(F19,F23:F24)</f>
        <v>4653.2235982071725</v>
      </c>
      <c r="G25" s="236">
        <f t="shared" ref="G25:Q25" si="4">SUM(G19,G23:G24)</f>
        <v>39.564880832737572</v>
      </c>
      <c r="H25" s="236">
        <f t="shared" si="4"/>
        <v>-2771.6779694458232</v>
      </c>
      <c r="I25" s="236">
        <f t="shared" si="4"/>
        <v>392.51035122053781</v>
      </c>
      <c r="J25" s="236">
        <f t="shared" si="4"/>
        <v>-1462.374563182866</v>
      </c>
      <c r="K25" s="236">
        <f t="shared" si="4"/>
        <v>388.56785205085089</v>
      </c>
      <c r="L25" s="236">
        <f>SUM(L19,L23:L24)</f>
        <v>220.46787114154722</v>
      </c>
      <c r="M25" s="236">
        <f t="shared" si="4"/>
        <v>1400.9969901960785</v>
      </c>
      <c r="N25" s="236">
        <f t="shared" si="4"/>
        <v>10.878936021505069</v>
      </c>
      <c r="O25" s="236">
        <f t="shared" si="4"/>
        <v>3442.247455144065</v>
      </c>
      <c r="P25" s="236">
        <f t="shared" si="4"/>
        <v>0</v>
      </c>
      <c r="Q25" s="236">
        <f t="shared" si="4"/>
        <v>0</v>
      </c>
      <c r="R25" s="236"/>
      <c r="S25" s="236">
        <f>SUM(S19,S23:S24)</f>
        <v>-20021.026194000005</v>
      </c>
      <c r="T25" s="270">
        <f>SUM(T19,T23:T24)</f>
        <v>-13706.620791814197</v>
      </c>
    </row>
    <row r="26" spans="1:25" ht="13.15" outlineLevel="1" thickTop="1" x14ac:dyDescent="0.35">
      <c r="T26" s="248"/>
    </row>
    <row r="27" spans="1:25" outlineLevel="1" x14ac:dyDescent="0.35">
      <c r="B27" s="55" t="s">
        <v>342</v>
      </c>
      <c r="T27" s="248"/>
    </row>
    <row r="28" spans="1:25" outlineLevel="1" x14ac:dyDescent="0.35">
      <c r="B28" s="2" t="s">
        <v>385</v>
      </c>
      <c r="P28" s="62">
        <v>-3400</v>
      </c>
      <c r="T28" s="253">
        <f>SUM(F28:S28)</f>
        <v>-3400</v>
      </c>
      <c r="U28" s="283" t="s">
        <v>445</v>
      </c>
    </row>
    <row r="29" spans="1:25" outlineLevel="1" x14ac:dyDescent="0.35">
      <c r="B29" s="2" t="s">
        <v>382</v>
      </c>
      <c r="P29" s="62">
        <v>-900</v>
      </c>
      <c r="T29" s="253">
        <f t="shared" ref="T29:T35" si="5">SUM(F29:S29)</f>
        <v>-900</v>
      </c>
      <c r="U29" s="2" t="s">
        <v>446</v>
      </c>
    </row>
    <row r="30" spans="1:25" outlineLevel="1" x14ac:dyDescent="0.35">
      <c r="B30" s="2" t="s">
        <v>386</v>
      </c>
      <c r="N30" s="62">
        <f>-1800-2100</f>
        <v>-3900</v>
      </c>
      <c r="T30" s="253">
        <f t="shared" si="5"/>
        <v>-3900</v>
      </c>
      <c r="U30" s="2" t="s">
        <v>383</v>
      </c>
    </row>
    <row r="31" spans="1:25" outlineLevel="1" x14ac:dyDescent="0.35">
      <c r="B31" s="2" t="s">
        <v>387</v>
      </c>
      <c r="S31" s="57"/>
      <c r="T31" s="253">
        <f t="shared" si="5"/>
        <v>0</v>
      </c>
    </row>
    <row r="32" spans="1:25" outlineLevel="1" x14ac:dyDescent="0.35">
      <c r="B32" s="2" t="s">
        <v>388</v>
      </c>
      <c r="S32" s="57"/>
      <c r="T32" s="253">
        <f t="shared" si="5"/>
        <v>0</v>
      </c>
    </row>
    <row r="33" spans="2:20" outlineLevel="1" x14ac:dyDescent="0.35">
      <c r="B33" s="2" t="s">
        <v>384</v>
      </c>
      <c r="S33" s="57">
        <v>-7000</v>
      </c>
      <c r="T33" s="253">
        <f t="shared" si="5"/>
        <v>-7000</v>
      </c>
    </row>
    <row r="34" spans="2:20" outlineLevel="1" x14ac:dyDescent="0.35">
      <c r="B34" s="2" t="s">
        <v>262</v>
      </c>
      <c r="Q34" s="57"/>
      <c r="R34" s="57"/>
      <c r="S34" s="58"/>
      <c r="T34" s="253">
        <f t="shared" si="5"/>
        <v>0</v>
      </c>
    </row>
    <row r="35" spans="2:20" outlineLevel="1" x14ac:dyDescent="0.35">
      <c r="S35" s="57">
        <v>0</v>
      </c>
      <c r="T35" s="253">
        <f t="shared" si="5"/>
        <v>0</v>
      </c>
    </row>
    <row r="36" spans="2:20" ht="13.15" outlineLevel="1" thickBot="1" x14ac:dyDescent="0.4">
      <c r="B36" s="233" t="s">
        <v>351</v>
      </c>
      <c r="C36" s="234"/>
      <c r="D36" s="234"/>
      <c r="E36" s="234"/>
      <c r="F36" s="236">
        <f>SUM(F28:F35)</f>
        <v>0</v>
      </c>
      <c r="G36" s="236">
        <f t="shared" ref="G36:S36" si="6">SUM(G28:G35)</f>
        <v>0</v>
      </c>
      <c r="H36" s="236">
        <f t="shared" si="6"/>
        <v>0</v>
      </c>
      <c r="I36" s="236">
        <f t="shared" si="6"/>
        <v>0</v>
      </c>
      <c r="J36" s="236">
        <f t="shared" si="6"/>
        <v>0</v>
      </c>
      <c r="K36" s="236">
        <f t="shared" si="6"/>
        <v>0</v>
      </c>
      <c r="L36" s="236">
        <f t="shared" si="6"/>
        <v>0</v>
      </c>
      <c r="M36" s="236">
        <f t="shared" si="6"/>
        <v>0</v>
      </c>
      <c r="N36" s="236">
        <f t="shared" si="6"/>
        <v>-3900</v>
      </c>
      <c r="O36" s="236">
        <f t="shared" si="6"/>
        <v>0</v>
      </c>
      <c r="P36" s="236">
        <f t="shared" si="6"/>
        <v>-4300</v>
      </c>
      <c r="Q36" s="236">
        <f t="shared" si="6"/>
        <v>0</v>
      </c>
      <c r="R36" s="236"/>
      <c r="S36" s="236">
        <f t="shared" si="6"/>
        <v>-7000</v>
      </c>
      <c r="T36" s="254">
        <f>SUM(T28:T35)</f>
        <v>-15200</v>
      </c>
    </row>
    <row r="37" spans="2:20" ht="13.15" outlineLevel="1" thickTop="1" x14ac:dyDescent="0.35">
      <c r="B37" s="6" t="s">
        <v>352</v>
      </c>
      <c r="T37" s="257">
        <f>SUM(T25,T36)</f>
        <v>-28906.620791814195</v>
      </c>
    </row>
    <row r="38" spans="2:20" outlineLevel="1" x14ac:dyDescent="0.35">
      <c r="B38" s="6" t="s">
        <v>678</v>
      </c>
      <c r="T38" s="253">
        <v>27140</v>
      </c>
    </row>
    <row r="39" spans="2:20" outlineLevel="1" x14ac:dyDescent="0.35">
      <c r="B39" s="6" t="s">
        <v>679</v>
      </c>
      <c r="T39" s="257">
        <f>T37+T38</f>
        <v>-1766.6207918141954</v>
      </c>
    </row>
    <row r="40" spans="2:20" outlineLevel="1" x14ac:dyDescent="0.35">
      <c r="T40" s="248"/>
    </row>
    <row r="41" spans="2:20" outlineLevel="1" x14ac:dyDescent="0.35"/>
    <row r="42" spans="2:20" outlineLevel="1" x14ac:dyDescent="0.35">
      <c r="T42" s="248"/>
    </row>
    <row r="43" spans="2:20" outlineLevel="1" x14ac:dyDescent="0.35">
      <c r="B43" s="27" t="s">
        <v>315</v>
      </c>
      <c r="D43" s="6"/>
      <c r="E43" s="93"/>
      <c r="T43" s="248"/>
    </row>
    <row r="44" spans="2:20" outlineLevel="1" x14ac:dyDescent="0.35">
      <c r="B44" s="27"/>
      <c r="C44" s="230" t="s">
        <v>316</v>
      </c>
      <c r="D44" s="6"/>
      <c r="E44" s="93"/>
      <c r="T44" s="248"/>
    </row>
    <row r="45" spans="2:20" outlineLevel="1" x14ac:dyDescent="0.35">
      <c r="D45" s="2" t="s">
        <v>317</v>
      </c>
      <c r="T45" s="249">
        <v>4350</v>
      </c>
    </row>
    <row r="46" spans="2:20" outlineLevel="1" x14ac:dyDescent="0.35">
      <c r="D46" s="2" t="s">
        <v>318</v>
      </c>
      <c r="T46" s="334">
        <v>1320</v>
      </c>
    </row>
    <row r="47" spans="2:20" outlineLevel="1" x14ac:dyDescent="0.35">
      <c r="B47" s="27"/>
      <c r="C47" s="6"/>
      <c r="D47" s="2" t="s">
        <v>319</v>
      </c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P47" s="245"/>
      <c r="Q47" s="245"/>
      <c r="R47" s="245"/>
      <c r="S47" s="245"/>
      <c r="T47" s="335">
        <v>2000</v>
      </c>
    </row>
    <row r="48" spans="2:20" outlineLevel="1" x14ac:dyDescent="0.35">
      <c r="C48" s="65" t="s">
        <v>320</v>
      </c>
      <c r="D48" s="65"/>
      <c r="E48" s="66"/>
      <c r="T48" s="257">
        <f>SUM(T45:T47)</f>
        <v>7670</v>
      </c>
    </row>
    <row r="49" spans="2:22" outlineLevel="1" x14ac:dyDescent="0.35">
      <c r="B49" s="27"/>
      <c r="C49" s="230" t="s">
        <v>321</v>
      </c>
      <c r="D49" s="6"/>
      <c r="T49" s="248"/>
    </row>
    <row r="50" spans="2:22" outlineLevel="1" x14ac:dyDescent="0.35">
      <c r="D50" s="2" t="s">
        <v>322</v>
      </c>
      <c r="T50" s="249">
        <v>14800</v>
      </c>
    </row>
    <row r="51" spans="2:22" outlineLevel="1" x14ac:dyDescent="0.35">
      <c r="B51" s="6"/>
      <c r="C51" s="6"/>
      <c r="D51" s="2" t="s">
        <v>323</v>
      </c>
      <c r="E51" s="85"/>
      <c r="T51" s="248"/>
    </row>
    <row r="52" spans="2:22" outlineLevel="1" x14ac:dyDescent="0.35">
      <c r="C52" s="246"/>
      <c r="D52" s="246" t="s">
        <v>324</v>
      </c>
      <c r="E52" s="246"/>
      <c r="F52" s="246"/>
      <c r="G52" s="246"/>
      <c r="H52" s="246"/>
      <c r="I52" s="246"/>
      <c r="J52" s="246"/>
      <c r="K52" s="246"/>
      <c r="L52" s="246"/>
      <c r="M52" s="246"/>
      <c r="N52" s="246"/>
      <c r="O52" s="246"/>
      <c r="P52" s="246"/>
      <c r="Q52" s="246"/>
      <c r="R52" s="246"/>
      <c r="S52" s="246"/>
      <c r="T52" s="256"/>
    </row>
    <row r="53" spans="2:22" outlineLevel="1" x14ac:dyDescent="0.35">
      <c r="C53" s="55" t="s">
        <v>325</v>
      </c>
      <c r="T53" s="257">
        <f>SUM(T50:T52)</f>
        <v>14800</v>
      </c>
    </row>
    <row r="54" spans="2:22" ht="13.15" outlineLevel="1" thickBot="1" x14ac:dyDescent="0.4">
      <c r="T54" s="248"/>
    </row>
    <row r="55" spans="2:22" ht="13.15" outlineLevel="1" thickBot="1" x14ac:dyDescent="0.4">
      <c r="B55" s="6" t="s">
        <v>337</v>
      </c>
      <c r="T55" s="258">
        <f>T37+T48+T53</f>
        <v>-6436.6207918141954</v>
      </c>
    </row>
    <row r="56" spans="2:22" outlineLevel="1" x14ac:dyDescent="0.35">
      <c r="B56" s="6"/>
      <c r="C56" s="6"/>
      <c r="D56" s="2" t="s">
        <v>323</v>
      </c>
      <c r="E56" s="85"/>
      <c r="T56" s="248"/>
    </row>
    <row r="57" spans="2:22" outlineLevel="1" x14ac:dyDescent="0.35">
      <c r="D57" s="2" t="s">
        <v>324</v>
      </c>
      <c r="F57" s="245"/>
      <c r="G57" s="245"/>
      <c r="H57" s="245"/>
      <c r="I57" s="245"/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63"/>
    </row>
    <row r="58" spans="2:22" outlineLevel="1" x14ac:dyDescent="0.35">
      <c r="C58" s="231" t="s">
        <v>325</v>
      </c>
      <c r="D58" s="70"/>
      <c r="E58" s="70"/>
      <c r="T58" s="248"/>
    </row>
    <row r="59" spans="2:22" outlineLevel="1" x14ac:dyDescent="0.35">
      <c r="T59" s="248"/>
    </row>
    <row r="60" spans="2:22" outlineLevel="1" x14ac:dyDescent="0.35">
      <c r="B60" s="6" t="s">
        <v>337</v>
      </c>
      <c r="T60" s="248"/>
    </row>
    <row r="61" spans="2:22" x14ac:dyDescent="0.35">
      <c r="T61" s="248"/>
    </row>
    <row r="62" spans="2:22" x14ac:dyDescent="0.35">
      <c r="B62" s="32" t="s">
        <v>55</v>
      </c>
      <c r="T62" s="248"/>
    </row>
    <row r="63" spans="2:22" x14ac:dyDescent="0.35">
      <c r="B63" s="27" t="s">
        <v>11</v>
      </c>
      <c r="D63" s="6"/>
      <c r="F63" s="62">
        <f>HaiDuong!T49-HaiDuong!T50</f>
        <v>11097.785</v>
      </c>
      <c r="G63" s="62">
        <f>CaMau!T19-CaMau!T20</f>
        <v>5415.62</v>
      </c>
      <c r="H63" s="62">
        <f>ThanhHoa!T19-ThanhHoa!T20</f>
        <v>10903.770500000001</v>
      </c>
      <c r="I63" s="62">
        <f>ThaiNguyen!T19</f>
        <v>3322.0499999999997</v>
      </c>
      <c r="J63" s="62">
        <f>ThaiBinh!T17</f>
        <v>1946.44</v>
      </c>
      <c r="K63" s="62">
        <f>YetKieu!T18</f>
        <v>6226.2586000000001</v>
      </c>
      <c r="L63" s="62">
        <f>NhaTrang!T16</f>
        <v>5532.7460000000001</v>
      </c>
      <c r="M63" s="62">
        <f>ThachThat!T13</f>
        <v>693.30000000000007</v>
      </c>
      <c r="N63" s="306">
        <v>71.55</v>
      </c>
      <c r="O63" s="62">
        <f>'Site liên kết'!R20</f>
        <v>3442.247455144065</v>
      </c>
      <c r="P63" s="56"/>
      <c r="Q63" s="56"/>
      <c r="R63" s="56"/>
      <c r="S63" s="56"/>
      <c r="T63" s="290">
        <f>SUM(F63:S63)</f>
        <v>48651.76755514407</v>
      </c>
    </row>
    <row r="64" spans="2:22" ht="13.15" thickBot="1" x14ac:dyDescent="0.4">
      <c r="B64" s="27" t="s">
        <v>328</v>
      </c>
      <c r="D64" s="55"/>
      <c r="F64" s="62">
        <f>-(HaiDuong!T63+HaiDuong!T71)</f>
        <v>-7029.2540279999994</v>
      </c>
      <c r="G64" s="62">
        <f>-(CaMau!T33+CaMau!T41)</f>
        <v>-2820.6329940000001</v>
      </c>
      <c r="H64" s="62">
        <f>-(ThanhHoa!T32+ThanhHoa!T40)</f>
        <v>-6899.5767219999998</v>
      </c>
      <c r="I64" s="62">
        <f>-(ThaiNguyen!T33+ThaiNguyen!T41)</f>
        <v>-3661.5144890000001</v>
      </c>
      <c r="J64" s="62">
        <f>-(ThaiBinh!T17-ThaiBinh!T33)</f>
        <v>-2348.512561</v>
      </c>
      <c r="K64" s="62">
        <f>-(YetKieu!T18-YetKieu!T40)</f>
        <v>-6534.8171073333333</v>
      </c>
      <c r="L64" s="62">
        <f>-(NhaTrang!T16-NhaTrang!T34)</f>
        <v>-4602.3055048333335</v>
      </c>
      <c r="M64" s="62">
        <f>-(ThachThat!T13-ThachThat!T28)</f>
        <v>-482.76496200000008</v>
      </c>
      <c r="N64" s="62">
        <v>-435.18238100000002</v>
      </c>
      <c r="O64" s="56"/>
      <c r="P64" s="56"/>
      <c r="Q64" s="56"/>
      <c r="R64" s="56"/>
      <c r="S64" s="196">
        <f>-SUM(V64:V65)/10^6</f>
        <v>-4176.3393270271827</v>
      </c>
      <c r="T64" s="252">
        <f>SUM(F64:S64)</f>
        <v>-38990.900076193851</v>
      </c>
      <c r="V64" s="84">
        <v>2901820348</v>
      </c>
    </row>
    <row r="65" spans="2:22" ht="13.15" thickBot="1" x14ac:dyDescent="0.4">
      <c r="B65" s="261" t="s">
        <v>350</v>
      </c>
      <c r="C65" s="223"/>
      <c r="D65" s="100"/>
      <c r="E65" s="100"/>
      <c r="F65" s="226">
        <f>F63+F64</f>
        <v>4068.5309720000005</v>
      </c>
      <c r="G65" s="226">
        <f t="shared" ref="G65:O65" si="7">G63+G64</f>
        <v>2594.9870059999998</v>
      </c>
      <c r="H65" s="226">
        <f t="shared" si="7"/>
        <v>4004.1937780000007</v>
      </c>
      <c r="I65" s="226">
        <f t="shared" si="7"/>
        <v>-339.46448900000041</v>
      </c>
      <c r="J65" s="226">
        <f t="shared" si="7"/>
        <v>-402.07256099999995</v>
      </c>
      <c r="K65" s="226">
        <f t="shared" si="7"/>
        <v>-308.55850733333318</v>
      </c>
      <c r="L65" s="226">
        <f t="shared" si="7"/>
        <v>930.44049516666655</v>
      </c>
      <c r="M65" s="226">
        <f t="shared" si="7"/>
        <v>210.53503799999999</v>
      </c>
      <c r="N65" s="226">
        <f t="shared" si="7"/>
        <v>-363.63238100000001</v>
      </c>
      <c r="O65" s="226">
        <f t="shared" si="7"/>
        <v>3442.247455144065</v>
      </c>
      <c r="P65" s="226">
        <f>P63-P64</f>
        <v>0</v>
      </c>
      <c r="Q65" s="226">
        <f>Q63-Q64</f>
        <v>0</v>
      </c>
      <c r="R65" s="226"/>
      <c r="S65" s="226"/>
      <c r="T65" s="250">
        <f>SUM(T63:T64)</f>
        <v>9660.8674789502184</v>
      </c>
      <c r="V65" s="84">
        <v>1274518979.0271831</v>
      </c>
    </row>
    <row r="66" spans="2:22" x14ac:dyDescent="0.35">
      <c r="F66" s="58"/>
      <c r="G66" s="58"/>
      <c r="T66" s="248"/>
    </row>
    <row r="67" spans="2:22" x14ac:dyDescent="0.35">
      <c r="B67" s="27" t="s">
        <v>275</v>
      </c>
      <c r="F67" s="62">
        <f>HaiDuong!T73</f>
        <v>3539.6219456399999</v>
      </c>
      <c r="G67" s="62">
        <f>CaMau!T43</f>
        <v>0</v>
      </c>
      <c r="H67" s="60">
        <f>ThanhHoa!T42</f>
        <v>0</v>
      </c>
      <c r="T67" s="248"/>
    </row>
    <row r="68" spans="2:22" x14ac:dyDescent="0.35">
      <c r="B68" s="27" t="s">
        <v>45</v>
      </c>
      <c r="F68" s="62"/>
      <c r="G68" s="62"/>
      <c r="H68" s="60"/>
      <c r="T68" s="248"/>
    </row>
    <row r="69" spans="2:22" x14ac:dyDescent="0.35">
      <c r="T69" s="248"/>
    </row>
    <row r="70" spans="2:22" x14ac:dyDescent="0.35">
      <c r="B70" s="32" t="s">
        <v>356</v>
      </c>
      <c r="T70" s="248"/>
    </row>
    <row r="71" spans="2:22" x14ac:dyDescent="0.35">
      <c r="B71" s="27" t="s">
        <v>11</v>
      </c>
      <c r="D71" s="6"/>
      <c r="F71" s="272">
        <f>1-F63/F10</f>
        <v>0.1949877867445553</v>
      </c>
      <c r="G71" s="272">
        <f t="shared" ref="G71:O71" si="8">1-G63/G10</f>
        <v>0.20239684923496204</v>
      </c>
      <c r="H71" s="272">
        <f t="shared" si="8"/>
        <v>4.0643621166415289E-2</v>
      </c>
      <c r="I71" s="272">
        <f t="shared" si="8"/>
        <v>0.68466540104413864</v>
      </c>
      <c r="J71" s="272">
        <f t="shared" si="8"/>
        <v>0.74095821133883422</v>
      </c>
      <c r="K71" s="272">
        <f t="shared" si="8"/>
        <v>0.63715672547701885</v>
      </c>
      <c r="L71" s="272">
        <f t="shared" si="8"/>
        <v>0.61741548248798539</v>
      </c>
      <c r="M71" s="272">
        <f t="shared" si="8"/>
        <v>0.78836996336996334</v>
      </c>
      <c r="N71" s="272">
        <f t="shared" si="8"/>
        <v>0.97463125797759187</v>
      </c>
      <c r="O71" s="272">
        <f t="shared" si="8"/>
        <v>0</v>
      </c>
      <c r="P71" s="273"/>
      <c r="Q71" s="273"/>
      <c r="R71" s="273"/>
      <c r="T71" s="264">
        <f>1-T63/T10</f>
        <v>0.52557531736980523</v>
      </c>
    </row>
    <row r="72" spans="2:22" ht="13.15" thickBot="1" x14ac:dyDescent="0.4">
      <c r="B72" s="27" t="s">
        <v>328</v>
      </c>
      <c r="D72" s="55"/>
      <c r="F72" s="201">
        <f t="shared" ref="F72:N72" si="9">1-F64/F13</f>
        <v>0.10336860543172943</v>
      </c>
      <c r="G72" s="201">
        <f t="shared" si="9"/>
        <v>0.18333966208856334</v>
      </c>
      <c r="H72" s="201">
        <f t="shared" si="9"/>
        <v>7.118783280290375E-2</v>
      </c>
      <c r="I72" s="201">
        <f t="shared" si="9"/>
        <v>0.48316094088131389</v>
      </c>
      <c r="J72" s="201">
        <f t="shared" si="9"/>
        <v>0.51647916805231298</v>
      </c>
      <c r="K72" s="201">
        <f t="shared" si="9"/>
        <v>0.48283703600752714</v>
      </c>
      <c r="L72" s="201">
        <f t="shared" si="9"/>
        <v>0.54580271163123728</v>
      </c>
      <c r="M72" s="201">
        <f t="shared" si="9"/>
        <v>0.74252576690504335</v>
      </c>
      <c r="N72" s="201">
        <f t="shared" si="9"/>
        <v>0.84510442488594528</v>
      </c>
      <c r="O72" s="201"/>
      <c r="T72" s="264">
        <f>1-T64/T13</f>
        <v>0.43725347847080087</v>
      </c>
    </row>
    <row r="73" spans="2:22" ht="13.15" thickBot="1" x14ac:dyDescent="0.4">
      <c r="B73" s="261" t="s">
        <v>350</v>
      </c>
      <c r="C73" s="223"/>
      <c r="D73" s="100"/>
      <c r="E73" s="100"/>
      <c r="F73" s="262">
        <f t="shared" ref="F73:N73" si="10">1-F65/F14</f>
        <v>0.31578021354679342</v>
      </c>
      <c r="G73" s="262">
        <f t="shared" si="10"/>
        <v>0.22212731114507733</v>
      </c>
      <c r="H73" s="262">
        <f t="shared" si="10"/>
        <v>-1.6982848530428862E-2</v>
      </c>
      <c r="I73" s="262">
        <f t="shared" si="10"/>
        <v>1.098379490247765</v>
      </c>
      <c r="J73" s="262">
        <f t="shared" si="10"/>
        <v>1.1513318774647017</v>
      </c>
      <c r="K73" s="262">
        <f t="shared" si="10"/>
        <v>1.0682087054552312</v>
      </c>
      <c r="L73" s="262">
        <f t="shared" si="10"/>
        <v>0.78505147073900283</v>
      </c>
      <c r="M73" s="262">
        <f t="shared" si="10"/>
        <v>0.84972484632494871</v>
      </c>
      <c r="N73" s="262">
        <f t="shared" si="10"/>
        <v>34.425362579684744</v>
      </c>
      <c r="O73" s="262">
        <f>1-O65/O14</f>
        <v>0</v>
      </c>
      <c r="P73" s="100"/>
      <c r="Q73" s="100"/>
      <c r="R73" s="100"/>
      <c r="S73" s="100"/>
      <c r="T73" s="265">
        <f>1-T65/T14</f>
        <v>0.70955408152309807</v>
      </c>
    </row>
    <row r="75" spans="2:22" x14ac:dyDescent="0.35">
      <c r="B75" s="27" t="s">
        <v>275</v>
      </c>
      <c r="F75" s="201">
        <f>1-F67/F16</f>
        <v>0.31578021354679353</v>
      </c>
      <c r="G75" s="201">
        <f>1-G67/G16</f>
        <v>1</v>
      </c>
      <c r="H75" s="201">
        <f>1-H67/H16</f>
        <v>1</v>
      </c>
    </row>
  </sheetData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9B85-97CD-488D-87F9-E73008E7DC2B}">
  <dimension ref="A1:S22"/>
  <sheetViews>
    <sheetView zoomScale="120" zoomScaleNormal="12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11" sqref="G11:G22"/>
    </sheetView>
  </sheetViews>
  <sheetFormatPr defaultColWidth="9.1328125" defaultRowHeight="14.25" x14ac:dyDescent="0.45"/>
  <cols>
    <col min="1" max="1" width="7.86328125" style="1" customWidth="1"/>
    <col min="2" max="2" width="32" style="1" customWidth="1"/>
    <col min="3" max="4" width="13.59765625" style="1" customWidth="1"/>
    <col min="5" max="5" width="12.73046875" style="1" customWidth="1"/>
    <col min="6" max="6" width="14.59765625" style="1" customWidth="1"/>
    <col min="7" max="7" width="16.73046875" style="1" customWidth="1"/>
    <col min="8" max="8" width="14.73046875" style="1" customWidth="1"/>
    <col min="9" max="9" width="19.265625" style="1" customWidth="1"/>
    <col min="10" max="10" width="23.3984375" style="1" customWidth="1"/>
    <col min="11" max="11" width="42" style="1" customWidth="1"/>
    <col min="12" max="12" width="11.59765625" style="1" customWidth="1"/>
    <col min="13" max="13" width="12.1328125" style="1" bestFit="1" customWidth="1"/>
    <col min="14" max="14" width="5.86328125" style="1" customWidth="1"/>
    <col min="15" max="15" width="9.1328125" style="1"/>
    <col min="16" max="16" width="10" style="1" bestFit="1" customWidth="1"/>
    <col min="17" max="16384" width="9.1328125" style="1"/>
  </cols>
  <sheetData>
    <row r="1" spans="1:19" x14ac:dyDescent="0.45">
      <c r="K1" s="1">
        <f>10^6</f>
        <v>1000000</v>
      </c>
    </row>
    <row r="2" spans="1:19" x14ac:dyDescent="0.45">
      <c r="G2" s="581">
        <f>SUM(G4:G22)</f>
        <v>294770.01599176001</v>
      </c>
      <c r="I2" s="581">
        <f>SUM(I4:I22)</f>
        <v>196326.52095476</v>
      </c>
      <c r="J2" s="592">
        <f>SUM(J4:J22)</f>
        <v>59039.5</v>
      </c>
    </row>
    <row r="3" spans="1:19" x14ac:dyDescent="0.45">
      <c r="A3" s="79" t="s">
        <v>144</v>
      </c>
      <c r="B3" s="75" t="s">
        <v>145</v>
      </c>
      <c r="C3" s="75" t="s">
        <v>650</v>
      </c>
      <c r="D3" s="75" t="s">
        <v>675</v>
      </c>
      <c r="E3" s="197" t="s">
        <v>390</v>
      </c>
      <c r="F3" s="197" t="s">
        <v>391</v>
      </c>
      <c r="G3" s="75" t="s">
        <v>673</v>
      </c>
      <c r="H3" s="75" t="s">
        <v>676</v>
      </c>
      <c r="I3" s="75" t="s">
        <v>674</v>
      </c>
      <c r="J3" s="75" t="s">
        <v>677</v>
      </c>
      <c r="K3" s="75" t="s">
        <v>167</v>
      </c>
      <c r="L3" s="75" t="s">
        <v>168</v>
      </c>
      <c r="M3" s="75" t="s">
        <v>172</v>
      </c>
      <c r="N3" s="75" t="s">
        <v>173</v>
      </c>
      <c r="O3" s="197" t="s">
        <v>267</v>
      </c>
      <c r="P3" s="197" t="s">
        <v>268</v>
      </c>
      <c r="Q3" s="197" t="s">
        <v>269</v>
      </c>
      <c r="S3" s="75" t="s">
        <v>524</v>
      </c>
    </row>
    <row r="4" spans="1:19" x14ac:dyDescent="0.45">
      <c r="A4" s="80">
        <v>1</v>
      </c>
      <c r="B4" s="1" t="s">
        <v>147</v>
      </c>
      <c r="C4" s="1" t="s">
        <v>147</v>
      </c>
      <c r="D4" s="82">
        <v>45017</v>
      </c>
      <c r="E4" s="82">
        <f>EDATE($D4,6)</f>
        <v>45200</v>
      </c>
      <c r="F4" s="82">
        <f>EDATE($D4,12)</f>
        <v>45383</v>
      </c>
      <c r="G4" s="589">
        <v>40000</v>
      </c>
      <c r="H4" s="199">
        <v>0.87</v>
      </c>
      <c r="I4" s="117">
        <f>G4*H4</f>
        <v>34800</v>
      </c>
      <c r="J4" s="117"/>
      <c r="N4" s="1" t="s">
        <v>174</v>
      </c>
      <c r="O4" s="1">
        <f>70</f>
        <v>70</v>
      </c>
      <c r="P4" s="81">
        <v>250.30125000000001</v>
      </c>
      <c r="Q4" s="117">
        <f>SUM(O4:P4)</f>
        <v>320.30124999999998</v>
      </c>
      <c r="R4" s="296">
        <f>Q4/12</f>
        <v>26.691770833333333</v>
      </c>
      <c r="S4" s="1" t="s">
        <v>525</v>
      </c>
    </row>
    <row r="5" spans="1:19" x14ac:dyDescent="0.45">
      <c r="A5" s="80">
        <v>2</v>
      </c>
      <c r="B5" s="1" t="s">
        <v>150</v>
      </c>
      <c r="C5" s="1" t="str">
        <f>B5</f>
        <v>Cà Mau</v>
      </c>
      <c r="D5" s="82">
        <v>45261</v>
      </c>
      <c r="E5" s="82">
        <f t="shared" ref="E5:E21" si="0">EDATE($D5,6)</f>
        <v>45444</v>
      </c>
      <c r="F5" s="82">
        <f t="shared" ref="F5:F21" si="1">EDATE(D5,12)</f>
        <v>45627</v>
      </c>
      <c r="G5" s="589">
        <v>10000</v>
      </c>
      <c r="H5" s="76">
        <v>0.55000000000000004</v>
      </c>
      <c r="I5" s="117">
        <f t="shared" ref="I5:I22" si="2">G5*H5</f>
        <v>5500</v>
      </c>
      <c r="J5" s="117">
        <f>(VTB_CaMau!D11)/(10^6)</f>
        <v>7265</v>
      </c>
      <c r="K5" s="77" t="s">
        <v>266</v>
      </c>
      <c r="L5" s="83" t="s">
        <v>171</v>
      </c>
      <c r="N5" s="1" t="s">
        <v>174</v>
      </c>
      <c r="P5" s="81">
        <v>250.30125000000001</v>
      </c>
      <c r="Q5" s="117">
        <f t="shared" ref="Q5:Q12" si="3">SUM(O5:P5)</f>
        <v>250.30125000000001</v>
      </c>
      <c r="R5" s="296">
        <f t="shared" ref="R5:R12" si="4">Q5/12</f>
        <v>20.858437500000001</v>
      </c>
      <c r="S5" s="1" t="s">
        <v>526</v>
      </c>
    </row>
    <row r="6" spans="1:19" x14ac:dyDescent="0.45">
      <c r="A6" s="80">
        <v>3</v>
      </c>
      <c r="B6" s="1" t="s">
        <v>146</v>
      </c>
      <c r="C6" s="1" t="str">
        <f t="shared" ref="C6:C8" si="5">B6</f>
        <v>Thanh Hóa</v>
      </c>
      <c r="D6" s="82">
        <v>45383</v>
      </c>
      <c r="E6" s="82">
        <f t="shared" si="0"/>
        <v>45566</v>
      </c>
      <c r="F6" s="82">
        <f t="shared" si="1"/>
        <v>45748</v>
      </c>
      <c r="G6" s="589">
        <v>26000</v>
      </c>
      <c r="H6" s="76">
        <v>0.6</v>
      </c>
      <c r="I6" s="117">
        <f t="shared" si="2"/>
        <v>15600</v>
      </c>
      <c r="J6" s="117">
        <f>('BIDV-THH'!D11)/(10^6)</f>
        <v>9027</v>
      </c>
      <c r="L6" s="83" t="s">
        <v>170</v>
      </c>
      <c r="N6" s="1" t="s">
        <v>174</v>
      </c>
      <c r="O6" s="1">
        <f>70</f>
        <v>70</v>
      </c>
      <c r="P6" s="81">
        <v>250.30125000000001</v>
      </c>
      <c r="Q6" s="117">
        <f t="shared" si="3"/>
        <v>320.30124999999998</v>
      </c>
      <c r="R6" s="296">
        <f t="shared" si="4"/>
        <v>26.691770833333333</v>
      </c>
      <c r="S6" s="1" t="s">
        <v>525</v>
      </c>
    </row>
    <row r="7" spans="1:19" x14ac:dyDescent="0.45">
      <c r="A7" s="80">
        <v>4</v>
      </c>
      <c r="B7" s="584" t="s">
        <v>148</v>
      </c>
      <c r="C7" s="1" t="str">
        <f t="shared" si="5"/>
        <v>Thái Nguyên</v>
      </c>
      <c r="D7" s="82">
        <v>45597</v>
      </c>
      <c r="E7" s="82">
        <f t="shared" si="0"/>
        <v>45778</v>
      </c>
      <c r="F7" s="82">
        <f t="shared" si="1"/>
        <v>45962</v>
      </c>
      <c r="G7" s="589">
        <v>21411</v>
      </c>
      <c r="H7" s="583">
        <v>0.95330000000000004</v>
      </c>
      <c r="I7" s="117">
        <f t="shared" si="2"/>
        <v>20411.106299999999</v>
      </c>
      <c r="J7" s="117">
        <f>(VTB_TNN!D10)/(10^6)</f>
        <v>9137.5</v>
      </c>
      <c r="K7" s="1" t="s">
        <v>688</v>
      </c>
      <c r="L7" s="83" t="s">
        <v>171</v>
      </c>
      <c r="N7" s="1" t="s">
        <v>174</v>
      </c>
      <c r="O7" s="1">
        <f>70</f>
        <v>70</v>
      </c>
      <c r="P7" s="81">
        <v>250.30125000000001</v>
      </c>
      <c r="Q7" s="117">
        <f t="shared" si="3"/>
        <v>320.30124999999998</v>
      </c>
      <c r="R7" s="296">
        <f t="shared" si="4"/>
        <v>26.691770833333333</v>
      </c>
      <c r="S7" s="1" t="s">
        <v>525</v>
      </c>
    </row>
    <row r="8" spans="1:19" x14ac:dyDescent="0.45">
      <c r="A8" s="80">
        <v>5</v>
      </c>
      <c r="B8" s="1" t="s">
        <v>149</v>
      </c>
      <c r="C8" s="1" t="str">
        <f t="shared" si="5"/>
        <v xml:space="preserve">Thái Bình </v>
      </c>
      <c r="D8" s="82">
        <v>45809</v>
      </c>
      <c r="E8" s="82">
        <f t="shared" si="0"/>
        <v>45992</v>
      </c>
      <c r="F8" s="82">
        <f t="shared" si="1"/>
        <v>46174</v>
      </c>
      <c r="G8" s="589">
        <v>21762</v>
      </c>
      <c r="H8" s="199">
        <v>0.72470361180038601</v>
      </c>
      <c r="I8" s="117">
        <f t="shared" si="2"/>
        <v>15771</v>
      </c>
      <c r="J8" s="117">
        <f>(VTB_TBH!D8)/(10^6)</f>
        <v>9162</v>
      </c>
      <c r="L8" s="83" t="s">
        <v>171</v>
      </c>
      <c r="N8" s="1" t="s">
        <v>174</v>
      </c>
      <c r="P8" s="81">
        <v>250.30125000000001</v>
      </c>
      <c r="Q8" s="117">
        <f t="shared" si="3"/>
        <v>250.30125000000001</v>
      </c>
      <c r="R8" s="296">
        <f t="shared" si="4"/>
        <v>20.858437500000001</v>
      </c>
      <c r="S8" s="1" t="s">
        <v>526</v>
      </c>
    </row>
    <row r="9" spans="1:19" x14ac:dyDescent="0.45">
      <c r="A9" s="80">
        <v>6</v>
      </c>
      <c r="B9" s="584" t="s">
        <v>151</v>
      </c>
      <c r="C9" s="1" t="s">
        <v>651</v>
      </c>
      <c r="D9" s="82">
        <v>45536</v>
      </c>
      <c r="E9" s="82">
        <f t="shared" si="0"/>
        <v>45717</v>
      </c>
      <c r="F9" s="82">
        <f t="shared" si="1"/>
        <v>45901</v>
      </c>
      <c r="G9" s="590">
        <v>29183.908713000001</v>
      </c>
      <c r="H9" s="78">
        <v>1</v>
      </c>
      <c r="I9" s="117">
        <f t="shared" si="2"/>
        <v>29183.908713000001</v>
      </c>
      <c r="J9" s="117">
        <f>('VTB_YẾT KIÊU'!D9)/(10^6)</f>
        <v>12264</v>
      </c>
      <c r="K9" s="1" t="s">
        <v>688</v>
      </c>
      <c r="L9" s="83" t="s">
        <v>171</v>
      </c>
      <c r="N9" s="1" t="s">
        <v>174</v>
      </c>
      <c r="O9" s="1">
        <f>70</f>
        <v>70</v>
      </c>
      <c r="P9" s="81">
        <v>250.30125000000001</v>
      </c>
      <c r="Q9" s="117">
        <f t="shared" si="3"/>
        <v>320.30124999999998</v>
      </c>
      <c r="R9" s="296">
        <f t="shared" si="4"/>
        <v>26.691770833333333</v>
      </c>
      <c r="S9" s="1" t="s">
        <v>526</v>
      </c>
    </row>
    <row r="10" spans="1:19" x14ac:dyDescent="0.45">
      <c r="A10" s="80">
        <v>7</v>
      </c>
      <c r="B10" s="584" t="s">
        <v>153</v>
      </c>
      <c r="C10" s="1" t="s">
        <v>651</v>
      </c>
      <c r="D10" s="82">
        <v>45536</v>
      </c>
      <c r="E10" s="82">
        <f t="shared" si="0"/>
        <v>45717</v>
      </c>
      <c r="F10" s="82">
        <f t="shared" si="1"/>
        <v>45901</v>
      </c>
      <c r="G10" s="590">
        <v>27638.922366759998</v>
      </c>
      <c r="H10" s="78">
        <v>1</v>
      </c>
      <c r="I10" s="117">
        <f t="shared" si="2"/>
        <v>27638.922366759998</v>
      </c>
      <c r="J10" s="117">
        <f>('VTB_Nha trang.'!D9)/(10^6)</f>
        <v>12184</v>
      </c>
      <c r="K10" s="1" t="s">
        <v>688</v>
      </c>
      <c r="L10" s="83" t="s">
        <v>171</v>
      </c>
      <c r="N10" s="1" t="s">
        <v>174</v>
      </c>
      <c r="O10" s="1">
        <f>70</f>
        <v>70</v>
      </c>
      <c r="P10" s="81">
        <v>250.30125000000001</v>
      </c>
      <c r="Q10" s="117">
        <f t="shared" si="3"/>
        <v>320.30124999999998</v>
      </c>
      <c r="R10" s="296">
        <f t="shared" si="4"/>
        <v>26.691770833333333</v>
      </c>
      <c r="S10" s="1" t="s">
        <v>526</v>
      </c>
    </row>
    <row r="11" spans="1:19" x14ac:dyDescent="0.45">
      <c r="A11" s="80">
        <v>8</v>
      </c>
      <c r="B11" s="1" t="s">
        <v>154</v>
      </c>
      <c r="C11" s="1" t="s">
        <v>651</v>
      </c>
      <c r="D11" s="82">
        <v>45901</v>
      </c>
      <c r="E11" s="82">
        <f t="shared" si="0"/>
        <v>46082</v>
      </c>
      <c r="F11" s="82">
        <f t="shared" si="1"/>
        <v>46266</v>
      </c>
      <c r="G11" s="593">
        <f>4167703812/10^6</f>
        <v>4167.7038119999997</v>
      </c>
      <c r="H11" s="78">
        <v>1</v>
      </c>
      <c r="I11" s="117">
        <f t="shared" si="2"/>
        <v>4167.7038119999997</v>
      </c>
      <c r="J11" s="117"/>
      <c r="K11" s="1" t="s">
        <v>152</v>
      </c>
      <c r="N11" s="1" t="s">
        <v>174</v>
      </c>
      <c r="O11" s="1">
        <f>70</f>
        <v>70</v>
      </c>
      <c r="Q11" s="117">
        <f t="shared" si="3"/>
        <v>70</v>
      </c>
      <c r="R11" s="296">
        <f t="shared" si="4"/>
        <v>5.833333333333333</v>
      </c>
      <c r="S11" s="1" t="s">
        <v>526</v>
      </c>
    </row>
    <row r="12" spans="1:19" x14ac:dyDescent="0.45">
      <c r="A12" s="80">
        <v>9</v>
      </c>
      <c r="B12" s="1" t="s">
        <v>155</v>
      </c>
      <c r="C12" s="1" t="s">
        <v>651</v>
      </c>
      <c r="D12" s="82">
        <v>45962</v>
      </c>
      <c r="E12" s="82">
        <f t="shared" si="0"/>
        <v>46143</v>
      </c>
      <c r="F12" s="82">
        <f t="shared" si="1"/>
        <v>46327</v>
      </c>
      <c r="G12" s="591">
        <v>9100</v>
      </c>
      <c r="H12" s="78">
        <v>0.63736263736263732</v>
      </c>
      <c r="I12" s="117">
        <f t="shared" si="2"/>
        <v>5800</v>
      </c>
      <c r="J12" s="117"/>
      <c r="K12" s="1" t="s">
        <v>152</v>
      </c>
      <c r="M12" s="1" t="s">
        <v>169</v>
      </c>
      <c r="N12" s="1" t="s">
        <v>174</v>
      </c>
      <c r="P12" s="81">
        <v>250.30125000000001</v>
      </c>
      <c r="Q12" s="117">
        <f t="shared" si="3"/>
        <v>250.30125000000001</v>
      </c>
      <c r="R12" s="296">
        <f t="shared" si="4"/>
        <v>20.858437500000001</v>
      </c>
      <c r="S12" s="1" t="s">
        <v>526</v>
      </c>
    </row>
    <row r="13" spans="1:19" ht="28.5" x14ac:dyDescent="0.45">
      <c r="A13" s="80">
        <v>10</v>
      </c>
      <c r="B13" s="585" t="s">
        <v>672</v>
      </c>
      <c r="C13" s="1" t="s">
        <v>149</v>
      </c>
      <c r="D13" s="82">
        <v>44568</v>
      </c>
      <c r="E13" s="82">
        <f t="shared" si="0"/>
        <v>44749</v>
      </c>
      <c r="F13" s="82">
        <f t="shared" si="1"/>
        <v>44933</v>
      </c>
      <c r="G13" s="587">
        <v>15287.588100000001</v>
      </c>
      <c r="H13" s="78">
        <v>0.23</v>
      </c>
      <c r="I13" s="117">
        <f t="shared" si="2"/>
        <v>3516.1452630000003</v>
      </c>
      <c r="J13" s="117"/>
      <c r="K13" s="1" t="s">
        <v>157</v>
      </c>
    </row>
    <row r="14" spans="1:19" x14ac:dyDescent="0.45">
      <c r="A14" s="80">
        <v>11</v>
      </c>
      <c r="B14" s="1" t="s">
        <v>158</v>
      </c>
      <c r="C14" s="1" t="s">
        <v>653</v>
      </c>
      <c r="D14" s="82">
        <v>44930</v>
      </c>
      <c r="E14" s="82">
        <f t="shared" si="0"/>
        <v>45111</v>
      </c>
      <c r="F14" s="82">
        <f t="shared" si="1"/>
        <v>45295</v>
      </c>
      <c r="G14" s="587">
        <v>1600</v>
      </c>
      <c r="H14" s="76">
        <v>0.375</v>
      </c>
      <c r="I14" s="117">
        <f t="shared" si="2"/>
        <v>600</v>
      </c>
      <c r="J14" s="117"/>
      <c r="K14" s="1" t="s">
        <v>157</v>
      </c>
    </row>
    <row r="15" spans="1:19" x14ac:dyDescent="0.45">
      <c r="A15" s="80">
        <v>12</v>
      </c>
      <c r="B15" s="1" t="s">
        <v>159</v>
      </c>
      <c r="C15" s="1" t="s">
        <v>654</v>
      </c>
      <c r="D15" s="82">
        <v>45146</v>
      </c>
      <c r="E15" s="82">
        <f t="shared" si="0"/>
        <v>45330</v>
      </c>
      <c r="F15" s="82">
        <f t="shared" si="1"/>
        <v>45512</v>
      </c>
      <c r="G15" s="587">
        <v>25100</v>
      </c>
      <c r="H15" s="78">
        <v>0.2</v>
      </c>
      <c r="I15" s="117">
        <f t="shared" si="2"/>
        <v>5020</v>
      </c>
      <c r="J15" s="117"/>
      <c r="K15" s="1" t="s">
        <v>160</v>
      </c>
    </row>
    <row r="16" spans="1:19" x14ac:dyDescent="0.45">
      <c r="A16" s="80">
        <v>13</v>
      </c>
      <c r="B16" s="1" t="s">
        <v>161</v>
      </c>
      <c r="C16" s="1" t="s">
        <v>651</v>
      </c>
      <c r="D16" s="82">
        <v>45256</v>
      </c>
      <c r="E16" s="82">
        <f t="shared" si="0"/>
        <v>45438</v>
      </c>
      <c r="F16" s="82">
        <f t="shared" si="1"/>
        <v>45622</v>
      </c>
      <c r="G16" s="587">
        <v>1657.35</v>
      </c>
      <c r="H16" s="78">
        <v>0.5</v>
      </c>
      <c r="I16" s="117">
        <f t="shared" si="2"/>
        <v>828.67499999999995</v>
      </c>
      <c r="J16" s="117"/>
      <c r="K16" s="1" t="s">
        <v>157</v>
      </c>
    </row>
    <row r="17" spans="1:19" x14ac:dyDescent="0.45">
      <c r="A17" s="80">
        <v>14</v>
      </c>
      <c r="B17" s="1" t="s">
        <v>162</v>
      </c>
      <c r="C17" s="1" t="s">
        <v>146</v>
      </c>
      <c r="D17" s="82">
        <v>45231</v>
      </c>
      <c r="E17" s="82">
        <f t="shared" si="0"/>
        <v>45413</v>
      </c>
      <c r="F17" s="82">
        <f t="shared" si="1"/>
        <v>45597</v>
      </c>
      <c r="G17" s="587">
        <v>4731.5429999999997</v>
      </c>
      <c r="H17" s="78">
        <v>0.5</v>
      </c>
      <c r="I17" s="117">
        <f t="shared" si="2"/>
        <v>2365.7714999999998</v>
      </c>
      <c r="J17" s="117"/>
      <c r="K17" s="1" t="s">
        <v>160</v>
      </c>
    </row>
    <row r="18" spans="1:19" x14ac:dyDescent="0.45">
      <c r="A18" s="80">
        <v>15</v>
      </c>
      <c r="B18" s="1" t="s">
        <v>163</v>
      </c>
      <c r="C18" s="1" t="s">
        <v>652</v>
      </c>
      <c r="D18" s="82">
        <v>44566</v>
      </c>
      <c r="E18" s="82">
        <f t="shared" si="0"/>
        <v>44747</v>
      </c>
      <c r="F18" s="82">
        <f t="shared" si="1"/>
        <v>44931</v>
      </c>
      <c r="G18" s="587">
        <v>770</v>
      </c>
      <c r="H18" s="78">
        <v>0.7</v>
      </c>
      <c r="I18" s="117">
        <f t="shared" si="2"/>
        <v>539</v>
      </c>
      <c r="J18" s="117"/>
      <c r="K18" s="1" t="s">
        <v>157</v>
      </c>
    </row>
    <row r="19" spans="1:19" x14ac:dyDescent="0.45">
      <c r="A19" s="80">
        <v>16</v>
      </c>
      <c r="B19" s="1" t="s">
        <v>164</v>
      </c>
      <c r="C19" s="1" t="s">
        <v>652</v>
      </c>
      <c r="D19" s="82">
        <v>45145</v>
      </c>
      <c r="E19" s="82">
        <f t="shared" si="0"/>
        <v>45329</v>
      </c>
      <c r="F19" s="82">
        <f t="shared" si="1"/>
        <v>45511</v>
      </c>
      <c r="G19" s="587">
        <v>5500</v>
      </c>
      <c r="H19" s="78">
        <v>0.15</v>
      </c>
      <c r="I19" s="117">
        <f t="shared" si="2"/>
        <v>825</v>
      </c>
      <c r="J19" s="117"/>
      <c r="K19" s="1" t="s">
        <v>157</v>
      </c>
    </row>
    <row r="20" spans="1:19" x14ac:dyDescent="0.45">
      <c r="A20" s="80">
        <v>17</v>
      </c>
      <c r="B20" s="1" t="s">
        <v>165</v>
      </c>
      <c r="C20" s="1" t="s">
        <v>165</v>
      </c>
      <c r="D20" s="82">
        <v>46054</v>
      </c>
      <c r="E20" s="82">
        <f t="shared" si="0"/>
        <v>46235</v>
      </c>
      <c r="F20" s="82">
        <f t="shared" si="1"/>
        <v>46419</v>
      </c>
      <c r="G20" s="588">
        <v>28860</v>
      </c>
      <c r="H20" s="76">
        <v>0.67079999999999995</v>
      </c>
      <c r="I20" s="117">
        <f t="shared" si="2"/>
        <v>19359.287999999997</v>
      </c>
      <c r="J20" s="117"/>
      <c r="K20" s="77" t="s">
        <v>166</v>
      </c>
      <c r="L20" s="1" t="s">
        <v>171</v>
      </c>
      <c r="M20" s="1" t="s">
        <v>169</v>
      </c>
      <c r="N20" s="1" t="s">
        <v>175</v>
      </c>
      <c r="S20" s="1" t="s">
        <v>525</v>
      </c>
    </row>
    <row r="21" spans="1:19" x14ac:dyDescent="0.45">
      <c r="A21" s="80">
        <v>18</v>
      </c>
      <c r="B21" s="1" t="s">
        <v>454</v>
      </c>
      <c r="C21" s="1" t="s">
        <v>655</v>
      </c>
      <c r="D21" s="82">
        <v>46054</v>
      </c>
      <c r="E21" s="82">
        <f t="shared" si="0"/>
        <v>46235</v>
      </c>
      <c r="F21" s="82">
        <f t="shared" si="1"/>
        <v>46419</v>
      </c>
      <c r="G21" s="582"/>
      <c r="H21" s="78">
        <v>0.60299999999999998</v>
      </c>
      <c r="I21" s="117">
        <f t="shared" si="2"/>
        <v>0</v>
      </c>
      <c r="J21" s="117"/>
      <c r="S21" s="1" t="s">
        <v>525</v>
      </c>
    </row>
    <row r="22" spans="1:19" x14ac:dyDescent="0.45">
      <c r="A22" s="80">
        <v>19</v>
      </c>
      <c r="B22" s="1" t="s">
        <v>462</v>
      </c>
      <c r="C22" s="1" t="s">
        <v>656</v>
      </c>
      <c r="G22" s="586">
        <v>22000</v>
      </c>
      <c r="H22" s="78">
        <v>0.2</v>
      </c>
      <c r="I22" s="117">
        <f t="shared" si="2"/>
        <v>4400</v>
      </c>
      <c r="J22" s="117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1A04-21F5-4542-BD76-724AF0DF68EF}">
  <sheetPr>
    <tabColor rgb="FF194BCF"/>
  </sheetPr>
  <dimension ref="B3:W133"/>
  <sheetViews>
    <sheetView zoomScale="160" zoomScaleNormal="160" workbookViewId="0">
      <pane xSplit="5" ySplit="9" topLeftCell="F13" activePane="bottomRight" state="frozen"/>
      <selection activeCell="I1" sqref="I1:I5"/>
      <selection pane="topRight" activeCell="I1" sqref="I1:I5"/>
      <selection pane="bottomLeft" activeCell="I1" sqref="I1:I5"/>
      <selection pane="bottomRight" activeCell="I103" sqref="I103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24.59765625" style="2" customWidth="1"/>
    <col min="6" max="6" width="8.265625" style="2" customWidth="1" outlineLevel="1"/>
    <col min="7" max="7" width="8.1328125" style="2" bestFit="1" customWidth="1" outlineLevel="1"/>
    <col min="8" max="8" width="10" style="2" bestFit="1" customWidth="1" outlineLevel="1"/>
    <col min="9" max="9" width="10.1328125" style="2" bestFit="1" customWidth="1" outlineLevel="1"/>
    <col min="10" max="11" width="7.59765625" style="2" customWidth="1" outlineLevel="1"/>
    <col min="12" max="12" width="8.1328125" style="2" bestFit="1" customWidth="1" outlineLevel="1"/>
    <col min="13" max="14" width="7.59765625" style="2" customWidth="1" outlineLevel="1"/>
    <col min="15" max="15" width="8.1328125" style="2" bestFit="1" customWidth="1" outlineLevel="1"/>
    <col min="16" max="17" width="7.59765625" style="2" customWidth="1" outlineLevel="1"/>
    <col min="18" max="18" width="11.265625" style="2" customWidth="1"/>
    <col min="19" max="19" width="18.59765625" style="2" customWidth="1"/>
    <col min="20" max="20" width="11.3984375" style="2" customWidth="1"/>
    <col min="21" max="21" width="12.86328125" style="2" customWidth="1"/>
    <col min="22" max="22" width="13.1328125" style="2" customWidth="1"/>
    <col min="23" max="16384" width="9.1328125" style="2"/>
  </cols>
  <sheetData>
    <row r="3" spans="2:23" x14ac:dyDescent="0.35">
      <c r="H3" s="60"/>
    </row>
    <row r="4" spans="2:23" x14ac:dyDescent="0.35">
      <c r="B4" s="2" t="s">
        <v>25</v>
      </c>
    </row>
    <row r="6" spans="2:23" x14ac:dyDescent="0.35">
      <c r="B6" s="27" t="s">
        <v>718</v>
      </c>
    </row>
    <row r="7" spans="2:23" s="6" customFormat="1" x14ac:dyDescent="0.35"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</row>
    <row r="8" spans="2:23" x14ac:dyDescent="0.35">
      <c r="B8" s="32" t="s">
        <v>212</v>
      </c>
      <c r="F8" s="32"/>
    </row>
    <row r="9" spans="2:23" ht="13.5" x14ac:dyDescent="0.35">
      <c r="B9" s="45" t="s">
        <v>101</v>
      </c>
      <c r="F9" s="61">
        <v>1</v>
      </c>
      <c r="G9" s="61">
        <v>2</v>
      </c>
      <c r="H9" s="61">
        <v>3</v>
      </c>
      <c r="I9" s="61">
        <v>4</v>
      </c>
      <c r="J9" s="61">
        <v>5</v>
      </c>
      <c r="K9" s="61">
        <v>6</v>
      </c>
      <c r="L9" s="61">
        <v>7</v>
      </c>
      <c r="M9" s="61">
        <v>8</v>
      </c>
      <c r="N9" s="61">
        <v>9</v>
      </c>
      <c r="O9" s="61">
        <v>10</v>
      </c>
      <c r="P9" s="61">
        <v>11</v>
      </c>
      <c r="Q9" s="61">
        <v>12</v>
      </c>
      <c r="R9" s="247" t="s">
        <v>333</v>
      </c>
      <c r="S9" s="612"/>
      <c r="T9" s="32"/>
      <c r="U9" s="32"/>
      <c r="V9" s="6"/>
      <c r="W9" s="73"/>
    </row>
    <row r="10" spans="2:23" x14ac:dyDescent="0.35">
      <c r="B10" s="27" t="s">
        <v>681</v>
      </c>
      <c r="D10" s="6"/>
      <c r="F10" s="218">
        <f>SUBTOTAL(9,F11:F24)</f>
        <v>3475.5695597510967</v>
      </c>
      <c r="G10" s="218">
        <f>SUBTOTAL(9,G11:G24)</f>
        <v>2732.1927994678949</v>
      </c>
      <c r="H10" s="218">
        <f t="shared" ref="H10:Q10" si="0">SUBTOTAL(9,H11:H24)</f>
        <v>8054.913433751919</v>
      </c>
      <c r="I10" s="218">
        <f t="shared" si="0"/>
        <v>8140.7016966675974</v>
      </c>
      <c r="J10" s="218">
        <f t="shared" si="0"/>
        <v>8242.5590108236302</v>
      </c>
      <c r="K10" s="218">
        <f t="shared" si="0"/>
        <v>8467.4559225263711</v>
      </c>
      <c r="L10" s="218">
        <f t="shared" si="0"/>
        <v>8516.9161381484755</v>
      </c>
      <c r="M10" s="218">
        <f t="shared" si="0"/>
        <v>8485.0070663463011</v>
      </c>
      <c r="N10" s="218">
        <f t="shared" si="0"/>
        <v>8580.79088660042</v>
      </c>
      <c r="O10" s="218">
        <f t="shared" si="0"/>
        <v>8576.7019691561236</v>
      </c>
      <c r="P10" s="218">
        <f t="shared" si="0"/>
        <v>8716.0197120445355</v>
      </c>
      <c r="Q10" s="218">
        <f t="shared" si="0"/>
        <v>8715.6427952311406</v>
      </c>
      <c r="R10" s="257">
        <f>SUM(F10:Q10)</f>
        <v>90704.470990515503</v>
      </c>
      <c r="S10" s="201"/>
    </row>
    <row r="11" spans="2:23" outlineLevel="1" x14ac:dyDescent="0.35">
      <c r="B11" s="27"/>
      <c r="C11" s="2" t="s">
        <v>147</v>
      </c>
      <c r="D11" s="6"/>
      <c r="F11" s="62">
        <v>655.8</v>
      </c>
      <c r="G11" s="295">
        <v>548.95000000000005</v>
      </c>
      <c r="H11" s="62">
        <f>'HaiDuong-2'!I49</f>
        <v>1186.373950617284</v>
      </c>
      <c r="I11" s="62">
        <f>'HaiDuong-2'!J49</f>
        <v>1186.373950617284</v>
      </c>
      <c r="J11" s="62">
        <f>'HaiDuong-2'!K49</f>
        <v>1186.373950617284</v>
      </c>
      <c r="K11" s="62">
        <f>'HaiDuong-2'!L49</f>
        <v>1186.373950617284</v>
      </c>
      <c r="L11" s="62">
        <f>'HaiDuong-2'!M49</f>
        <v>1186.373950617284</v>
      </c>
      <c r="M11" s="62">
        <f>'HaiDuong-2'!N49</f>
        <v>1186.373950617284</v>
      </c>
      <c r="N11" s="62">
        <f>'HaiDuong-2'!O49</f>
        <v>1186.373950617284</v>
      </c>
      <c r="O11" s="62">
        <f>'HaiDuong-2'!P49</f>
        <v>1186.373950617284</v>
      </c>
      <c r="P11" s="62">
        <f>'HaiDuong-2'!Q49</f>
        <v>1186.373950617284</v>
      </c>
      <c r="Q11" s="62">
        <f>'HaiDuong-2'!R49</f>
        <v>1186.373950617284</v>
      </c>
      <c r="R11" s="249">
        <f t="shared" ref="R11:R24" si="1">SUM(F11:Q11)</f>
        <v>13068.489506172842</v>
      </c>
    </row>
    <row r="12" spans="2:23" outlineLevel="1" x14ac:dyDescent="0.35">
      <c r="B12" s="27"/>
      <c r="C12" s="2" t="s">
        <v>150</v>
      </c>
      <c r="D12" s="6"/>
      <c r="F12" s="62">
        <v>406.14757900000001</v>
      </c>
      <c r="G12" s="295">
        <v>337</v>
      </c>
      <c r="H12" s="62">
        <f>'CaMau-2'!I49</f>
        <v>652.5</v>
      </c>
      <c r="I12" s="62">
        <f>'CaMau-2'!J49</f>
        <v>652.5</v>
      </c>
      <c r="J12" s="62">
        <f>'CaMau-2'!K49</f>
        <v>652.5</v>
      </c>
      <c r="K12" s="62">
        <f>'CaMau-2'!L49</f>
        <v>652.5</v>
      </c>
      <c r="L12" s="62">
        <f>'CaMau-2'!M49</f>
        <v>652.5</v>
      </c>
      <c r="M12" s="62">
        <f>'CaMau-2'!N49</f>
        <v>652.5</v>
      </c>
      <c r="N12" s="62">
        <f>'CaMau-2'!O49</f>
        <v>652.5</v>
      </c>
      <c r="O12" s="62">
        <f>'CaMau-2'!P49</f>
        <v>652.5</v>
      </c>
      <c r="P12" s="62">
        <f>'CaMau-2'!Q49</f>
        <v>652.5</v>
      </c>
      <c r="Q12" s="62">
        <f>'CaMau-2'!R49</f>
        <v>652.5</v>
      </c>
      <c r="R12" s="249">
        <f t="shared" si="1"/>
        <v>7268.1475790000004</v>
      </c>
    </row>
    <row r="13" spans="2:23" outlineLevel="1" x14ac:dyDescent="0.35">
      <c r="B13" s="27"/>
      <c r="C13" s="2" t="s">
        <v>146</v>
      </c>
      <c r="D13" s="6"/>
      <c r="F13" s="62">
        <v>289.36</v>
      </c>
      <c r="G13" s="295">
        <v>128.47</v>
      </c>
      <c r="H13" s="62">
        <f>'ThanhHoa-2'!I49</f>
        <v>1045</v>
      </c>
      <c r="I13" s="62">
        <f>'ThanhHoa-2'!J49</f>
        <v>1045</v>
      </c>
      <c r="J13" s="62">
        <f>'ThanhHoa-2'!K49</f>
        <v>1045</v>
      </c>
      <c r="K13" s="62">
        <f>'ThanhHoa-2'!L49</f>
        <v>1045</v>
      </c>
      <c r="L13" s="62">
        <f>'ThanhHoa-2'!M49</f>
        <v>1045</v>
      </c>
      <c r="M13" s="62">
        <f>'ThanhHoa-2'!N49</f>
        <v>1045</v>
      </c>
      <c r="N13" s="62">
        <f>'ThanhHoa-2'!O49</f>
        <v>1045</v>
      </c>
      <c r="O13" s="62">
        <f>'ThanhHoa-2'!P49</f>
        <v>1045</v>
      </c>
      <c r="P13" s="62">
        <f>'ThanhHoa-2'!Q49</f>
        <v>1045</v>
      </c>
      <c r="Q13" s="62">
        <f>'ThanhHoa-2'!R49</f>
        <v>1045</v>
      </c>
      <c r="R13" s="249">
        <f t="shared" si="1"/>
        <v>10867.83</v>
      </c>
    </row>
    <row r="14" spans="2:23" outlineLevel="1" x14ac:dyDescent="0.35">
      <c r="B14" s="27"/>
      <c r="C14" s="2" t="s">
        <v>148</v>
      </c>
      <c r="D14" s="6"/>
      <c r="F14" s="62">
        <v>350.25685399999998</v>
      </c>
      <c r="G14" s="295">
        <v>201.32</v>
      </c>
      <c r="H14" s="62">
        <f>ThaiNguyen2!I36</f>
        <v>933</v>
      </c>
      <c r="I14" s="62">
        <f>ThaiNguyen2!J36</f>
        <v>933</v>
      </c>
      <c r="J14" s="62">
        <f>ThaiNguyen2!K36</f>
        <v>933</v>
      </c>
      <c r="K14" s="62">
        <f>ThaiNguyen2!L36</f>
        <v>933</v>
      </c>
      <c r="L14" s="62">
        <f>ThaiNguyen2!M36</f>
        <v>933</v>
      </c>
      <c r="M14" s="62">
        <f>ThaiNguyen2!N36</f>
        <v>933</v>
      </c>
      <c r="N14" s="62">
        <f>ThaiNguyen2!O36</f>
        <v>933</v>
      </c>
      <c r="O14" s="62">
        <f>ThaiNguyen2!P36</f>
        <v>933</v>
      </c>
      <c r="P14" s="62">
        <f>ThaiNguyen2!Q36</f>
        <v>933</v>
      </c>
      <c r="Q14" s="62">
        <f>ThaiNguyen2!R36</f>
        <v>933</v>
      </c>
      <c r="R14" s="249">
        <f t="shared" si="1"/>
        <v>9881.576853999999</v>
      </c>
    </row>
    <row r="15" spans="2:23" outlineLevel="1" x14ac:dyDescent="0.35">
      <c r="B15" s="27"/>
      <c r="C15" s="2" t="s">
        <v>327</v>
      </c>
      <c r="D15" s="6"/>
      <c r="F15" s="62">
        <v>267.10000000000002</v>
      </c>
      <c r="G15" s="295">
        <v>194.32</v>
      </c>
      <c r="H15" s="62">
        <f>ThaiBinh2!I27</f>
        <v>482</v>
      </c>
      <c r="I15" s="62">
        <f>ThaiBinh2!J27</f>
        <v>482</v>
      </c>
      <c r="J15" s="62">
        <f>ThaiBinh2!K27</f>
        <v>482</v>
      </c>
      <c r="K15" s="62">
        <f>ThaiBinh2!L27</f>
        <v>762</v>
      </c>
      <c r="L15" s="62">
        <f>ThaiBinh2!M27</f>
        <v>762</v>
      </c>
      <c r="M15" s="62">
        <f>ThaiBinh2!N27</f>
        <v>762</v>
      </c>
      <c r="N15" s="62">
        <f>ThaiBinh2!O27</f>
        <v>762</v>
      </c>
      <c r="O15" s="62">
        <f>ThaiBinh2!P27</f>
        <v>762</v>
      </c>
      <c r="P15" s="62">
        <f>ThaiBinh2!Q27</f>
        <v>762</v>
      </c>
      <c r="Q15" s="62">
        <f>ThaiBinh2!R27</f>
        <v>762</v>
      </c>
      <c r="R15" s="249">
        <f t="shared" si="1"/>
        <v>7241.42</v>
      </c>
    </row>
    <row r="16" spans="2:23" outlineLevel="1" x14ac:dyDescent="0.35">
      <c r="B16" s="27"/>
      <c r="C16" s="2" t="s">
        <v>151</v>
      </c>
      <c r="D16" s="6"/>
      <c r="F16" s="62">
        <v>614.65000000000009</v>
      </c>
      <c r="G16" s="295">
        <v>363.29</v>
      </c>
      <c r="H16" s="62">
        <f>'YetKieu-2'!I49</f>
        <v>1525.8188405797102</v>
      </c>
      <c r="I16" s="62">
        <f>'YetKieu-2'!J49</f>
        <v>1525.8188405797102</v>
      </c>
      <c r="J16" s="62">
        <f>'YetKieu-2'!K49</f>
        <v>1525.8188405797102</v>
      </c>
      <c r="K16" s="62">
        <f>'YetKieu-2'!L49</f>
        <v>1525.8188405797102</v>
      </c>
      <c r="L16" s="62">
        <f>'YetKieu-2'!M49</f>
        <v>1525.8188405797102</v>
      </c>
      <c r="M16" s="62">
        <f>'YetKieu-2'!N49</f>
        <v>1525.8188405797102</v>
      </c>
      <c r="N16" s="62">
        <f>'YetKieu-2'!O49</f>
        <v>1525.8188405797102</v>
      </c>
      <c r="O16" s="62">
        <f>'YetKieu-2'!P49</f>
        <v>1525.8188405797102</v>
      </c>
      <c r="P16" s="62">
        <f>'YetKieu-2'!Q49</f>
        <v>1525.8188405797102</v>
      </c>
      <c r="Q16" s="62">
        <f>'YetKieu-2'!R49</f>
        <v>1525.8188405797102</v>
      </c>
      <c r="R16" s="249">
        <f t="shared" si="1"/>
        <v>16236.128405797101</v>
      </c>
    </row>
    <row r="17" spans="2:23" outlineLevel="1" x14ac:dyDescent="0.35">
      <c r="B17" s="27"/>
      <c r="C17" s="2" t="s">
        <v>153</v>
      </c>
      <c r="D17" s="6"/>
      <c r="F17" s="62">
        <v>594.62</v>
      </c>
      <c r="G17" s="295">
        <v>398.15</v>
      </c>
      <c r="H17" s="62">
        <f>'NhaTrang-2'!I49</f>
        <v>1278</v>
      </c>
      <c r="I17" s="62">
        <f>'NhaTrang-2'!J49</f>
        <v>1278</v>
      </c>
      <c r="J17" s="62">
        <f>'NhaTrang-2'!K49</f>
        <v>1278</v>
      </c>
      <c r="K17" s="62">
        <f>'NhaTrang-2'!L49</f>
        <v>1278</v>
      </c>
      <c r="L17" s="62">
        <f>'NhaTrang-2'!M49</f>
        <v>1278</v>
      </c>
      <c r="M17" s="62">
        <f>'NhaTrang-2'!N49</f>
        <v>1278</v>
      </c>
      <c r="N17" s="62">
        <f>'NhaTrang-2'!O49</f>
        <v>1278</v>
      </c>
      <c r="O17" s="62">
        <f>'NhaTrang-2'!P49</f>
        <v>1278</v>
      </c>
      <c r="P17" s="62">
        <f>'NhaTrang-2'!Q49</f>
        <v>1278</v>
      </c>
      <c r="Q17" s="62">
        <f>'NhaTrang-2'!R49</f>
        <v>1278</v>
      </c>
      <c r="R17" s="249">
        <f t="shared" si="1"/>
        <v>13772.77</v>
      </c>
    </row>
    <row r="18" spans="2:23" outlineLevel="1" x14ac:dyDescent="0.35">
      <c r="B18" s="27"/>
      <c r="C18" s="2" t="s">
        <v>154</v>
      </c>
      <c r="D18" s="6"/>
      <c r="F18" s="62">
        <v>175.72</v>
      </c>
      <c r="G18" s="295">
        <v>154.6</v>
      </c>
      <c r="H18" s="62">
        <f>'ThachThat (2)'!H12</f>
        <v>273</v>
      </c>
      <c r="I18" s="62">
        <f>'ThachThat (2)'!I12</f>
        <v>273</v>
      </c>
      <c r="J18" s="62">
        <f>'ThachThat (2)'!J12</f>
        <v>273</v>
      </c>
      <c r="K18" s="62">
        <f>'ThachThat (2)'!K12</f>
        <v>273</v>
      </c>
      <c r="L18" s="62">
        <f>'ThachThat (2)'!L12</f>
        <v>273</v>
      </c>
      <c r="M18" s="62">
        <f>'ThachThat (2)'!M12</f>
        <v>273</v>
      </c>
      <c r="N18" s="62">
        <f>'ThachThat (2)'!N12</f>
        <v>273</v>
      </c>
      <c r="O18" s="62">
        <f>'ThachThat (2)'!O12</f>
        <v>273</v>
      </c>
      <c r="P18" s="62">
        <f>'ThachThat (2)'!P12</f>
        <v>273</v>
      </c>
      <c r="Q18" s="62">
        <f>'ThachThat (2)'!Q12</f>
        <v>273</v>
      </c>
      <c r="R18" s="249">
        <f t="shared" si="1"/>
        <v>3060.3199999999997</v>
      </c>
    </row>
    <row r="19" spans="2:23" outlineLevel="1" x14ac:dyDescent="0.35">
      <c r="B19" s="27"/>
      <c r="C19" s="2" t="s">
        <v>155</v>
      </c>
      <c r="D19" s="6"/>
      <c r="F19" s="62">
        <v>70.95</v>
      </c>
      <c r="G19" s="295">
        <v>57.6</v>
      </c>
      <c r="H19" s="62">
        <f>SocSon!I22</f>
        <v>176</v>
      </c>
      <c r="I19" s="62">
        <f>SocSon!J22</f>
        <v>154</v>
      </c>
      <c r="J19" s="62">
        <f>SocSon!K22</f>
        <v>244.20000000000002</v>
      </c>
      <c r="K19" s="62">
        <f>SocSon!L22</f>
        <v>244.20000000000002</v>
      </c>
      <c r="L19" s="62">
        <f>SocSon!M22</f>
        <v>244.20000000000002</v>
      </c>
      <c r="M19" s="62">
        <f>SocSon!N22</f>
        <v>244.20000000000002</v>
      </c>
      <c r="N19" s="62">
        <f>SocSon!O22</f>
        <v>244.20000000000002</v>
      </c>
      <c r="O19" s="62">
        <f>SocSon!P22</f>
        <v>244.20000000000002</v>
      </c>
      <c r="P19" s="62">
        <f>SocSon!Q22</f>
        <v>378.40000000000003</v>
      </c>
      <c r="Q19" s="62">
        <f>SocSon!R22</f>
        <v>378.40000000000003</v>
      </c>
      <c r="R19" s="249">
        <f t="shared" si="1"/>
        <v>2680.55</v>
      </c>
    </row>
    <row r="20" spans="2:23" outlineLevel="1" x14ac:dyDescent="0.35">
      <c r="B20" s="27"/>
      <c r="C20" s="2" t="s">
        <v>326</v>
      </c>
      <c r="D20" s="6"/>
      <c r="F20" s="62">
        <v>50.965126751097216</v>
      </c>
      <c r="G20" s="62">
        <f>'Site liên kết'!G20</f>
        <v>323.20794946789511</v>
      </c>
      <c r="H20" s="62">
        <f>'Site liên kết'!H20</f>
        <v>386.49842033270227</v>
      </c>
      <c r="I20" s="62">
        <f>'Site liên kết'!I20</f>
        <v>365.54594250764046</v>
      </c>
      <c r="J20" s="62">
        <f>'Site liên kết'!J20</f>
        <v>345.72177518219115</v>
      </c>
      <c r="K20" s="62">
        <f>'Site liên kết'!K20</f>
        <v>291.87794614419295</v>
      </c>
      <c r="L20" s="62">
        <f>'Site liên kết'!L20</f>
        <v>298.74186546999999</v>
      </c>
      <c r="M20" s="62">
        <f>'Site liên kết'!M20</f>
        <v>266.83279366782597</v>
      </c>
      <c r="N20" s="62">
        <f>'Site liên kết'!N20</f>
        <v>230.61661392194407</v>
      </c>
      <c r="O20" s="62">
        <f>'Site liên kết'!O20</f>
        <v>226.52769647764751</v>
      </c>
      <c r="P20" s="62">
        <f>'Site liên kết'!P20</f>
        <v>231.64543936606077</v>
      </c>
      <c r="Q20" s="62">
        <f>'Site liên kết'!Q20</f>
        <v>231.26852255266618</v>
      </c>
      <c r="R20" s="249">
        <f t="shared" si="1"/>
        <v>3249.4500918418635</v>
      </c>
    </row>
    <row r="21" spans="2:23" outlineLevel="1" x14ac:dyDescent="0.35">
      <c r="B21" s="27"/>
      <c r="C21" s="2" t="s">
        <v>165</v>
      </c>
      <c r="D21" s="6"/>
      <c r="F21" s="62"/>
      <c r="G21" s="295">
        <v>25.284849999999999</v>
      </c>
      <c r="H21" s="62">
        <f>'Hà Tĩnh'!I48</f>
        <v>116.72222222222223</v>
      </c>
      <c r="I21" s="62">
        <f>'Hà Tĩnh'!J48</f>
        <v>245.46296296296296</v>
      </c>
      <c r="J21" s="62">
        <f>'Hà Tĩnh'!K48</f>
        <v>276.94444444444446</v>
      </c>
      <c r="K21" s="62">
        <f>'Hà Tĩnh'!L48</f>
        <v>275.68518518518516</v>
      </c>
      <c r="L21" s="62">
        <f>'Hà Tĩnh'!M48</f>
        <v>318.28148148148148</v>
      </c>
      <c r="M21" s="62">
        <f>'Hà Tĩnh'!N48</f>
        <v>318.28148148148148</v>
      </c>
      <c r="N21" s="62">
        <f>'Hà Tĩnh'!O48</f>
        <v>450.28148148148148</v>
      </c>
      <c r="O21" s="62">
        <f>'Hà Tĩnh'!P48</f>
        <v>450.28148148148148</v>
      </c>
      <c r="P21" s="62">
        <f>'Hà Tĩnh'!Q48</f>
        <v>450.28148148148148</v>
      </c>
      <c r="Q21" s="62">
        <f>'Hà Tĩnh'!R48</f>
        <v>450.28148148148148</v>
      </c>
      <c r="R21" s="249">
        <f t="shared" si="1"/>
        <v>3377.7885537037037</v>
      </c>
    </row>
    <row r="22" spans="2:23" outlineLevel="1" x14ac:dyDescent="0.35">
      <c r="B22" s="27"/>
      <c r="C22" s="2" t="s">
        <v>176</v>
      </c>
      <c r="D22" s="6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249">
        <f t="shared" si="1"/>
        <v>0</v>
      </c>
    </row>
    <row r="23" spans="2:23" outlineLevel="1" x14ac:dyDescent="0.35">
      <c r="B23" s="27"/>
      <c r="C23" s="2" t="s">
        <v>454</v>
      </c>
      <c r="D23" s="6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249">
        <f t="shared" si="1"/>
        <v>0</v>
      </c>
    </row>
    <row r="24" spans="2:23" outlineLevel="1" x14ac:dyDescent="0.35">
      <c r="B24" s="27"/>
      <c r="C24" s="2" t="s">
        <v>329</v>
      </c>
      <c r="D24" s="6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249">
        <f t="shared" si="1"/>
        <v>0</v>
      </c>
    </row>
    <row r="25" spans="2:23" x14ac:dyDescent="0.35">
      <c r="B25" s="27" t="s">
        <v>328</v>
      </c>
      <c r="D25" s="55"/>
      <c r="F25" s="222">
        <f>SUBTOTAL(9,F26:F39)</f>
        <v>-3497.9458100000002</v>
      </c>
      <c r="G25" s="222">
        <f t="shared" ref="G25:Q25" si="2">SUBTOTAL(9,G26:G39)</f>
        <v>-4376.2516972590174</v>
      </c>
      <c r="H25" s="222">
        <f t="shared" si="2"/>
        <v>-6065.8740419965097</v>
      </c>
      <c r="I25" s="222">
        <f t="shared" si="2"/>
        <v>-6110.2461085498089</v>
      </c>
      <c r="J25" s="222">
        <f t="shared" si="2"/>
        <v>-6146.983481629527</v>
      </c>
      <c r="K25" s="222">
        <f t="shared" si="2"/>
        <v>-6219.9251395282554</v>
      </c>
      <c r="L25" s="222">
        <f t="shared" si="2"/>
        <v>-6239.5549489545147</v>
      </c>
      <c r="M25" s="222">
        <f t="shared" si="2"/>
        <v>-6239.5549489545147</v>
      </c>
      <c r="N25" s="222">
        <f t="shared" si="2"/>
        <v>-6290.5032005509929</v>
      </c>
      <c r="O25" s="222">
        <f t="shared" si="2"/>
        <v>-6290.5032005509929</v>
      </c>
      <c r="P25" s="222">
        <f t="shared" si="2"/>
        <v>-6326.2687795832508</v>
      </c>
      <c r="Q25" s="222">
        <f t="shared" si="2"/>
        <v>-6326.2687795832508</v>
      </c>
      <c r="R25" s="249">
        <f>SUM(F25:Q25)</f>
        <v>-70129.880137140644</v>
      </c>
      <c r="S25" s="59"/>
      <c r="T25" s="118"/>
      <c r="W25" s="59"/>
    </row>
    <row r="26" spans="2:23" hidden="1" outlineLevel="1" x14ac:dyDescent="0.35">
      <c r="B26" s="27"/>
      <c r="C26" s="2" t="s">
        <v>147</v>
      </c>
      <c r="D26" s="55"/>
      <c r="F26" s="60">
        <f>465.983804*(-1)+19.674</f>
        <v>-446.30980400000004</v>
      </c>
      <c r="G26" s="195">
        <f>-'HaiDuong-2'!H61+SUM('HaiDuong-2'!H57,'HaiDuong-2'!H60)</f>
        <v>-554.10644234771644</v>
      </c>
      <c r="H26" s="195">
        <f>-'HaiDuong-2'!I61+SUM('HaiDuong-2'!I57,'HaiDuong-2'!I60)</f>
        <v>-813.2040863679548</v>
      </c>
      <c r="I26" s="195">
        <f>-'HaiDuong-2'!J61+SUM('HaiDuong-2'!J57,'HaiDuong-2'!J60)</f>
        <v>-813.2040863679548</v>
      </c>
      <c r="J26" s="195">
        <f>-'HaiDuong-2'!K61+SUM('HaiDuong-2'!K57,'HaiDuong-2'!K60)</f>
        <v>-813.2040863679548</v>
      </c>
      <c r="K26" s="195">
        <f>-'HaiDuong-2'!L61+SUM('HaiDuong-2'!L57,'HaiDuong-2'!L60)</f>
        <v>-813.2040863679548</v>
      </c>
      <c r="L26" s="195">
        <f>-'HaiDuong-2'!M61+SUM('HaiDuong-2'!M57,'HaiDuong-2'!M60)</f>
        <v>-813.2040863679548</v>
      </c>
      <c r="M26" s="195">
        <f>-'HaiDuong-2'!N61+SUM('HaiDuong-2'!N57,'HaiDuong-2'!N60)</f>
        <v>-813.2040863679548</v>
      </c>
      <c r="N26" s="195">
        <f>-'HaiDuong-2'!O61+SUM('HaiDuong-2'!O57,'HaiDuong-2'!O60)</f>
        <v>-813.2040863679548</v>
      </c>
      <c r="O26" s="195">
        <f>-'HaiDuong-2'!P61+SUM('HaiDuong-2'!P57,'HaiDuong-2'!P60)</f>
        <v>-813.2040863679548</v>
      </c>
      <c r="P26" s="195">
        <f>-'HaiDuong-2'!Q61+SUM('HaiDuong-2'!Q57,'HaiDuong-2'!Q60)</f>
        <v>-813.2040863679548</v>
      </c>
      <c r="Q26" s="195">
        <f>-'HaiDuong-2'!R61+SUM('HaiDuong-2'!R57,'HaiDuong-2'!R60)</f>
        <v>-813.2040863679548</v>
      </c>
      <c r="R26" s="249"/>
      <c r="S26" s="59"/>
      <c r="T26" s="118"/>
      <c r="W26" s="59"/>
    </row>
    <row r="27" spans="2:23" hidden="1" outlineLevel="1" x14ac:dyDescent="0.35">
      <c r="B27" s="27"/>
      <c r="C27" s="2" t="s">
        <v>150</v>
      </c>
      <c r="D27" s="55"/>
      <c r="F27" s="60">
        <f>217.387218*(-1)</f>
        <v>-217.38721799999999</v>
      </c>
      <c r="G27" s="195">
        <f>-'CaMau-2'!H61</f>
        <v>-347.33626257070705</v>
      </c>
      <c r="H27" s="195">
        <f>-'CaMau-2'!I61</f>
        <v>-415.64192857070708</v>
      </c>
      <c r="I27" s="195">
        <f>-'CaMau-2'!J61</f>
        <v>-415.64192857070708</v>
      </c>
      <c r="J27" s="195">
        <f>-'CaMau-2'!K61</f>
        <v>-415.64192857070708</v>
      </c>
      <c r="K27" s="195">
        <f>-'CaMau-2'!L61</f>
        <v>-415.64192857070708</v>
      </c>
      <c r="L27" s="195">
        <f>-'CaMau-2'!M61</f>
        <v>-415.64192857070708</v>
      </c>
      <c r="M27" s="195">
        <f>-'CaMau-2'!N61</f>
        <v>-415.64192857070708</v>
      </c>
      <c r="N27" s="195">
        <f>-'CaMau-2'!O61</f>
        <v>-415.64192857070708</v>
      </c>
      <c r="O27" s="195">
        <f>-'CaMau-2'!P61</f>
        <v>-415.64192857070708</v>
      </c>
      <c r="P27" s="195">
        <f>-'CaMau-2'!Q61</f>
        <v>-415.64192857070708</v>
      </c>
      <c r="Q27" s="195">
        <f>-'CaMau-2'!R61</f>
        <v>-415.64192857070708</v>
      </c>
      <c r="R27" s="249"/>
      <c r="S27" s="59"/>
      <c r="T27" s="118"/>
      <c r="W27" s="59"/>
    </row>
    <row r="28" spans="2:23" hidden="1" outlineLevel="1" x14ac:dyDescent="0.35">
      <c r="B28" s="27"/>
      <c r="C28" s="2" t="s">
        <v>146</v>
      </c>
      <c r="D28" s="55"/>
      <c r="F28" s="60">
        <f>299.467685*(-1)</f>
        <v>-299.46768500000002</v>
      </c>
      <c r="G28" s="195">
        <f>-'ThanhHoa-2'!H61+'ThanhHoa-2'!H60+'ThanhHoa-2'!H57</f>
        <v>-357.26091216629504</v>
      </c>
      <c r="H28" s="195">
        <f>-'ThanhHoa-2'!I61+'ThanhHoa-2'!I60+'ThanhHoa-2'!I57</f>
        <v>-621.59954046769144</v>
      </c>
      <c r="I28" s="195">
        <f>-'ThanhHoa-2'!J61+'ThanhHoa-2'!J60+'ThanhHoa-2'!J57</f>
        <v>-621.59954046769144</v>
      </c>
      <c r="J28" s="195">
        <f>-'ThanhHoa-2'!K61+'ThanhHoa-2'!K60+'ThanhHoa-2'!K57</f>
        <v>-621.59954046769144</v>
      </c>
      <c r="K28" s="195">
        <f>-'ThanhHoa-2'!L61+'ThanhHoa-2'!L60+'ThanhHoa-2'!L57</f>
        <v>-621.59954046769144</v>
      </c>
      <c r="L28" s="195">
        <f>-'ThanhHoa-2'!M61+'ThanhHoa-2'!M60+'ThanhHoa-2'!M57</f>
        <v>-621.59954046769144</v>
      </c>
      <c r="M28" s="195">
        <f>-'ThanhHoa-2'!N61+'ThanhHoa-2'!N60+'ThanhHoa-2'!N57</f>
        <v>-621.59954046769144</v>
      </c>
      <c r="N28" s="195">
        <f>-'ThanhHoa-2'!O61+'ThanhHoa-2'!O60+'ThanhHoa-2'!O57</f>
        <v>-621.59954046769144</v>
      </c>
      <c r="O28" s="195">
        <f>-'ThanhHoa-2'!P61+'ThanhHoa-2'!P60+'ThanhHoa-2'!P57</f>
        <v>-621.59954046769144</v>
      </c>
      <c r="P28" s="195">
        <f>-'ThanhHoa-2'!Q61+'ThanhHoa-2'!Q60+'ThanhHoa-2'!Q57</f>
        <v>-621.59954046769144</v>
      </c>
      <c r="Q28" s="195">
        <f>-'ThanhHoa-2'!R61+'ThanhHoa-2'!R60+'ThanhHoa-2'!R57</f>
        <v>-621.59954046769144</v>
      </c>
      <c r="R28" s="249"/>
      <c r="S28" s="59"/>
      <c r="T28" s="118"/>
      <c r="W28" s="59"/>
    </row>
    <row r="29" spans="2:23" hidden="1" outlineLevel="1" x14ac:dyDescent="0.35">
      <c r="B29" s="27"/>
      <c r="C29" s="2" t="s">
        <v>148</v>
      </c>
      <c r="D29" s="55"/>
      <c r="F29" s="60">
        <f>280.026102*(-1)</f>
        <v>-280.02610199999998</v>
      </c>
      <c r="G29" s="195">
        <f>-ThaiNguyen2!H49+ThaiNguyen2!H48</f>
        <v>-416.39661445894859</v>
      </c>
      <c r="H29" s="195">
        <f>-ThaiNguyen2!I49+ThaiNguyen2!I48</f>
        <v>-606.18561897101426</v>
      </c>
      <c r="I29" s="195">
        <f>-ThaiNguyen2!J49+ThaiNguyen2!J48</f>
        <v>-606.18561897101426</v>
      </c>
      <c r="J29" s="195">
        <f>-ThaiNguyen2!K49+ThaiNguyen2!K48</f>
        <v>-606.18561897101426</v>
      </c>
      <c r="K29" s="195">
        <f>-ThaiNguyen2!L49+ThaiNguyen2!L48</f>
        <v>-606.18561897101426</v>
      </c>
      <c r="L29" s="195">
        <f>-ThaiNguyen2!M49+ThaiNguyen2!M48</f>
        <v>-606.18561897101426</v>
      </c>
      <c r="M29" s="195">
        <f>-ThaiNguyen2!N49+ThaiNguyen2!N48</f>
        <v>-606.18561897101426</v>
      </c>
      <c r="N29" s="195">
        <f>-ThaiNguyen2!O49+ThaiNguyen2!O48</f>
        <v>-606.18561897101426</v>
      </c>
      <c r="O29" s="195">
        <f>-ThaiNguyen2!P49+ThaiNguyen2!P48</f>
        <v>-606.18561897101426</v>
      </c>
      <c r="P29" s="195">
        <f>-ThaiNguyen2!Q49+ThaiNguyen2!Q48</f>
        <v>-606.18561897101426</v>
      </c>
      <c r="Q29" s="195">
        <f>-ThaiNguyen2!R49+ThaiNguyen2!R48</f>
        <v>-606.18561897101426</v>
      </c>
      <c r="R29" s="249"/>
      <c r="S29" s="59" t="s">
        <v>699</v>
      </c>
      <c r="T29" s="118"/>
      <c r="W29" s="59"/>
    </row>
    <row r="30" spans="2:23" hidden="1" outlineLevel="1" x14ac:dyDescent="0.35">
      <c r="B30" s="27"/>
      <c r="C30" s="2" t="s">
        <v>327</v>
      </c>
      <c r="D30" s="55"/>
      <c r="F30" s="60">
        <f>243.693652*(-1)</f>
        <v>-243.69365199999999</v>
      </c>
      <c r="G30" s="195">
        <f>-ThaiBinh2!H40+ThaiBinh2!H39</f>
        <v>-335.14288633040934</v>
      </c>
      <c r="H30" s="195">
        <f>-ThaiBinh2!I40+ThaiBinh2!I39</f>
        <v>-395.01081030701755</v>
      </c>
      <c r="I30" s="195">
        <f>-ThaiBinh2!J40+ThaiBinh2!J39</f>
        <v>-395.01081030701755</v>
      </c>
      <c r="J30" s="195">
        <f>-ThaiBinh2!K40+ThaiBinh2!K39</f>
        <v>-395.01081030701755</v>
      </c>
      <c r="K30" s="195">
        <f>-ThaiBinh2!L40+ThaiBinh2!L39</f>
        <v>-467.89350036549706</v>
      </c>
      <c r="L30" s="195">
        <f>-ThaiBinh2!M40+ThaiBinh2!M39</f>
        <v>-467.89350036549706</v>
      </c>
      <c r="M30" s="195">
        <f>-ThaiBinh2!N40+ThaiBinh2!N39</f>
        <v>-467.89350036549706</v>
      </c>
      <c r="N30" s="195">
        <f>-ThaiBinh2!O40+ThaiBinh2!O39</f>
        <v>-467.89350036549706</v>
      </c>
      <c r="O30" s="195">
        <f>-ThaiBinh2!P40+ThaiBinh2!P39</f>
        <v>-467.89350036549706</v>
      </c>
      <c r="P30" s="195">
        <f>-ThaiBinh2!Q40+ThaiBinh2!Q39</f>
        <v>-467.89350036549706</v>
      </c>
      <c r="Q30" s="195">
        <f>-ThaiBinh2!R40+ThaiBinh2!R39</f>
        <v>-467.89350036549706</v>
      </c>
      <c r="R30" s="249"/>
      <c r="S30" s="59" t="s">
        <v>700</v>
      </c>
      <c r="T30" s="118"/>
      <c r="W30" s="59"/>
    </row>
    <row r="31" spans="2:23" hidden="1" outlineLevel="1" x14ac:dyDescent="0.35">
      <c r="B31" s="27"/>
      <c r="C31" s="2" t="s">
        <v>151</v>
      </c>
      <c r="D31" s="55"/>
      <c r="F31" s="60">
        <f>582.97752*(-1)</f>
        <v>-582.97752000000003</v>
      </c>
      <c r="G31" s="195">
        <f>-'YetKieu-2'!H61+'YetKieu-2'!H60</f>
        <v>-724.71442882538031</v>
      </c>
      <c r="H31" s="195">
        <f>-'YetKieu-2'!I61+'YetKieu-2'!I60</f>
        <v>-1082.8346319098023</v>
      </c>
      <c r="I31" s="195">
        <f>-'YetKieu-2'!J61+'YetKieu-2'!J60</f>
        <v>-1082.8346319098023</v>
      </c>
      <c r="J31" s="195">
        <f>-'YetKieu-2'!K61+'YetKieu-2'!K60</f>
        <v>-1082.8346319098023</v>
      </c>
      <c r="K31" s="195">
        <f>-'YetKieu-2'!L61+'YetKieu-2'!L60</f>
        <v>-1082.8346319098023</v>
      </c>
      <c r="L31" s="195">
        <f>-'YetKieu-2'!M61+'YetKieu-2'!M60</f>
        <v>-1082.8346319098023</v>
      </c>
      <c r="M31" s="195">
        <f>-'YetKieu-2'!N61+'YetKieu-2'!N60</f>
        <v>-1082.8346319098023</v>
      </c>
      <c r="N31" s="195">
        <f>-'YetKieu-2'!O61+'YetKieu-2'!O60</f>
        <v>-1082.8346319098023</v>
      </c>
      <c r="O31" s="195">
        <f>-'YetKieu-2'!P61+'YetKieu-2'!P60</f>
        <v>-1082.8346319098023</v>
      </c>
      <c r="P31" s="195">
        <f>-'YetKieu-2'!Q61+'YetKieu-2'!Q60</f>
        <v>-1082.8346319098023</v>
      </c>
      <c r="Q31" s="195">
        <f>-'YetKieu-2'!R61+'YetKieu-2'!R60</f>
        <v>-1082.8346319098023</v>
      </c>
      <c r="R31" s="249"/>
      <c r="S31" s="59" t="s">
        <v>700</v>
      </c>
      <c r="T31" s="118"/>
      <c r="W31" s="59"/>
    </row>
    <row r="32" spans="2:23" hidden="1" outlineLevel="1" x14ac:dyDescent="0.35">
      <c r="B32" s="27"/>
      <c r="C32" s="2" t="s">
        <v>153</v>
      </c>
      <c r="D32" s="55"/>
      <c r="F32" s="60">
        <f>432.661494*(-1)</f>
        <v>-432.661494</v>
      </c>
      <c r="G32" s="195">
        <f>-'NhaTrang-2'!H61+'NhaTrang-2'!H60</f>
        <v>-592.00450186864759</v>
      </c>
      <c r="H32" s="195">
        <f>-'NhaTrang-2'!I61+'NhaTrang-2'!I60</f>
        <v>-867.34809186831353</v>
      </c>
      <c r="I32" s="195">
        <f>-'NhaTrang-2'!J61+'NhaTrang-2'!J60</f>
        <v>-867.34809186831353</v>
      </c>
      <c r="J32" s="195">
        <f>-'NhaTrang-2'!K61+'NhaTrang-2'!K60</f>
        <v>-867.34809186831353</v>
      </c>
      <c r="K32" s="195">
        <f>-'NhaTrang-2'!L61+'NhaTrang-2'!L60</f>
        <v>-867.34809186831353</v>
      </c>
      <c r="L32" s="195">
        <f>-'NhaTrang-2'!M61+'NhaTrang-2'!M60</f>
        <v>-867.34809186831353</v>
      </c>
      <c r="M32" s="195">
        <f>-'NhaTrang-2'!N61+'NhaTrang-2'!N60</f>
        <v>-867.34809186831353</v>
      </c>
      <c r="N32" s="195">
        <f>-'NhaTrang-2'!O61+'NhaTrang-2'!O60</f>
        <v>-867.34809186831353</v>
      </c>
      <c r="O32" s="195">
        <f>-'NhaTrang-2'!P61+'NhaTrang-2'!P60</f>
        <v>-867.34809186831353</v>
      </c>
      <c r="P32" s="195">
        <f>-'NhaTrang-2'!Q61+'NhaTrang-2'!Q60</f>
        <v>-867.34809186831353</v>
      </c>
      <c r="Q32" s="195">
        <f>-'NhaTrang-2'!R61+'NhaTrang-2'!R60</f>
        <v>-867.34809186831353</v>
      </c>
      <c r="R32" s="249"/>
      <c r="S32" s="59" t="s">
        <v>700</v>
      </c>
      <c r="T32" s="118"/>
      <c r="W32" s="59"/>
    </row>
    <row r="33" spans="2:23" hidden="1" outlineLevel="1" x14ac:dyDescent="0.35">
      <c r="B33" s="27"/>
      <c r="C33" s="2" t="s">
        <v>154</v>
      </c>
      <c r="D33" s="55"/>
      <c r="F33" s="60">
        <f>114.651832*(-1)</f>
        <v>-114.651832</v>
      </c>
      <c r="G33" s="195">
        <f>-'ThachThat (2)'!G28+'ThachThat (2)'!G27</f>
        <v>-213.17551993464053</v>
      </c>
      <c r="H33" s="195">
        <f>-'ThachThat (2)'!H28+'ThachThat (2)'!H27</f>
        <v>-213.17551993464053</v>
      </c>
      <c r="I33" s="195">
        <f>-'ThachThat (2)'!I28+'ThachThat (2)'!I27</f>
        <v>-213.17551993464053</v>
      </c>
      <c r="J33" s="195">
        <f>-'ThachThat (2)'!J28+'ThachThat (2)'!J27</f>
        <v>-213.17551993464053</v>
      </c>
      <c r="K33" s="195">
        <f>-'ThachThat (2)'!K28+'ThachThat (2)'!K27</f>
        <v>-213.17551993464053</v>
      </c>
      <c r="L33" s="195">
        <f>-'ThachThat (2)'!L28+'ThachThat (2)'!L27</f>
        <v>-213.17551993464053</v>
      </c>
      <c r="M33" s="195">
        <f>-'ThachThat (2)'!M28+'ThachThat (2)'!M27</f>
        <v>-213.17551993464053</v>
      </c>
      <c r="N33" s="195">
        <f>-'ThachThat (2)'!N28+'ThachThat (2)'!N27</f>
        <v>-213.17551993464053</v>
      </c>
      <c r="O33" s="195">
        <f>-'ThachThat (2)'!O28+'ThachThat (2)'!O27</f>
        <v>-213.17551993464053</v>
      </c>
      <c r="P33" s="195">
        <f>-'ThachThat (2)'!P28+'ThachThat (2)'!P27</f>
        <v>-213.17551993464053</v>
      </c>
      <c r="Q33" s="195">
        <f>-'ThachThat (2)'!Q28+'ThachThat (2)'!Q27</f>
        <v>-213.17551993464053</v>
      </c>
      <c r="R33" s="249"/>
      <c r="S33" s="59" t="s">
        <v>701</v>
      </c>
      <c r="T33" s="118"/>
      <c r="W33" s="59"/>
    </row>
    <row r="34" spans="2:23" hidden="1" outlineLevel="1" x14ac:dyDescent="0.35">
      <c r="B34" s="27"/>
      <c r="C34" s="2" t="s">
        <v>155</v>
      </c>
      <c r="D34" s="55"/>
      <c r="F34" s="60">
        <f>295.266367*(-1)</f>
        <v>-295.266367</v>
      </c>
      <c r="G34" s="195">
        <f>-SocSon!H35+SocSon!H34</f>
        <v>-184.36194592293907</v>
      </c>
      <c r="H34" s="195">
        <f>-SocSon!I35+SocSon!I34</f>
        <v>-206.64214269713261</v>
      </c>
      <c r="I34" s="195">
        <f>-SocSon!J35+SocSon!J34</f>
        <v>-200.77893301971326</v>
      </c>
      <c r="J34" s="195">
        <f>-SocSon!K35+SocSon!K34</f>
        <v>-224.81809269713261</v>
      </c>
      <c r="K34" s="195">
        <f>-SocSon!L35+SocSon!L34</f>
        <v>-224.81809269713261</v>
      </c>
      <c r="L34" s="195">
        <f>-SocSon!M35+SocSon!M34</f>
        <v>-224.81809269713261</v>
      </c>
      <c r="M34" s="195">
        <f>-SocSon!N35+SocSon!N34</f>
        <v>-224.81809269713261</v>
      </c>
      <c r="N34" s="195">
        <f>-SocSon!O35+SocSon!O34</f>
        <v>-224.81809269713261</v>
      </c>
      <c r="O34" s="195">
        <f>-SocSon!P35+SocSon!P34</f>
        <v>-224.81809269713261</v>
      </c>
      <c r="P34" s="195">
        <f>-SocSon!Q35+SocSon!Q34</f>
        <v>-260.58367172939069</v>
      </c>
      <c r="Q34" s="195">
        <f>-SocSon!R35+SocSon!R34</f>
        <v>-260.58367172939069</v>
      </c>
      <c r="R34" s="249"/>
      <c r="S34" s="59" t="s">
        <v>702</v>
      </c>
      <c r="T34" s="118"/>
      <c r="W34" s="59"/>
    </row>
    <row r="35" spans="2:23" hidden="1" outlineLevel="1" x14ac:dyDescent="0.35">
      <c r="B35" s="27"/>
      <c r="C35" s="2" t="s">
        <v>326</v>
      </c>
      <c r="D35" s="5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249"/>
      <c r="S35" s="59"/>
      <c r="T35" s="118"/>
      <c r="W35" s="59"/>
    </row>
    <row r="36" spans="2:23" hidden="1" outlineLevel="1" x14ac:dyDescent="0.35">
      <c r="B36" s="27"/>
      <c r="C36" s="2" t="s">
        <v>165</v>
      </c>
      <c r="D36" s="55"/>
      <c r="F36" s="195"/>
      <c r="G36" s="195"/>
      <c r="H36" s="195">
        <f>-'Hà Tĩnh'!I61+'Hà Tĩnh'!I60</f>
        <v>-192.47948806890105</v>
      </c>
      <c r="I36" s="195">
        <f>-'Hà Tĩnh'!J61+'Hà Tĩnh'!J60</f>
        <v>-242.71476429962092</v>
      </c>
      <c r="J36" s="195">
        <f>-'Hà Tĩnh'!K61+'Hà Tĩnh'!K60</f>
        <v>-255.41297770191858</v>
      </c>
      <c r="K36" s="195">
        <f>-'Hà Tĩnh'!L61+'Hà Tĩnh'!L60</f>
        <v>-255.47194554216776</v>
      </c>
      <c r="L36" s="195">
        <f>-'Hà Tĩnh'!M61+'Hà Tĩnh'!M60</f>
        <v>-275.10175496842663</v>
      </c>
      <c r="M36" s="195">
        <f>-'Hà Tĩnh'!N61+'Hà Tĩnh'!N60</f>
        <v>-275.10175496842663</v>
      </c>
      <c r="N36" s="195">
        <f>-'Hà Tĩnh'!O61+'Hà Tĩnh'!O60</f>
        <v>-326.05000656490455</v>
      </c>
      <c r="O36" s="195">
        <f>-'Hà Tĩnh'!P61+'Hà Tĩnh'!P60</f>
        <v>-326.05000656490455</v>
      </c>
      <c r="P36" s="195">
        <f>-'Hà Tĩnh'!Q61+'Hà Tĩnh'!Q60</f>
        <v>-326.05000656490455</v>
      </c>
      <c r="Q36" s="195">
        <f>-'Hà Tĩnh'!R61+'Hà Tĩnh'!R60</f>
        <v>-326.05000656490455</v>
      </c>
      <c r="R36" s="249"/>
      <c r="S36" s="59" t="s">
        <v>703</v>
      </c>
      <c r="T36" s="118"/>
      <c r="W36" s="59"/>
    </row>
    <row r="37" spans="2:23" hidden="1" outlineLevel="1" x14ac:dyDescent="0.35">
      <c r="B37" s="27"/>
      <c r="C37" s="2" t="s">
        <v>176</v>
      </c>
      <c r="D37" s="5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249"/>
      <c r="S37" s="59"/>
      <c r="T37" s="118"/>
      <c r="W37" s="59"/>
    </row>
    <row r="38" spans="2:23" hidden="1" outlineLevel="1" x14ac:dyDescent="0.35">
      <c r="B38" s="27"/>
      <c r="C38" s="2" t="s">
        <v>454</v>
      </c>
      <c r="D38" s="5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249"/>
      <c r="S38" s="59"/>
      <c r="T38" s="118"/>
      <c r="W38" s="59"/>
    </row>
    <row r="39" spans="2:23" hidden="1" outlineLevel="1" x14ac:dyDescent="0.35">
      <c r="B39" s="27"/>
      <c r="C39" s="2" t="s">
        <v>329</v>
      </c>
      <c r="D39" s="55"/>
      <c r="F39" s="195">
        <v>-585.50413600000002</v>
      </c>
      <c r="G39" s="195">
        <f>-'HO-2'!H19</f>
        <v>-651.75218283333368</v>
      </c>
      <c r="H39" s="195">
        <f>-'HO-2'!I19</f>
        <v>-651.75218283333368</v>
      </c>
      <c r="I39" s="195">
        <f>-'HO-2'!J19</f>
        <v>-651.75218283333368</v>
      </c>
      <c r="J39" s="195">
        <f>-'HO-2'!K19</f>
        <v>-651.75218283333368</v>
      </c>
      <c r="K39" s="195">
        <f>-'HO-2'!L19</f>
        <v>-651.75218283333368</v>
      </c>
      <c r="L39" s="195">
        <f>-'HO-2'!M19</f>
        <v>-651.75218283333368</v>
      </c>
      <c r="M39" s="195">
        <f>-'HO-2'!N19</f>
        <v>-651.75218283333368</v>
      </c>
      <c r="N39" s="195">
        <f>-'HO-2'!O19</f>
        <v>-651.75218283333368</v>
      </c>
      <c r="O39" s="195">
        <f>-'HO-2'!P19</f>
        <v>-651.75218283333368</v>
      </c>
      <c r="P39" s="195">
        <f>-'HO-2'!Q19</f>
        <v>-651.75218283333368</v>
      </c>
      <c r="Q39" s="195">
        <f>-'HO-2'!R19</f>
        <v>-651.75218283333368</v>
      </c>
      <c r="R39" s="249"/>
      <c r="S39" s="59" t="s">
        <v>704</v>
      </c>
      <c r="T39" s="118"/>
      <c r="W39" s="59"/>
    </row>
    <row r="40" spans="2:23" ht="13.15" collapsed="1" thickBot="1" x14ac:dyDescent="0.4">
      <c r="B40" s="477" t="s">
        <v>350</v>
      </c>
      <c r="C40" s="223"/>
      <c r="D40" s="100"/>
      <c r="E40" s="100"/>
      <c r="F40" s="226">
        <f>SUBTOTAL(9,F10:F39)</f>
        <v>-22.376250248902807</v>
      </c>
      <c r="G40" s="226">
        <f>SUBTOTAL(9,G10:G39)</f>
        <v>-1644.0588977911227</v>
      </c>
      <c r="H40" s="226">
        <f t="shared" ref="H40:Q40" si="3">SUBTOTAL(9,H10:H39)</f>
        <v>1989.0393917554097</v>
      </c>
      <c r="I40" s="226">
        <f t="shared" si="3"/>
        <v>2030.4555881177866</v>
      </c>
      <c r="J40" s="226">
        <f t="shared" si="3"/>
        <v>2095.5755291941036</v>
      </c>
      <c r="K40" s="226">
        <f t="shared" si="3"/>
        <v>2247.5307829981161</v>
      </c>
      <c r="L40" s="226">
        <f t="shared" si="3"/>
        <v>2277.3611891939618</v>
      </c>
      <c r="M40" s="226">
        <f t="shared" si="3"/>
        <v>2245.4521173917874</v>
      </c>
      <c r="N40" s="226">
        <f t="shared" si="3"/>
        <v>2290.2876860494284</v>
      </c>
      <c r="O40" s="226">
        <f t="shared" si="3"/>
        <v>2286.198768605132</v>
      </c>
      <c r="P40" s="226">
        <f t="shared" si="3"/>
        <v>2389.7509324612861</v>
      </c>
      <c r="Q40" s="226">
        <f t="shared" si="3"/>
        <v>2389.3740156478912</v>
      </c>
      <c r="R40" s="250">
        <f>SUM(R10,R25)</f>
        <v>20574.590853374859</v>
      </c>
      <c r="S40" s="57"/>
      <c r="T40" s="118"/>
      <c r="U40" s="97"/>
      <c r="W40" s="57"/>
    </row>
    <row r="41" spans="2:23" hidden="1" outlineLevel="1" x14ac:dyDescent="0.35">
      <c r="B41" s="27"/>
      <c r="C41" s="2" t="s">
        <v>147</v>
      </c>
      <c r="D41" s="6"/>
      <c r="F41" s="57">
        <f t="shared" ref="F41:F49" si="4">SUM(F11,F26)</f>
        <v>209.49019599999991</v>
      </c>
      <c r="G41" s="57">
        <f t="shared" ref="G41:Q41" si="5">SUM(G11,G26)</f>
        <v>-5.1564423477163928</v>
      </c>
      <c r="H41" s="57">
        <f t="shared" si="5"/>
        <v>373.16986424932918</v>
      </c>
      <c r="I41" s="57">
        <f t="shared" si="5"/>
        <v>373.16986424932918</v>
      </c>
      <c r="J41" s="57">
        <f t="shared" si="5"/>
        <v>373.16986424932918</v>
      </c>
      <c r="K41" s="57">
        <f t="shared" si="5"/>
        <v>373.16986424932918</v>
      </c>
      <c r="L41" s="57">
        <f t="shared" si="5"/>
        <v>373.16986424932918</v>
      </c>
      <c r="M41" s="57">
        <f t="shared" si="5"/>
        <v>373.16986424932918</v>
      </c>
      <c r="N41" s="57">
        <f t="shared" si="5"/>
        <v>373.16986424932918</v>
      </c>
      <c r="O41" s="57">
        <f t="shared" si="5"/>
        <v>373.16986424932918</v>
      </c>
      <c r="P41" s="57">
        <f t="shared" si="5"/>
        <v>373.16986424932918</v>
      </c>
      <c r="Q41" s="57">
        <f t="shared" si="5"/>
        <v>373.16986424932918</v>
      </c>
      <c r="R41" s="252"/>
      <c r="S41" s="57"/>
      <c r="T41" s="96"/>
      <c r="U41" s="57"/>
      <c r="V41" s="57"/>
      <c r="W41" s="57"/>
    </row>
    <row r="42" spans="2:23" hidden="1" outlineLevel="1" x14ac:dyDescent="0.35">
      <c r="B42" s="27"/>
      <c r="C42" s="2" t="s">
        <v>150</v>
      </c>
      <c r="D42" s="6"/>
      <c r="F42" s="57">
        <f t="shared" si="4"/>
        <v>188.76036100000002</v>
      </c>
      <c r="G42" s="57">
        <f t="shared" ref="G42:Q42" si="6">SUM(G12,G27)</f>
        <v>-10.336262570707049</v>
      </c>
      <c r="H42" s="57">
        <f t="shared" si="6"/>
        <v>236.85807142929292</v>
      </c>
      <c r="I42" s="57">
        <f t="shared" si="6"/>
        <v>236.85807142929292</v>
      </c>
      <c r="J42" s="57">
        <f t="shared" si="6"/>
        <v>236.85807142929292</v>
      </c>
      <c r="K42" s="57">
        <f t="shared" si="6"/>
        <v>236.85807142929292</v>
      </c>
      <c r="L42" s="57">
        <f t="shared" si="6"/>
        <v>236.85807142929292</v>
      </c>
      <c r="M42" s="57">
        <f t="shared" si="6"/>
        <v>236.85807142929292</v>
      </c>
      <c r="N42" s="57">
        <f t="shared" si="6"/>
        <v>236.85807142929292</v>
      </c>
      <c r="O42" s="57">
        <f t="shared" si="6"/>
        <v>236.85807142929292</v>
      </c>
      <c r="P42" s="57">
        <f t="shared" si="6"/>
        <v>236.85807142929292</v>
      </c>
      <c r="Q42" s="57">
        <f t="shared" si="6"/>
        <v>236.85807142929292</v>
      </c>
      <c r="R42" s="252"/>
      <c r="S42" s="57"/>
      <c r="T42" s="96"/>
      <c r="U42" s="57"/>
      <c r="V42" s="57"/>
      <c r="W42" s="57"/>
    </row>
    <row r="43" spans="2:23" hidden="1" outlineLevel="1" x14ac:dyDescent="0.35">
      <c r="B43" s="27"/>
      <c r="C43" s="2" t="s">
        <v>146</v>
      </c>
      <c r="D43" s="6"/>
      <c r="F43" s="57">
        <f t="shared" si="4"/>
        <v>-10.107685000000004</v>
      </c>
      <c r="G43" s="57">
        <f t="shared" ref="G43:Q43" si="7">SUM(G13,G28)</f>
        <v>-228.79091216629504</v>
      </c>
      <c r="H43" s="57">
        <f t="shared" si="7"/>
        <v>423.40045953230856</v>
      </c>
      <c r="I43" s="57">
        <f t="shared" si="7"/>
        <v>423.40045953230856</v>
      </c>
      <c r="J43" s="57">
        <f t="shared" si="7"/>
        <v>423.40045953230856</v>
      </c>
      <c r="K43" s="57">
        <f t="shared" si="7"/>
        <v>423.40045953230856</v>
      </c>
      <c r="L43" s="57">
        <f t="shared" si="7"/>
        <v>423.40045953230856</v>
      </c>
      <c r="M43" s="57">
        <f t="shared" si="7"/>
        <v>423.40045953230856</v>
      </c>
      <c r="N43" s="57">
        <f t="shared" si="7"/>
        <v>423.40045953230856</v>
      </c>
      <c r="O43" s="57">
        <f t="shared" si="7"/>
        <v>423.40045953230856</v>
      </c>
      <c r="P43" s="57">
        <f t="shared" si="7"/>
        <v>423.40045953230856</v>
      </c>
      <c r="Q43" s="57">
        <f t="shared" si="7"/>
        <v>423.40045953230856</v>
      </c>
      <c r="R43" s="252"/>
      <c r="S43" s="57"/>
      <c r="T43" s="96"/>
      <c r="U43" s="57"/>
      <c r="V43" s="57"/>
      <c r="W43" s="57"/>
    </row>
    <row r="44" spans="2:23" hidden="1" outlineLevel="1" x14ac:dyDescent="0.35">
      <c r="B44" s="27"/>
      <c r="C44" s="2" t="s">
        <v>148</v>
      </c>
      <c r="D44" s="6"/>
      <c r="F44" s="57">
        <f t="shared" si="4"/>
        <v>70.230751999999995</v>
      </c>
      <c r="G44" s="57">
        <f t="shared" ref="G44:Q44" si="8">SUM(G14,G29)</f>
        <v>-215.0766144589486</v>
      </c>
      <c r="H44" s="57">
        <f t="shared" si="8"/>
        <v>326.81438102898574</v>
      </c>
      <c r="I44" s="57">
        <f t="shared" si="8"/>
        <v>326.81438102898574</v>
      </c>
      <c r="J44" s="57">
        <f t="shared" si="8"/>
        <v>326.81438102898574</v>
      </c>
      <c r="K44" s="57">
        <f t="shared" si="8"/>
        <v>326.81438102898574</v>
      </c>
      <c r="L44" s="57">
        <f t="shared" si="8"/>
        <v>326.81438102898574</v>
      </c>
      <c r="M44" s="57">
        <f t="shared" si="8"/>
        <v>326.81438102898574</v>
      </c>
      <c r="N44" s="57">
        <f t="shared" si="8"/>
        <v>326.81438102898574</v>
      </c>
      <c r="O44" s="57">
        <f t="shared" si="8"/>
        <v>326.81438102898574</v>
      </c>
      <c r="P44" s="57">
        <f t="shared" si="8"/>
        <v>326.81438102898574</v>
      </c>
      <c r="Q44" s="57">
        <f t="shared" si="8"/>
        <v>326.81438102898574</v>
      </c>
      <c r="R44" s="252"/>
      <c r="S44" s="57"/>
      <c r="T44" s="96"/>
      <c r="U44" s="57"/>
      <c r="V44" s="57"/>
      <c r="W44" s="57"/>
    </row>
    <row r="45" spans="2:23" hidden="1" outlineLevel="1" x14ac:dyDescent="0.35">
      <c r="B45" s="27"/>
      <c r="C45" s="2" t="s">
        <v>327</v>
      </c>
      <c r="D45" s="6"/>
      <c r="F45" s="57">
        <f t="shared" si="4"/>
        <v>23.406348000000037</v>
      </c>
      <c r="G45" s="57">
        <f t="shared" ref="G45:Q45" si="9">SUM(G15,G30)</f>
        <v>-140.82288633040935</v>
      </c>
      <c r="H45" s="57">
        <f t="shared" si="9"/>
        <v>86.98918969298245</v>
      </c>
      <c r="I45" s="57">
        <f t="shared" si="9"/>
        <v>86.98918969298245</v>
      </c>
      <c r="J45" s="57">
        <f t="shared" si="9"/>
        <v>86.98918969298245</v>
      </c>
      <c r="K45" s="57">
        <f t="shared" si="9"/>
        <v>294.10649963450294</v>
      </c>
      <c r="L45" s="57">
        <f t="shared" si="9"/>
        <v>294.10649963450294</v>
      </c>
      <c r="M45" s="57">
        <f t="shared" si="9"/>
        <v>294.10649963450294</v>
      </c>
      <c r="N45" s="57">
        <f t="shared" si="9"/>
        <v>294.10649963450294</v>
      </c>
      <c r="O45" s="57">
        <f t="shared" si="9"/>
        <v>294.10649963450294</v>
      </c>
      <c r="P45" s="57">
        <f t="shared" si="9"/>
        <v>294.10649963450294</v>
      </c>
      <c r="Q45" s="57">
        <f t="shared" si="9"/>
        <v>294.10649963450294</v>
      </c>
      <c r="R45" s="252"/>
      <c r="S45" s="57"/>
      <c r="T45" s="96"/>
      <c r="U45" s="57"/>
      <c r="V45" s="57"/>
      <c r="W45" s="57"/>
    </row>
    <row r="46" spans="2:23" hidden="1" outlineLevel="1" x14ac:dyDescent="0.35">
      <c r="B46" s="27"/>
      <c r="C46" s="2" t="s">
        <v>151</v>
      </c>
      <c r="D46" s="6"/>
      <c r="F46" s="57">
        <f t="shared" si="4"/>
        <v>31.672480000000064</v>
      </c>
      <c r="G46" s="57">
        <f t="shared" ref="G46:Q46" si="10">SUM(G16,G31)</f>
        <v>-361.42442882538029</v>
      </c>
      <c r="H46" s="57">
        <f t="shared" si="10"/>
        <v>442.98420866990796</v>
      </c>
      <c r="I46" s="57">
        <f t="shared" si="10"/>
        <v>442.98420866990796</v>
      </c>
      <c r="J46" s="57">
        <f t="shared" si="10"/>
        <v>442.98420866990796</v>
      </c>
      <c r="K46" s="57">
        <f t="shared" si="10"/>
        <v>442.98420866990796</v>
      </c>
      <c r="L46" s="57">
        <f t="shared" si="10"/>
        <v>442.98420866990796</v>
      </c>
      <c r="M46" s="57">
        <f t="shared" si="10"/>
        <v>442.98420866990796</v>
      </c>
      <c r="N46" s="57">
        <f t="shared" si="10"/>
        <v>442.98420866990796</v>
      </c>
      <c r="O46" s="57">
        <f t="shared" si="10"/>
        <v>442.98420866990796</v>
      </c>
      <c r="P46" s="57">
        <f t="shared" si="10"/>
        <v>442.98420866990796</v>
      </c>
      <c r="Q46" s="57">
        <f t="shared" si="10"/>
        <v>442.98420866990796</v>
      </c>
      <c r="R46" s="252"/>
      <c r="S46" s="57"/>
      <c r="T46" s="96"/>
      <c r="U46" s="57"/>
      <c r="V46" s="57"/>
      <c r="W46" s="57"/>
    </row>
    <row r="47" spans="2:23" hidden="1" outlineLevel="1" x14ac:dyDescent="0.35">
      <c r="B47" s="27"/>
      <c r="C47" s="2" t="s">
        <v>153</v>
      </c>
      <c r="D47" s="6"/>
      <c r="F47" s="57">
        <f t="shared" si="4"/>
        <v>161.958506</v>
      </c>
      <c r="G47" s="57">
        <f t="shared" ref="G47:Q47" si="11">SUM(G17,G32)</f>
        <v>-193.85450186864762</v>
      </c>
      <c r="H47" s="57">
        <f t="shared" si="11"/>
        <v>410.65190813168647</v>
      </c>
      <c r="I47" s="57">
        <f t="shared" si="11"/>
        <v>410.65190813168647</v>
      </c>
      <c r="J47" s="57">
        <f t="shared" si="11"/>
        <v>410.65190813168647</v>
      </c>
      <c r="K47" s="57">
        <f t="shared" si="11"/>
        <v>410.65190813168647</v>
      </c>
      <c r="L47" s="57">
        <f t="shared" si="11"/>
        <v>410.65190813168647</v>
      </c>
      <c r="M47" s="57">
        <f t="shared" si="11"/>
        <v>410.65190813168647</v>
      </c>
      <c r="N47" s="57">
        <f t="shared" si="11"/>
        <v>410.65190813168647</v>
      </c>
      <c r="O47" s="57">
        <f t="shared" si="11"/>
        <v>410.65190813168647</v>
      </c>
      <c r="P47" s="57">
        <f t="shared" si="11"/>
        <v>410.65190813168647</v>
      </c>
      <c r="Q47" s="57">
        <f t="shared" si="11"/>
        <v>410.65190813168647</v>
      </c>
      <c r="R47" s="252"/>
      <c r="S47" s="57"/>
      <c r="T47" s="96"/>
      <c r="U47" s="57"/>
      <c r="V47" s="57"/>
      <c r="W47" s="57"/>
    </row>
    <row r="48" spans="2:23" hidden="1" outlineLevel="1" x14ac:dyDescent="0.35">
      <c r="B48" s="27"/>
      <c r="C48" s="2" t="s">
        <v>154</v>
      </c>
      <c r="D48" s="6"/>
      <c r="F48" s="57">
        <f t="shared" si="4"/>
        <v>61.068168</v>
      </c>
      <c r="G48" s="57">
        <f t="shared" ref="G48:Q48" si="12">SUM(G18,G33)</f>
        <v>-58.575519934640539</v>
      </c>
      <c r="H48" s="57">
        <f t="shared" si="12"/>
        <v>59.824480065359467</v>
      </c>
      <c r="I48" s="57">
        <f t="shared" si="12"/>
        <v>59.824480065359467</v>
      </c>
      <c r="J48" s="57">
        <f t="shared" si="12"/>
        <v>59.824480065359467</v>
      </c>
      <c r="K48" s="57">
        <f t="shared" si="12"/>
        <v>59.824480065359467</v>
      </c>
      <c r="L48" s="57">
        <f t="shared" si="12"/>
        <v>59.824480065359467</v>
      </c>
      <c r="M48" s="57">
        <f t="shared" si="12"/>
        <v>59.824480065359467</v>
      </c>
      <c r="N48" s="57">
        <f t="shared" si="12"/>
        <v>59.824480065359467</v>
      </c>
      <c r="O48" s="57">
        <f t="shared" si="12"/>
        <v>59.824480065359467</v>
      </c>
      <c r="P48" s="57">
        <f t="shared" si="12"/>
        <v>59.824480065359467</v>
      </c>
      <c r="Q48" s="57">
        <f t="shared" si="12"/>
        <v>59.824480065359467</v>
      </c>
      <c r="R48" s="252"/>
      <c r="S48" s="57"/>
      <c r="T48" s="96"/>
      <c r="U48" s="57"/>
      <c r="V48" s="57"/>
      <c r="W48" s="57"/>
    </row>
    <row r="49" spans="2:23" hidden="1" outlineLevel="1" x14ac:dyDescent="0.35">
      <c r="B49" s="27"/>
      <c r="C49" s="2" t="s">
        <v>155</v>
      </c>
      <c r="D49" s="6"/>
      <c r="F49" s="57">
        <f t="shared" si="4"/>
        <v>-224.31636700000001</v>
      </c>
      <c r="G49" s="57">
        <f t="shared" ref="G49:Q50" si="13">SUM(G19,G34)</f>
        <v>-126.76194592293908</v>
      </c>
      <c r="H49" s="57">
        <f t="shared" si="13"/>
        <v>-30.642142697132613</v>
      </c>
      <c r="I49" s="57">
        <f t="shared" si="13"/>
        <v>-46.778933019713264</v>
      </c>
      <c r="J49" s="57">
        <f t="shared" si="13"/>
        <v>19.381907302867404</v>
      </c>
      <c r="K49" s="57">
        <f t="shared" si="13"/>
        <v>19.381907302867404</v>
      </c>
      <c r="L49" s="57">
        <f t="shared" si="13"/>
        <v>19.381907302867404</v>
      </c>
      <c r="M49" s="57">
        <f t="shared" si="13"/>
        <v>19.381907302867404</v>
      </c>
      <c r="N49" s="57">
        <f t="shared" si="13"/>
        <v>19.381907302867404</v>
      </c>
      <c r="O49" s="57">
        <f t="shared" si="13"/>
        <v>19.381907302867404</v>
      </c>
      <c r="P49" s="57">
        <f t="shared" si="13"/>
        <v>117.81632827060935</v>
      </c>
      <c r="Q49" s="57">
        <f t="shared" si="13"/>
        <v>117.81632827060935</v>
      </c>
      <c r="R49" s="252"/>
      <c r="S49" s="57"/>
      <c r="T49" s="96"/>
      <c r="U49" s="57"/>
      <c r="V49" s="57"/>
      <c r="W49" s="57"/>
    </row>
    <row r="50" spans="2:23" hidden="1" outlineLevel="1" x14ac:dyDescent="0.35">
      <c r="B50" s="27"/>
      <c r="C50" s="2" t="s">
        <v>326</v>
      </c>
      <c r="D50" s="6"/>
      <c r="F50" s="57">
        <v>50.965126751097216</v>
      </c>
      <c r="G50" s="57">
        <f t="shared" si="13"/>
        <v>323.20794946789511</v>
      </c>
      <c r="H50" s="57">
        <f t="shared" ref="H50:Q50" si="14">SUM(H20,H35)</f>
        <v>386.49842033270227</v>
      </c>
      <c r="I50" s="57">
        <f t="shared" si="14"/>
        <v>365.54594250764046</v>
      </c>
      <c r="J50" s="57">
        <f t="shared" si="14"/>
        <v>345.72177518219115</v>
      </c>
      <c r="K50" s="57">
        <f t="shared" si="14"/>
        <v>291.87794614419295</v>
      </c>
      <c r="L50" s="57">
        <f t="shared" si="14"/>
        <v>298.74186546999999</v>
      </c>
      <c r="M50" s="57">
        <f t="shared" si="14"/>
        <v>266.83279366782597</v>
      </c>
      <c r="N50" s="57">
        <f t="shared" si="14"/>
        <v>230.61661392194407</v>
      </c>
      <c r="O50" s="57">
        <f t="shared" si="14"/>
        <v>226.52769647764751</v>
      </c>
      <c r="P50" s="57">
        <f t="shared" si="14"/>
        <v>231.64543936606077</v>
      </c>
      <c r="Q50" s="57">
        <f t="shared" si="14"/>
        <v>231.26852255266618</v>
      </c>
      <c r="R50" s="252"/>
      <c r="S50" s="57"/>
      <c r="T50" s="96"/>
      <c r="U50" s="57"/>
      <c r="V50" s="57"/>
      <c r="W50" s="57"/>
    </row>
    <row r="51" spans="2:23" hidden="1" outlineLevel="1" x14ac:dyDescent="0.35">
      <c r="B51" s="27"/>
      <c r="C51" s="2" t="s">
        <v>165</v>
      </c>
      <c r="D51" s="6"/>
      <c r="F51" s="57">
        <f>SUM(F21,F36)</f>
        <v>0</v>
      </c>
      <c r="G51" s="57">
        <f t="shared" ref="G51:Q51" si="15">SUM(G21,G36)</f>
        <v>25.284849999999999</v>
      </c>
      <c r="H51" s="57">
        <f t="shared" si="15"/>
        <v>-75.75726584667882</v>
      </c>
      <c r="I51" s="57">
        <f t="shared" si="15"/>
        <v>2.7481986633420377</v>
      </c>
      <c r="J51" s="57">
        <f t="shared" si="15"/>
        <v>21.531466742525879</v>
      </c>
      <c r="K51" s="57">
        <f t="shared" si="15"/>
        <v>20.213239643017403</v>
      </c>
      <c r="L51" s="57">
        <f t="shared" si="15"/>
        <v>43.179726513054845</v>
      </c>
      <c r="M51" s="57">
        <f t="shared" si="15"/>
        <v>43.179726513054845</v>
      </c>
      <c r="N51" s="57">
        <f t="shared" si="15"/>
        <v>124.23147491657693</v>
      </c>
      <c r="O51" s="57">
        <f t="shared" si="15"/>
        <v>124.23147491657693</v>
      </c>
      <c r="P51" s="57">
        <f t="shared" si="15"/>
        <v>124.23147491657693</v>
      </c>
      <c r="Q51" s="57">
        <f t="shared" si="15"/>
        <v>124.23147491657693</v>
      </c>
      <c r="R51" s="252"/>
      <c r="S51" s="57"/>
      <c r="T51" s="96"/>
      <c r="U51" s="57"/>
      <c r="V51" s="57"/>
      <c r="W51" s="57"/>
    </row>
    <row r="52" spans="2:23" hidden="1" outlineLevel="1" x14ac:dyDescent="0.35">
      <c r="B52" s="27"/>
      <c r="C52" s="2" t="s">
        <v>176</v>
      </c>
      <c r="D52" s="6"/>
      <c r="F52" s="595">
        <f>SUM(F22,F37)</f>
        <v>0</v>
      </c>
      <c r="G52" s="57">
        <f t="shared" ref="G52:Q52" si="16">SUM(G22,G37)</f>
        <v>0</v>
      </c>
      <c r="H52" s="57">
        <f t="shared" si="16"/>
        <v>0</v>
      </c>
      <c r="I52" s="57">
        <f t="shared" si="16"/>
        <v>0</v>
      </c>
      <c r="J52" s="57">
        <f t="shared" si="16"/>
        <v>0</v>
      </c>
      <c r="K52" s="57">
        <f t="shared" si="16"/>
        <v>0</v>
      </c>
      <c r="L52" s="57">
        <f t="shared" si="16"/>
        <v>0</v>
      </c>
      <c r="M52" s="57">
        <f t="shared" si="16"/>
        <v>0</v>
      </c>
      <c r="N52" s="57">
        <f t="shared" si="16"/>
        <v>0</v>
      </c>
      <c r="O52" s="57">
        <f t="shared" si="16"/>
        <v>0</v>
      </c>
      <c r="P52" s="57">
        <f t="shared" si="16"/>
        <v>0</v>
      </c>
      <c r="Q52" s="57">
        <f t="shared" si="16"/>
        <v>0</v>
      </c>
      <c r="R52" s="252"/>
      <c r="S52" s="57"/>
      <c r="T52" s="96"/>
      <c r="U52" s="57"/>
      <c r="V52" s="57"/>
      <c r="W52" s="57"/>
    </row>
    <row r="53" spans="2:23" hidden="1" outlineLevel="1" x14ac:dyDescent="0.35">
      <c r="B53" s="27"/>
      <c r="C53" s="2" t="s">
        <v>454</v>
      </c>
      <c r="D53" s="6"/>
      <c r="F53" s="57">
        <f>SUM(F23,F38)</f>
        <v>0</v>
      </c>
      <c r="G53" s="57">
        <f t="shared" ref="G53:Q53" si="17">SUM(G23,G38)</f>
        <v>0</v>
      </c>
      <c r="H53" s="57">
        <f t="shared" si="17"/>
        <v>0</v>
      </c>
      <c r="I53" s="57">
        <f t="shared" si="17"/>
        <v>0</v>
      </c>
      <c r="J53" s="57">
        <f t="shared" si="17"/>
        <v>0</v>
      </c>
      <c r="K53" s="57">
        <f t="shared" si="17"/>
        <v>0</v>
      </c>
      <c r="L53" s="57">
        <f t="shared" si="17"/>
        <v>0</v>
      </c>
      <c r="M53" s="57">
        <f t="shared" si="17"/>
        <v>0</v>
      </c>
      <c r="N53" s="57">
        <f t="shared" si="17"/>
        <v>0</v>
      </c>
      <c r="O53" s="57">
        <f t="shared" si="17"/>
        <v>0</v>
      </c>
      <c r="P53" s="57">
        <f t="shared" si="17"/>
        <v>0</v>
      </c>
      <c r="Q53" s="57">
        <f t="shared" si="17"/>
        <v>0</v>
      </c>
      <c r="R53" s="252"/>
      <c r="S53" s="57"/>
      <c r="T53" s="96"/>
      <c r="U53" s="57"/>
      <c r="V53" s="57"/>
      <c r="W53" s="57"/>
    </row>
    <row r="54" spans="2:23" hidden="1" outlineLevel="1" x14ac:dyDescent="0.35">
      <c r="B54" s="27"/>
      <c r="C54" s="2" t="s">
        <v>329</v>
      </c>
      <c r="D54" s="6"/>
      <c r="F54" s="57">
        <f>F39</f>
        <v>-585.50413600000002</v>
      </c>
      <c r="G54" s="85"/>
      <c r="H54" s="85"/>
      <c r="I54" s="85"/>
      <c r="J54" s="85"/>
      <c r="K54" s="85"/>
      <c r="L54" s="85"/>
      <c r="M54" s="85"/>
      <c r="N54" s="85"/>
      <c r="O54" s="85"/>
      <c r="P54" s="57"/>
      <c r="Q54" s="57"/>
      <c r="R54" s="252"/>
      <c r="S54" s="57"/>
      <c r="T54" s="96"/>
      <c r="U54" s="57"/>
      <c r="V54" s="57"/>
      <c r="W54" s="57"/>
    </row>
    <row r="55" spans="2:23" collapsed="1" x14ac:dyDescent="0.35">
      <c r="B55" s="27" t="s">
        <v>683</v>
      </c>
      <c r="D55" s="6"/>
      <c r="F55" s="85">
        <f t="shared" ref="F55:Q55" si="18">SUM(F56:F60)</f>
        <v>0</v>
      </c>
      <c r="G55" s="85">
        <f t="shared" si="18"/>
        <v>-1190.138222372618</v>
      </c>
      <c r="H55" s="85">
        <f t="shared" si="18"/>
        <v>-232.14301557755235</v>
      </c>
      <c r="I55" s="85">
        <f t="shared" si="18"/>
        <v>-257.98701449425118</v>
      </c>
      <c r="J55" s="85">
        <f t="shared" si="18"/>
        <v>-264.17046634591856</v>
      </c>
      <c r="K55" s="85">
        <f t="shared" si="18"/>
        <v>-320.75515334528092</v>
      </c>
      <c r="L55" s="85">
        <f t="shared" si="18"/>
        <v>-328.31572082289722</v>
      </c>
      <c r="M55" s="85">
        <f t="shared" si="18"/>
        <v>-328.31572082289722</v>
      </c>
      <c r="N55" s="85">
        <f t="shared" si="18"/>
        <v>-354.99795639733668</v>
      </c>
      <c r="O55" s="85">
        <f t="shared" si="18"/>
        <v>-354.99795639733668</v>
      </c>
      <c r="P55" s="85">
        <f t="shared" si="18"/>
        <v>-354.99795639733668</v>
      </c>
      <c r="Q55" s="85">
        <f t="shared" si="18"/>
        <v>-354.99795639733668</v>
      </c>
      <c r="R55" s="255">
        <f>SUM(F55:Q55)</f>
        <v>-4341.8171393707626</v>
      </c>
      <c r="S55" s="57"/>
      <c r="T55" s="96"/>
      <c r="U55" s="57"/>
      <c r="V55" s="57"/>
      <c r="W55" s="57"/>
    </row>
    <row r="56" spans="2:23" hidden="1" outlineLevel="1" x14ac:dyDescent="0.35">
      <c r="B56" s="27"/>
      <c r="C56" s="2" t="s">
        <v>147</v>
      </c>
      <c r="D56" s="6"/>
      <c r="F56" s="57">
        <v>0</v>
      </c>
      <c r="G56" s="57">
        <v>-665.84905677361803</v>
      </c>
      <c r="H56" s="57">
        <f>-H41*(1-'Site list'!$H$4)</f>
        <v>-48.512082352412797</v>
      </c>
      <c r="I56" s="57">
        <f>-I41*(1-'Site list'!$H$4)</f>
        <v>-48.512082352412797</v>
      </c>
      <c r="J56" s="57">
        <f>-J41*(1-'Site list'!$H$4)</f>
        <v>-48.512082352412797</v>
      </c>
      <c r="K56" s="57">
        <f>-K41*(1-'Site list'!$H$4)</f>
        <v>-48.512082352412797</v>
      </c>
      <c r="L56" s="57">
        <f>-L41*(1-'Site list'!$H$4)</f>
        <v>-48.512082352412797</v>
      </c>
      <c r="M56" s="57">
        <f>-M41*(1-'Site list'!$H$4)</f>
        <v>-48.512082352412797</v>
      </c>
      <c r="N56" s="57">
        <f>-N41*(1-'Site list'!$H$4)</f>
        <v>-48.512082352412797</v>
      </c>
      <c r="O56" s="57">
        <f>-O41*(1-'Site list'!$H$4)</f>
        <v>-48.512082352412797</v>
      </c>
      <c r="P56" s="57">
        <f>-P41*(1-'Site list'!$H$4)</f>
        <v>-48.512082352412797</v>
      </c>
      <c r="Q56" s="57">
        <f>-Q41*(1-'Site list'!$H$4)</f>
        <v>-48.512082352412797</v>
      </c>
      <c r="R56" s="252">
        <f>SUM(F56:Q56)</f>
        <v>-1150.9698802977459</v>
      </c>
      <c r="S56" s="57"/>
      <c r="T56" s="96"/>
      <c r="U56" s="57"/>
      <c r="V56" s="57"/>
      <c r="W56" s="57"/>
    </row>
    <row r="57" spans="2:23" hidden="1" outlineLevel="1" x14ac:dyDescent="0.35">
      <c r="B57" s="27"/>
      <c r="C57" s="2" t="s">
        <v>146</v>
      </c>
      <c r="D57" s="6"/>
      <c r="F57" s="57">
        <v>0</v>
      </c>
      <c r="G57" s="57">
        <v>-524.28916559899994</v>
      </c>
      <c r="H57" s="57">
        <f>-H43*(1-'Site list'!$H$6)</f>
        <v>-169.36018381292342</v>
      </c>
      <c r="I57" s="57">
        <f>-I43*(1-'Site list'!$H$6)</f>
        <v>-169.36018381292342</v>
      </c>
      <c r="J57" s="57">
        <f>-J43*(1-'Site list'!$H$6)</f>
        <v>-169.36018381292342</v>
      </c>
      <c r="K57" s="57">
        <f>-K43*(1-'Site list'!$H$6)</f>
        <v>-169.36018381292342</v>
      </c>
      <c r="L57" s="57">
        <f>-L43*(1-'Site list'!$H$6)</f>
        <v>-169.36018381292342</v>
      </c>
      <c r="M57" s="57">
        <f>-M43*(1-'Site list'!$H$6)</f>
        <v>-169.36018381292342</v>
      </c>
      <c r="N57" s="57">
        <f>-N43*(1-'Site list'!$H$6)</f>
        <v>-169.36018381292342</v>
      </c>
      <c r="O57" s="57">
        <f>-O43*(1-'Site list'!$H$6)</f>
        <v>-169.36018381292342</v>
      </c>
      <c r="P57" s="57">
        <f>-P43*(1-'Site list'!$H$6)</f>
        <v>-169.36018381292342</v>
      </c>
      <c r="Q57" s="57">
        <f>-Q43*(1-'Site list'!$H$6)</f>
        <v>-169.36018381292342</v>
      </c>
      <c r="R57" s="252">
        <f t="shared" ref="R57:R60" si="19">SUM(F57:Q57)</f>
        <v>-2217.891003728234</v>
      </c>
      <c r="S57" s="57"/>
      <c r="T57" s="96"/>
      <c r="U57" s="57"/>
      <c r="V57" s="57"/>
      <c r="W57" s="57"/>
    </row>
    <row r="58" spans="2:23" hidden="1" outlineLevel="1" x14ac:dyDescent="0.35">
      <c r="B58" s="27"/>
      <c r="C58" s="2" t="s">
        <v>148</v>
      </c>
      <c r="D58" s="6"/>
      <c r="F58" s="57">
        <v>0</v>
      </c>
      <c r="G58" s="57">
        <v>0</v>
      </c>
      <c r="H58" s="62">
        <f>-H44*(1-'Site list'!$H$7)</f>
        <v>-15.262231594053622</v>
      </c>
      <c r="I58" s="62">
        <f>-I44*(1-'Site list'!$H$7)</f>
        <v>-15.262231594053622</v>
      </c>
      <c r="J58" s="62">
        <f>-J44*(1-'Site list'!$H$7)</f>
        <v>-15.262231594053622</v>
      </c>
      <c r="K58" s="62">
        <f>-K44*(1-'Site list'!$H$7)</f>
        <v>-15.262231594053622</v>
      </c>
      <c r="L58" s="62">
        <f>-L44*(1-'Site list'!$H$7)</f>
        <v>-15.262231594053622</v>
      </c>
      <c r="M58" s="62">
        <f>-M44*(1-'Site list'!$H$7)</f>
        <v>-15.262231594053622</v>
      </c>
      <c r="N58" s="62">
        <f>-N44*(1-'Site list'!$H$7)</f>
        <v>-15.262231594053622</v>
      </c>
      <c r="O58" s="62">
        <f>-O44*(1-'Site list'!$H$7)</f>
        <v>-15.262231594053622</v>
      </c>
      <c r="P58" s="62">
        <f>-P44*(1-'Site list'!$H$7)</f>
        <v>-15.262231594053622</v>
      </c>
      <c r="Q58" s="62">
        <f>-Q44*(1-'Site list'!$H$7)</f>
        <v>-15.262231594053622</v>
      </c>
      <c r="R58" s="252">
        <f t="shared" si="19"/>
        <v>-152.6223159405362</v>
      </c>
      <c r="S58" s="57"/>
      <c r="T58" s="96"/>
      <c r="U58" s="57"/>
      <c r="V58" s="57"/>
      <c r="W58" s="57"/>
    </row>
    <row r="59" spans="2:23" hidden="1" outlineLevel="1" x14ac:dyDescent="0.35">
      <c r="B59" s="27"/>
      <c r="C59" s="2" t="s">
        <v>327</v>
      </c>
      <c r="D59" s="6"/>
      <c r="F59" s="57">
        <v>0</v>
      </c>
      <c r="G59" s="57">
        <v>0</v>
      </c>
      <c r="H59" s="57">
        <f>-H45*(1-'Site list'!$H$8)</f>
        <v>-23.947809734889159</v>
      </c>
      <c r="I59" s="57">
        <f>-I45*(1-'Site list'!$H$8)</f>
        <v>-23.947809734889159</v>
      </c>
      <c r="J59" s="57">
        <f>-J45*(1-'Site list'!$H$8)</f>
        <v>-23.947809734889159</v>
      </c>
      <c r="K59" s="57">
        <f>-K45*(1-'Site list'!$H$8)</f>
        <v>-80.966457095409751</v>
      </c>
      <c r="L59" s="57">
        <f>-L45*(1-'Site list'!$H$8)</f>
        <v>-80.966457095409751</v>
      </c>
      <c r="M59" s="57">
        <f>-M45*(1-'Site list'!$H$8)</f>
        <v>-80.966457095409751</v>
      </c>
      <c r="N59" s="57">
        <f>-N45*(1-'Site list'!$H$8)</f>
        <v>-80.966457095409751</v>
      </c>
      <c r="O59" s="57">
        <f>-O45*(1-'Site list'!$H$8)</f>
        <v>-80.966457095409751</v>
      </c>
      <c r="P59" s="57">
        <f>-P45*(1-'Site list'!$H$8)</f>
        <v>-80.966457095409751</v>
      </c>
      <c r="Q59" s="57">
        <f>-Q45*(1-'Site list'!$H$8)</f>
        <v>-80.966457095409751</v>
      </c>
      <c r="R59" s="252">
        <f t="shared" si="19"/>
        <v>-638.60862887253563</v>
      </c>
      <c r="S59" s="57"/>
      <c r="T59" s="96"/>
      <c r="U59" s="57"/>
      <c r="V59" s="57"/>
      <c r="W59" s="57"/>
    </row>
    <row r="60" spans="2:23" hidden="1" outlineLevel="1" x14ac:dyDescent="0.35">
      <c r="B60" s="27"/>
      <c r="C60" s="2" t="s">
        <v>165</v>
      </c>
      <c r="D60" s="6"/>
      <c r="F60" s="57"/>
      <c r="G60" s="57"/>
      <c r="H60" s="57">
        <f>-H51*(1-'Site list'!$H$20)</f>
        <v>24.93929191672667</v>
      </c>
      <c r="I60" s="57">
        <f>-I51*(1-'Site list'!$H$20)</f>
        <v>-0.90470699997219894</v>
      </c>
      <c r="J60" s="57">
        <f>-J51*(1-'Site list'!$H$20)</f>
        <v>-7.0881588516395206</v>
      </c>
      <c r="K60" s="57">
        <f>-K51*(1-'Site list'!$H$20)</f>
        <v>-6.6541984904813303</v>
      </c>
      <c r="L60" s="57">
        <f>-L51*(1-'Site list'!$H$20)</f>
        <v>-14.214765968097657</v>
      </c>
      <c r="M60" s="57">
        <f>-M51*(1-'Site list'!$H$20)</f>
        <v>-14.214765968097657</v>
      </c>
      <c r="N60" s="57">
        <f>-N51*(1-'Site list'!$H$20)</f>
        <v>-40.897001542537133</v>
      </c>
      <c r="O60" s="57">
        <f>-O51*(1-'Site list'!$H$20)</f>
        <v>-40.897001542537133</v>
      </c>
      <c r="P60" s="57">
        <f>-P51*(1-'Site list'!$H$20)</f>
        <v>-40.897001542537133</v>
      </c>
      <c r="Q60" s="57">
        <f>-Q51*(1-'Site list'!$H$20)</f>
        <v>-40.897001542537133</v>
      </c>
      <c r="R60" s="252">
        <f t="shared" si="19"/>
        <v>-181.72531053171025</v>
      </c>
      <c r="S60" s="57"/>
      <c r="T60" s="96"/>
      <c r="U60" s="57"/>
      <c r="V60" s="57"/>
      <c r="W60" s="57"/>
    </row>
    <row r="61" spans="2:23" collapsed="1" x14ac:dyDescent="0.35">
      <c r="B61" s="27" t="s">
        <v>682</v>
      </c>
      <c r="F61" s="218">
        <f>SUM(F62:F68)</f>
        <v>-1144.3348164383563</v>
      </c>
      <c r="G61" s="218">
        <f t="shared" ref="G61:Q61" si="20">SUM(G62:G68)</f>
        <v>-170.63353424657535</v>
      </c>
      <c r="H61" s="218">
        <f t="shared" si="20"/>
        <v>0</v>
      </c>
      <c r="I61" s="218">
        <f t="shared" si="20"/>
        <v>-1122.6397808219178</v>
      </c>
      <c r="J61" s="218">
        <f t="shared" si="20"/>
        <v>-201.06197260273973</v>
      </c>
      <c r="K61" s="218">
        <f t="shared" si="20"/>
        <v>0</v>
      </c>
      <c r="L61" s="218">
        <f t="shared" si="20"/>
        <v>-1060.239205479452</v>
      </c>
      <c r="M61" s="218">
        <f t="shared" si="20"/>
        <v>-196.29271232876712</v>
      </c>
      <c r="N61" s="218">
        <f t="shared" si="20"/>
        <v>0</v>
      </c>
      <c r="O61" s="218">
        <f t="shared" si="20"/>
        <v>-989.21046575342461</v>
      </c>
      <c r="P61" s="218">
        <f t="shared" si="20"/>
        <v>-184.74608219178083</v>
      </c>
      <c r="Q61" s="218">
        <f t="shared" si="20"/>
        <v>0</v>
      </c>
      <c r="R61" s="255">
        <f>SUM(F61:Q61)</f>
        <v>-5069.1585698630142</v>
      </c>
    </row>
    <row r="62" spans="2:23" hidden="1" outlineLevel="1" x14ac:dyDescent="0.35">
      <c r="B62" s="27"/>
      <c r="C62" s="2" t="s">
        <v>150</v>
      </c>
      <c r="F62" s="62">
        <f>-VTB_CaMau!F11/10^6</f>
        <v>-179.77808219178084</v>
      </c>
      <c r="G62" s="195"/>
      <c r="H62" s="195"/>
      <c r="I62" s="62">
        <f>-VTB_CaMau!F12/10^6</f>
        <v>-161.22328767123287</v>
      </c>
      <c r="J62" s="60"/>
      <c r="K62" s="84"/>
      <c r="L62" s="84">
        <f>-VTB_CaMau!F13/10^6</f>
        <v>-148.20534246575343</v>
      </c>
      <c r="M62" s="57"/>
      <c r="N62" s="57"/>
      <c r="O62" s="84">
        <f>-VTB_CaMau!F14/10^6</f>
        <v>-134.86191780821918</v>
      </c>
      <c r="P62" s="84"/>
      <c r="Q62" s="84"/>
      <c r="R62" s="252">
        <f>SUM(F62:Q62)</f>
        <v>-624.06863013698626</v>
      </c>
    </row>
    <row r="63" spans="2:23" hidden="1" outlineLevel="1" x14ac:dyDescent="0.35">
      <c r="B63" s="27"/>
      <c r="C63" s="2" t="s">
        <v>146</v>
      </c>
      <c r="F63" s="62">
        <f>-'BIDV-THH'!I10/10^6</f>
        <v>-207.02747397260273</v>
      </c>
      <c r="G63" s="195"/>
      <c r="H63" s="195"/>
      <c r="I63" s="62">
        <f>-'BIDV-THH'!I11/10^6</f>
        <v>-216.09443835616437</v>
      </c>
      <c r="J63" s="60"/>
      <c r="K63" s="84"/>
      <c r="L63" s="84">
        <f>-'BIDV-THH'!I12/10^6</f>
        <v>-204.77687671232877</v>
      </c>
      <c r="M63" s="57"/>
      <c r="N63" s="57"/>
      <c r="O63" s="84">
        <f>-'BIDV-THH'!I13/10^6</f>
        <v>-186.17523287671233</v>
      </c>
      <c r="P63" s="84"/>
      <c r="Q63" s="84"/>
      <c r="R63" s="252">
        <f t="shared" ref="R63:R68" si="21">SUM(F63:Q63)</f>
        <v>-814.07402191780818</v>
      </c>
    </row>
    <row r="64" spans="2:23" hidden="1" outlineLevel="1" x14ac:dyDescent="0.35">
      <c r="B64" s="27"/>
      <c r="C64" s="2" t="s">
        <v>148</v>
      </c>
      <c r="F64" s="62">
        <f>-VTB_TNN!I9/10^6</f>
        <v>-168.26547945205479</v>
      </c>
      <c r="G64" s="195"/>
      <c r="H64" s="195"/>
      <c r="I64" s="62">
        <f>-VTB_TNN!I10/10^6</f>
        <v>-202.77739726027397</v>
      </c>
      <c r="J64" s="60"/>
      <c r="K64" s="84"/>
      <c r="L64" s="84">
        <f>-VTB_TNN!I11/10^6</f>
        <v>-192.96986301369864</v>
      </c>
      <c r="M64" s="57"/>
      <c r="N64" s="57"/>
      <c r="O64" s="84">
        <f>-VTB_TNN!I12/10^6</f>
        <v>-182.89726027397259</v>
      </c>
      <c r="P64" s="84"/>
      <c r="Q64" s="84"/>
      <c r="R64" s="252">
        <f t="shared" si="21"/>
        <v>-746.91</v>
      </c>
    </row>
    <row r="65" spans="2:19" hidden="1" outlineLevel="1" x14ac:dyDescent="0.35">
      <c r="B65" s="27"/>
      <c r="C65" s="2" t="s">
        <v>327</v>
      </c>
      <c r="G65" s="62">
        <f>-VTB_TBH!I7/10^6</f>
        <v>-170.63353424657535</v>
      </c>
      <c r="H65" s="195"/>
      <c r="I65" s="62"/>
      <c r="J65" s="60">
        <f>-VTB_TBH!I8/10^6</f>
        <v>-201.06197260273973</v>
      </c>
      <c r="K65" s="84"/>
      <c r="L65" s="84"/>
      <c r="M65" s="57">
        <f>-VTB_TBH!I9/10^6</f>
        <v>-196.29271232876712</v>
      </c>
      <c r="N65" s="57"/>
      <c r="O65" s="84"/>
      <c r="P65" s="84">
        <f>-VTB_TBH!I10/10^6</f>
        <v>-184.74608219178083</v>
      </c>
      <c r="Q65" s="84"/>
      <c r="R65" s="252">
        <f>SUM(G65:Q65)</f>
        <v>-752.73430136986303</v>
      </c>
    </row>
    <row r="66" spans="2:19" hidden="1" outlineLevel="1" x14ac:dyDescent="0.35">
      <c r="B66" s="27"/>
      <c r="C66" s="2" t="s">
        <v>151</v>
      </c>
      <c r="F66" s="62">
        <f>-'VTB_YẾT KIÊU'!F9/10^6</f>
        <v>-295.596</v>
      </c>
      <c r="G66" s="195"/>
      <c r="H66" s="195"/>
      <c r="I66" s="62">
        <f>-'VTB_YẾT KIÊU'!F10/10^6</f>
        <v>-272.16000000000003</v>
      </c>
      <c r="J66" s="60"/>
      <c r="K66" s="84"/>
      <c r="L66" s="84">
        <f>-'VTB_YẾT KIÊU'!F11/10^6</f>
        <v>-257.98500000000001</v>
      </c>
      <c r="M66" s="57"/>
      <c r="N66" s="57"/>
      <c r="O66" s="84">
        <f>-'VTB_YẾT KIÊU'!F12/10^6</f>
        <v>-243.43199999999999</v>
      </c>
      <c r="P66" s="84"/>
      <c r="Q66" s="84"/>
      <c r="R66" s="252">
        <f t="shared" si="21"/>
        <v>-1069.173</v>
      </c>
    </row>
    <row r="67" spans="2:19" hidden="1" outlineLevel="1" x14ac:dyDescent="0.35">
      <c r="B67" s="27"/>
      <c r="C67" s="2" t="s">
        <v>153</v>
      </c>
      <c r="F67" s="62">
        <f>-'VTB_Nha trang.'!F9/10^6</f>
        <v>-293.66778082191786</v>
      </c>
      <c r="G67" s="195"/>
      <c r="H67" s="195"/>
      <c r="I67" s="62">
        <f>-'VTB_Nha trang.'!F10/10^6</f>
        <v>-270.38465753424657</v>
      </c>
      <c r="J67" s="60"/>
      <c r="K67" s="84"/>
      <c r="L67" s="84">
        <f>-'VTB_Nha trang.'!F11/10^6</f>
        <v>-256.30212328767124</v>
      </c>
      <c r="M67" s="57"/>
      <c r="N67" s="57"/>
      <c r="O67" s="84">
        <f>-'VTB_Nha trang.'!F12/10^6</f>
        <v>-241.84405479452056</v>
      </c>
      <c r="P67" s="84"/>
      <c r="Q67" s="84"/>
      <c r="R67" s="252">
        <f t="shared" si="21"/>
        <v>-1062.1986164383563</v>
      </c>
    </row>
    <row r="68" spans="2:19" hidden="1" outlineLevel="1" x14ac:dyDescent="0.35">
      <c r="B68" s="27"/>
      <c r="C68" s="2" t="s">
        <v>165</v>
      </c>
      <c r="F68" s="62"/>
      <c r="G68" s="195"/>
      <c r="H68" s="195"/>
      <c r="I68" s="62"/>
      <c r="J68" s="60"/>
      <c r="K68" s="84"/>
      <c r="L68" s="84"/>
      <c r="M68" s="57"/>
      <c r="N68" s="57"/>
      <c r="O68" s="84"/>
      <c r="P68" s="84"/>
      <c r="Q68" s="84"/>
      <c r="R68" s="252">
        <f t="shared" si="21"/>
        <v>0</v>
      </c>
    </row>
    <row r="69" spans="2:19" collapsed="1" x14ac:dyDescent="0.35">
      <c r="B69" s="27" t="s">
        <v>331</v>
      </c>
      <c r="F69" s="218">
        <f>SUM(F70:F76)</f>
        <v>-3545.5</v>
      </c>
      <c r="G69" s="218">
        <f t="shared" ref="G69:Q69" si="22">SUM(G70:G76)</f>
        <v>-509</v>
      </c>
      <c r="H69" s="218">
        <f t="shared" si="22"/>
        <v>0</v>
      </c>
      <c r="I69" s="218">
        <f t="shared" si="22"/>
        <v>-3545.5</v>
      </c>
      <c r="J69" s="218">
        <f t="shared" si="22"/>
        <v>-509</v>
      </c>
      <c r="K69" s="218">
        <f t="shared" si="22"/>
        <v>0</v>
      </c>
      <c r="L69" s="218">
        <f t="shared" si="22"/>
        <v>-3545.5</v>
      </c>
      <c r="M69" s="218">
        <f t="shared" si="22"/>
        <v>-509</v>
      </c>
      <c r="N69" s="218">
        <f t="shared" si="22"/>
        <v>0</v>
      </c>
      <c r="O69" s="218">
        <f t="shared" si="22"/>
        <v>-3545.5</v>
      </c>
      <c r="P69" s="218">
        <f t="shared" si="22"/>
        <v>-509</v>
      </c>
      <c r="Q69" s="218">
        <f t="shared" si="22"/>
        <v>0</v>
      </c>
      <c r="R69" s="255">
        <f>SUM(F69:Q69)</f>
        <v>-16218</v>
      </c>
    </row>
    <row r="70" spans="2:19" x14ac:dyDescent="0.35">
      <c r="B70" s="27"/>
      <c r="C70" s="2" t="s">
        <v>150</v>
      </c>
      <c r="F70" s="62">
        <f>-VTB_CaMau!$C$11/10^6</f>
        <v>-660</v>
      </c>
      <c r="G70" s="195"/>
      <c r="H70" s="195"/>
      <c r="I70" s="62">
        <f>F70</f>
        <v>-660</v>
      </c>
      <c r="J70" s="60"/>
      <c r="K70" s="84"/>
      <c r="L70" s="84">
        <f>F70</f>
        <v>-660</v>
      </c>
      <c r="M70" s="57"/>
      <c r="N70" s="57"/>
      <c r="O70" s="84">
        <f>F70</f>
        <v>-660</v>
      </c>
      <c r="P70" s="84"/>
      <c r="Q70" s="84"/>
      <c r="R70" s="252"/>
    </row>
    <row r="71" spans="2:19" x14ac:dyDescent="0.35">
      <c r="B71" s="27"/>
      <c r="C71" s="2" t="s">
        <v>146</v>
      </c>
      <c r="F71" s="62">
        <f>-'BIDV-THH'!C10/10^6</f>
        <v>-820</v>
      </c>
      <c r="G71" s="195"/>
      <c r="H71" s="195"/>
      <c r="I71" s="62">
        <f>$F$71</f>
        <v>-820</v>
      </c>
      <c r="J71" s="60"/>
      <c r="K71" s="84"/>
      <c r="L71" s="62">
        <f>$F$71</f>
        <v>-820</v>
      </c>
      <c r="M71" s="57"/>
      <c r="N71" s="57"/>
      <c r="O71" s="62">
        <f>$F$71</f>
        <v>-820</v>
      </c>
      <c r="P71" s="84"/>
      <c r="Q71" s="84"/>
      <c r="R71" s="252"/>
    </row>
    <row r="72" spans="2:19" x14ac:dyDescent="0.35">
      <c r="B72" s="27"/>
      <c r="C72" s="2" t="s">
        <v>148</v>
      </c>
      <c r="F72" s="62">
        <f>-VTB_TNN!C9/10^6</f>
        <v>-537.5</v>
      </c>
      <c r="G72" s="195"/>
      <c r="H72" s="195"/>
      <c r="I72" s="62">
        <f>$F$72</f>
        <v>-537.5</v>
      </c>
      <c r="J72" s="60"/>
      <c r="K72" s="84"/>
      <c r="L72" s="62">
        <f>$F$72</f>
        <v>-537.5</v>
      </c>
      <c r="M72" s="57"/>
      <c r="N72" s="57"/>
      <c r="O72" s="62">
        <f>$F$72</f>
        <v>-537.5</v>
      </c>
      <c r="P72" s="84"/>
      <c r="Q72" s="84"/>
      <c r="R72" s="252"/>
    </row>
    <row r="73" spans="2:19" x14ac:dyDescent="0.35">
      <c r="B73" s="27"/>
      <c r="C73" s="2" t="s">
        <v>327</v>
      </c>
      <c r="F73" s="62"/>
      <c r="G73" s="195">
        <f>-VTB_TBH!C7/10^6</f>
        <v>-509</v>
      </c>
      <c r="H73" s="195"/>
      <c r="I73" s="62"/>
      <c r="J73" s="60">
        <f>$G$73</f>
        <v>-509</v>
      </c>
      <c r="K73" s="84"/>
      <c r="L73" s="84"/>
      <c r="M73" s="60">
        <f>$G$73</f>
        <v>-509</v>
      </c>
      <c r="N73" s="57"/>
      <c r="O73" s="84"/>
      <c r="P73" s="60">
        <f>$G$73</f>
        <v>-509</v>
      </c>
      <c r="Q73" s="84"/>
      <c r="R73" s="252"/>
    </row>
    <row r="74" spans="2:19" x14ac:dyDescent="0.35">
      <c r="B74" s="27"/>
      <c r="C74" s="2" t="s">
        <v>151</v>
      </c>
      <c r="F74" s="62">
        <f>-'VTB_YẾT KIÊU'!C9/10^6</f>
        <v>-766.5</v>
      </c>
      <c r="G74" s="195"/>
      <c r="H74" s="195"/>
      <c r="I74" s="62">
        <f>$F$74</f>
        <v>-766.5</v>
      </c>
      <c r="J74" s="60"/>
      <c r="K74" s="84"/>
      <c r="L74" s="62">
        <f>$F$74</f>
        <v>-766.5</v>
      </c>
      <c r="M74" s="57"/>
      <c r="N74" s="57"/>
      <c r="O74" s="62">
        <f>$F$74</f>
        <v>-766.5</v>
      </c>
      <c r="P74" s="84"/>
      <c r="Q74" s="84"/>
      <c r="R74" s="252"/>
    </row>
    <row r="75" spans="2:19" x14ac:dyDescent="0.35">
      <c r="B75" s="27"/>
      <c r="C75" s="2" t="s">
        <v>153</v>
      </c>
      <c r="F75" s="62">
        <f>-'VTB_Nha trang.'!C9/10^6</f>
        <v>-761.5</v>
      </c>
      <c r="G75" s="195"/>
      <c r="H75" s="195"/>
      <c r="I75" s="62">
        <f>$F$75</f>
        <v>-761.5</v>
      </c>
      <c r="J75" s="60"/>
      <c r="K75" s="84"/>
      <c r="L75" s="62">
        <f>$F$75</f>
        <v>-761.5</v>
      </c>
      <c r="M75" s="57"/>
      <c r="N75" s="57"/>
      <c r="O75" s="62">
        <f>$F$75</f>
        <v>-761.5</v>
      </c>
      <c r="P75" s="84"/>
      <c r="Q75" s="84"/>
      <c r="R75" s="252"/>
    </row>
    <row r="76" spans="2:19" x14ac:dyDescent="0.35">
      <c r="B76" s="27"/>
      <c r="C76" s="2" t="s">
        <v>165</v>
      </c>
      <c r="F76" s="62"/>
      <c r="G76" s="195"/>
      <c r="H76" s="195"/>
      <c r="I76" s="62"/>
      <c r="J76" s="60"/>
      <c r="K76" s="84"/>
      <c r="L76" s="84"/>
      <c r="M76" s="57"/>
      <c r="N76" s="57"/>
      <c r="O76" s="84"/>
      <c r="P76" s="84"/>
      <c r="Q76" s="84"/>
      <c r="R76" s="252"/>
    </row>
    <row r="77" spans="2:19" ht="13.15" thickBot="1" x14ac:dyDescent="0.4">
      <c r="B77" s="233" t="s">
        <v>339</v>
      </c>
      <c r="C77" s="234"/>
      <c r="D77" s="234"/>
      <c r="E77" s="234"/>
      <c r="F77" s="236">
        <f t="shared" ref="F77:Q77" si="23">SUM(F40,F55,F61,F69)</f>
        <v>-4712.2110666872595</v>
      </c>
      <c r="G77" s="236">
        <f t="shared" si="23"/>
        <v>-3513.8306544103161</v>
      </c>
      <c r="H77" s="236">
        <f t="shared" si="23"/>
        <v>1756.8963761778573</v>
      </c>
      <c r="I77" s="236">
        <f t="shared" si="23"/>
        <v>-2895.671207198382</v>
      </c>
      <c r="J77" s="236">
        <f t="shared" si="23"/>
        <v>1121.3430902454452</v>
      </c>
      <c r="K77" s="236">
        <f t="shared" si="23"/>
        <v>1926.7756296528353</v>
      </c>
      <c r="L77" s="236">
        <f t="shared" si="23"/>
        <v>-2656.6937371083877</v>
      </c>
      <c r="M77" s="236">
        <f t="shared" si="23"/>
        <v>1211.8436842401231</v>
      </c>
      <c r="N77" s="236">
        <f t="shared" si="23"/>
        <v>1935.2897296520919</v>
      </c>
      <c r="O77" s="236">
        <f t="shared" si="23"/>
        <v>-2603.5096535456291</v>
      </c>
      <c r="P77" s="236">
        <f t="shared" si="23"/>
        <v>1341.0068938721688</v>
      </c>
      <c r="Q77" s="236">
        <f t="shared" si="23"/>
        <v>2034.3760592505546</v>
      </c>
      <c r="R77" s="270">
        <f>SUM(F77:Q77)</f>
        <v>-5054.3848558588961</v>
      </c>
    </row>
    <row r="78" spans="2:19" ht="13.15" thickTop="1" x14ac:dyDescent="0.35">
      <c r="R78" s="248"/>
    </row>
    <row r="79" spans="2:19" x14ac:dyDescent="0.35">
      <c r="B79" s="55" t="s">
        <v>342</v>
      </c>
      <c r="R79" s="248"/>
    </row>
    <row r="80" spans="2:19" x14ac:dyDescent="0.35">
      <c r="C80" s="2" t="s">
        <v>385</v>
      </c>
      <c r="G80" s="62">
        <v>-3400</v>
      </c>
      <c r="R80" s="253">
        <f>SUM(F80:Q80)</f>
        <v>-3400</v>
      </c>
      <c r="S80" s="283"/>
    </row>
    <row r="81" spans="2:18" x14ac:dyDescent="0.35">
      <c r="C81" s="2" t="s">
        <v>382</v>
      </c>
      <c r="H81" s="62">
        <v>-900</v>
      </c>
      <c r="R81" s="253">
        <f t="shared" ref="R81:R88" si="24">SUM(F81:Q81)</f>
        <v>-900</v>
      </c>
    </row>
    <row r="82" spans="2:18" x14ac:dyDescent="0.35">
      <c r="C82" s="2" t="s">
        <v>386</v>
      </c>
      <c r="H82" s="62">
        <f>-1800-2100</f>
        <v>-3900</v>
      </c>
      <c r="R82" s="253">
        <f t="shared" si="24"/>
        <v>-3900</v>
      </c>
    </row>
    <row r="83" spans="2:18" x14ac:dyDescent="0.35">
      <c r="C83" s="2" t="s">
        <v>387</v>
      </c>
      <c r="H83" s="62">
        <v>-3700</v>
      </c>
      <c r="I83" s="62">
        <v>-1000</v>
      </c>
      <c r="J83" s="60">
        <v>-1000</v>
      </c>
      <c r="K83" s="60">
        <v>-1000</v>
      </c>
      <c r="R83" s="253">
        <f t="shared" si="24"/>
        <v>-6700</v>
      </c>
    </row>
    <row r="84" spans="2:18" x14ac:dyDescent="0.35">
      <c r="C84" s="2" t="s">
        <v>384</v>
      </c>
      <c r="H84" s="62">
        <v>-4000</v>
      </c>
      <c r="I84" s="60">
        <v>-1000</v>
      </c>
      <c r="J84" s="60">
        <v>-1000</v>
      </c>
      <c r="K84" s="60">
        <v>-1000</v>
      </c>
      <c r="R84" s="253">
        <f t="shared" si="24"/>
        <v>-7000</v>
      </c>
    </row>
    <row r="85" spans="2:18" x14ac:dyDescent="0.35">
      <c r="C85" s="2" t="s">
        <v>262</v>
      </c>
      <c r="Q85" s="57"/>
      <c r="R85" s="253">
        <f t="shared" si="24"/>
        <v>0</v>
      </c>
    </row>
    <row r="86" spans="2:18" x14ac:dyDescent="0.35">
      <c r="C86" s="2" t="s">
        <v>684</v>
      </c>
      <c r="H86" s="60">
        <v>-930</v>
      </c>
      <c r="R86" s="253">
        <f t="shared" si="24"/>
        <v>-930</v>
      </c>
    </row>
    <row r="87" spans="2:18" x14ac:dyDescent="0.35">
      <c r="C87" s="2" t="s">
        <v>685</v>
      </c>
      <c r="H87" s="60">
        <v>-800</v>
      </c>
      <c r="R87" s="253">
        <f t="shared" si="24"/>
        <v>-800</v>
      </c>
    </row>
    <row r="88" spans="2:18" x14ac:dyDescent="0.35">
      <c r="C88" s="2" t="s">
        <v>689</v>
      </c>
      <c r="H88" s="60">
        <v>-600</v>
      </c>
      <c r="I88" s="84">
        <v>-422.30099999999999</v>
      </c>
      <c r="R88" s="253">
        <f t="shared" si="24"/>
        <v>-1022.3009999999999</v>
      </c>
    </row>
    <row r="89" spans="2:18" ht="13.15" thickBot="1" x14ac:dyDescent="0.4">
      <c r="B89" s="233" t="s">
        <v>351</v>
      </c>
      <c r="C89" s="234"/>
      <c r="D89" s="234"/>
      <c r="E89" s="234"/>
      <c r="F89" s="236">
        <f>SUM(F80:F88)</f>
        <v>0</v>
      </c>
      <c r="G89" s="236">
        <f t="shared" ref="G89:Q89" si="25">SUM(G80:G88)</f>
        <v>-3400</v>
      </c>
      <c r="H89" s="236">
        <f t="shared" si="25"/>
        <v>-14830</v>
      </c>
      <c r="I89" s="236">
        <f t="shared" si="25"/>
        <v>-2422.3009999999999</v>
      </c>
      <c r="J89" s="236">
        <f t="shared" si="25"/>
        <v>-2000</v>
      </c>
      <c r="K89" s="236">
        <f t="shared" si="25"/>
        <v>-2000</v>
      </c>
      <c r="L89" s="236">
        <f t="shared" si="25"/>
        <v>0</v>
      </c>
      <c r="M89" s="236">
        <f t="shared" si="25"/>
        <v>0</v>
      </c>
      <c r="N89" s="236">
        <f t="shared" si="25"/>
        <v>0</v>
      </c>
      <c r="O89" s="236">
        <f t="shared" si="25"/>
        <v>0</v>
      </c>
      <c r="P89" s="236">
        <f t="shared" si="25"/>
        <v>0</v>
      </c>
      <c r="Q89" s="236">
        <f t="shared" si="25"/>
        <v>0</v>
      </c>
      <c r="R89" s="254">
        <f>SUM(R80:R86)</f>
        <v>-22830</v>
      </c>
    </row>
    <row r="90" spans="2:18" ht="13.15" thickTop="1" x14ac:dyDescent="0.35">
      <c r="B90" s="6" t="s">
        <v>472</v>
      </c>
      <c r="F90" s="610">
        <f>F77+F89</f>
        <v>-4712.2110666872595</v>
      </c>
      <c r="G90" s="337">
        <f t="shared" ref="G90:Q90" si="26">G77+G89</f>
        <v>-6913.8306544103161</v>
      </c>
      <c r="H90" s="337">
        <f t="shared" si="26"/>
        <v>-13073.103623822142</v>
      </c>
      <c r="I90" s="337">
        <f t="shared" si="26"/>
        <v>-5317.9722071983815</v>
      </c>
      <c r="J90" s="337">
        <f t="shared" si="26"/>
        <v>-878.65690975455482</v>
      </c>
      <c r="K90" s="337">
        <f t="shared" si="26"/>
        <v>-73.224370347164722</v>
      </c>
      <c r="L90" s="337">
        <f t="shared" si="26"/>
        <v>-2656.6937371083877</v>
      </c>
      <c r="M90" s="337">
        <f t="shared" si="26"/>
        <v>1211.8436842401231</v>
      </c>
      <c r="N90" s="337">
        <f t="shared" si="26"/>
        <v>1935.2897296520919</v>
      </c>
      <c r="O90" s="337">
        <f t="shared" si="26"/>
        <v>-2603.5096535456291</v>
      </c>
      <c r="P90" s="337">
        <f t="shared" si="26"/>
        <v>1341.0068938721688</v>
      </c>
      <c r="Q90" s="337">
        <f t="shared" si="26"/>
        <v>2034.3760592505546</v>
      </c>
      <c r="R90" s="257">
        <f>SUM(R77,R89)</f>
        <v>-27884.384855858894</v>
      </c>
    </row>
    <row r="91" spans="2:18" x14ac:dyDescent="0.35">
      <c r="B91" s="6" t="s">
        <v>678</v>
      </c>
      <c r="R91" s="253">
        <v>27140</v>
      </c>
    </row>
    <row r="92" spans="2:18" x14ac:dyDescent="0.35">
      <c r="B92" s="6"/>
      <c r="C92" s="2" t="s">
        <v>694</v>
      </c>
      <c r="R92" s="257">
        <f>R90+R91</f>
        <v>-744.3848558588943</v>
      </c>
    </row>
    <row r="93" spans="2:18" x14ac:dyDescent="0.35">
      <c r="C93" s="2" t="s">
        <v>695</v>
      </c>
      <c r="G93" s="62">
        <v>5040</v>
      </c>
      <c r="R93" s="248"/>
    </row>
    <row r="94" spans="2:18" x14ac:dyDescent="0.35">
      <c r="C94" s="2" t="s">
        <v>696</v>
      </c>
      <c r="G94" s="62">
        <v>3500</v>
      </c>
      <c r="H94" s="62">
        <v>1750</v>
      </c>
    </row>
    <row r="95" spans="2:18" x14ac:dyDescent="0.35">
      <c r="C95" s="2" t="s">
        <v>697</v>
      </c>
      <c r="G95" s="62">
        <v>2500</v>
      </c>
      <c r="H95" s="60"/>
      <c r="R95" s="248"/>
    </row>
    <row r="96" spans="2:18" x14ac:dyDescent="0.35">
      <c r="C96" s="2" t="s">
        <v>707</v>
      </c>
      <c r="G96" s="62"/>
      <c r="H96" s="62">
        <v>7920</v>
      </c>
      <c r="R96" s="248"/>
    </row>
    <row r="97" spans="2:19" x14ac:dyDescent="0.35">
      <c r="B97" s="6" t="s">
        <v>705</v>
      </c>
      <c r="G97" s="62"/>
      <c r="H97" s="62"/>
      <c r="R97" s="248"/>
    </row>
    <row r="98" spans="2:19" x14ac:dyDescent="0.35">
      <c r="C98" s="2" t="s">
        <v>706</v>
      </c>
      <c r="G98" s="62"/>
      <c r="H98" s="62">
        <f>14800</f>
        <v>14800</v>
      </c>
      <c r="R98" s="248"/>
      <c r="S98" s="2" t="s">
        <v>708</v>
      </c>
    </row>
    <row r="99" spans="2:19" x14ac:dyDescent="0.35">
      <c r="G99" s="62"/>
      <c r="R99" s="248"/>
    </row>
    <row r="100" spans="2:19" x14ac:dyDescent="0.35">
      <c r="B100" s="27" t="s">
        <v>698</v>
      </c>
      <c r="D100" s="6"/>
      <c r="E100" s="93"/>
      <c r="G100" s="337">
        <v>1282.1174450000001</v>
      </c>
      <c r="H100" s="85">
        <f>G100+SUM(H90:H99)</f>
        <v>12679.013821177858</v>
      </c>
      <c r="R100" s="248"/>
    </row>
    <row r="101" spans="2:19" x14ac:dyDescent="0.35">
      <c r="B101" s="27"/>
      <c r="C101" s="230"/>
      <c r="D101" s="6"/>
      <c r="E101" s="93"/>
      <c r="G101" s="337">
        <f>G100-SUM(G90:G95)</f>
        <v>-2844.051900589684</v>
      </c>
      <c r="H101" s="85">
        <f>H90+H94</f>
        <v>-11323.103623822142</v>
      </c>
      <c r="R101" s="248"/>
    </row>
    <row r="104" spans="2:19" x14ac:dyDescent="0.35">
      <c r="B104" s="6" t="s">
        <v>709</v>
      </c>
      <c r="F104" s="85">
        <f>SUM(F105:F117)</f>
        <v>1725.3474900532988</v>
      </c>
      <c r="G104" s="85">
        <f t="shared" ref="G104:Q104" si="27">SUM(G105:G117)</f>
        <v>3394.6979494678953</v>
      </c>
      <c r="H104" s="85">
        <f t="shared" si="27"/>
        <v>4282.3174203327026</v>
      </c>
      <c r="I104" s="85">
        <f t="shared" si="27"/>
        <v>4329.2213425076407</v>
      </c>
      <c r="J104" s="85">
        <f t="shared" si="27"/>
        <v>4610.76047518219</v>
      </c>
      <c r="K104" s="85">
        <f t="shared" si="27"/>
        <v>4848.3307461441918</v>
      </c>
      <c r="L104" s="85">
        <f t="shared" si="27"/>
        <v>4715.5778654699989</v>
      </c>
      <c r="M104" s="85">
        <f t="shared" si="27"/>
        <v>4272.2437936678252</v>
      </c>
      <c r="N104" s="85">
        <f t="shared" si="27"/>
        <v>5038.4318139219431</v>
      </c>
      <c r="O104" s="85">
        <f t="shared" si="27"/>
        <v>4036.6136964776474</v>
      </c>
      <c r="P104" s="85">
        <f t="shared" si="27"/>
        <v>3776.5304393660604</v>
      </c>
      <c r="Q104" s="85">
        <f t="shared" si="27"/>
        <v>3842.7895225526654</v>
      </c>
      <c r="R104" s="85">
        <f>SUM(F104:Q104)</f>
        <v>48872.862555144064</v>
      </c>
    </row>
    <row r="105" spans="2:19" x14ac:dyDescent="0.35">
      <c r="C105" s="2" t="s">
        <v>147</v>
      </c>
      <c r="F105" s="62">
        <f>HaiDuong!F49</f>
        <v>623.54999999999995</v>
      </c>
      <c r="G105" s="62">
        <f>HaiDuong!G49</f>
        <v>969.7</v>
      </c>
      <c r="H105" s="62">
        <f>HaiDuong!H49</f>
        <v>1107.2499999999998</v>
      </c>
      <c r="I105" s="62">
        <f>HaiDuong!I49</f>
        <v>1303.8</v>
      </c>
      <c r="J105" s="62">
        <f>HaiDuong!J49</f>
        <v>1057.6500000000001</v>
      </c>
      <c r="K105" s="62">
        <f>HaiDuong!K49</f>
        <v>963.09999999999991</v>
      </c>
      <c r="L105" s="62">
        <f>HaiDuong!L49</f>
        <v>995.95</v>
      </c>
      <c r="M105" s="62">
        <f>HaiDuong!M49</f>
        <v>816.75</v>
      </c>
      <c r="N105" s="62">
        <f>HaiDuong!N49</f>
        <v>852.74999999999989</v>
      </c>
      <c r="O105" s="62">
        <f>HaiDuong!O49</f>
        <v>826.21999999999991</v>
      </c>
      <c r="P105" s="62">
        <f>HaiDuong!P49</f>
        <v>775.84999999999991</v>
      </c>
      <c r="Q105" s="62">
        <f>HaiDuong!Q49</f>
        <v>877.64999999999986</v>
      </c>
      <c r="R105" s="57">
        <f>SUM(F105:Q105)</f>
        <v>11170.22</v>
      </c>
    </row>
    <row r="106" spans="2:19" x14ac:dyDescent="0.35">
      <c r="C106" s="2" t="s">
        <v>150</v>
      </c>
      <c r="F106" s="62">
        <f>CaMau!F19</f>
        <v>193.58</v>
      </c>
      <c r="G106" s="62">
        <f>CaMau!G19</f>
        <v>347.3</v>
      </c>
      <c r="H106" s="62">
        <f>CaMau!H19</f>
        <v>433.2</v>
      </c>
      <c r="I106" s="62">
        <f>CaMau!I19</f>
        <v>515.9</v>
      </c>
      <c r="J106" s="62">
        <f>CaMau!J19</f>
        <v>493.8</v>
      </c>
      <c r="K106" s="62">
        <f>CaMau!K19</f>
        <v>632.13</v>
      </c>
      <c r="L106" s="62">
        <f>CaMau!L19</f>
        <v>477.04999999999995</v>
      </c>
      <c r="M106" s="62">
        <f>CaMau!M19</f>
        <v>488</v>
      </c>
      <c r="N106" s="62">
        <f>CaMau!N19</f>
        <v>450.53</v>
      </c>
      <c r="O106" s="62">
        <f>CaMau!O19</f>
        <v>518.07999999999993</v>
      </c>
      <c r="P106" s="62">
        <f>CaMau!P19</f>
        <v>499.9</v>
      </c>
      <c r="Q106" s="62">
        <f>CaMau!Q19</f>
        <v>367.04999999999995</v>
      </c>
      <c r="R106" s="57">
        <f t="shared" ref="R106:R117" si="28">SUM(F106:Q106)</f>
        <v>5416.5199999999995</v>
      </c>
    </row>
    <row r="107" spans="2:19" x14ac:dyDescent="0.35">
      <c r="C107" s="2" t="s">
        <v>146</v>
      </c>
      <c r="F107" s="62">
        <f>ThanhHoa!F19</f>
        <v>232.4</v>
      </c>
      <c r="G107" s="62">
        <f>ThanhHoa!G19</f>
        <v>1023.2</v>
      </c>
      <c r="H107" s="62">
        <f>ThanhHoa!H19</f>
        <v>1363.8720000000001</v>
      </c>
      <c r="I107" s="62">
        <f>ThanhHoa!I19</f>
        <v>1213.5103999999999</v>
      </c>
      <c r="J107" s="62">
        <f>ThanhHoa!J19</f>
        <v>1548.0736999999999</v>
      </c>
      <c r="K107" s="62">
        <f>ThanhHoa!K19</f>
        <v>1519.2978000000001</v>
      </c>
      <c r="L107" s="62">
        <f>ThanhHoa!L19</f>
        <v>1159.1610000000001</v>
      </c>
      <c r="M107" s="62">
        <f>ThanhHoa!M19</f>
        <v>718.50599999999997</v>
      </c>
      <c r="N107" s="62">
        <f>ThanhHoa!N19</f>
        <v>1511.4695999999999</v>
      </c>
      <c r="O107" s="62">
        <f>ThanhHoa!O19</f>
        <v>219.5</v>
      </c>
      <c r="P107" s="62">
        <f>ThanhHoa!P19</f>
        <v>209.2</v>
      </c>
      <c r="Q107" s="62">
        <f>ThanhHoa!Q19</f>
        <v>193.9</v>
      </c>
      <c r="R107" s="57">
        <f>SUM(F107:Q107)</f>
        <v>10912.0905</v>
      </c>
    </row>
    <row r="108" spans="2:19" x14ac:dyDescent="0.35">
      <c r="C108" s="2" t="s">
        <v>148</v>
      </c>
      <c r="F108" s="62">
        <f>ThaiNguyen!F19</f>
        <v>75.599999999999994</v>
      </c>
      <c r="G108" s="62">
        <f>ThaiNguyen!G19</f>
        <v>127.9</v>
      </c>
      <c r="H108" s="62">
        <f>ThaiNguyen!H19</f>
        <v>206.55</v>
      </c>
      <c r="I108" s="62">
        <f>ThaiNguyen!I19</f>
        <v>173.9</v>
      </c>
      <c r="J108" s="62">
        <f>ThaiNguyen!J19</f>
        <v>239.2</v>
      </c>
      <c r="K108" s="62">
        <f>ThaiNguyen!K19</f>
        <v>249.2</v>
      </c>
      <c r="L108" s="62">
        <f>ThaiNguyen!L19</f>
        <v>273.89999999999998</v>
      </c>
      <c r="M108" s="62">
        <f>ThaiNguyen!M19</f>
        <v>345.6</v>
      </c>
      <c r="N108" s="62">
        <f>ThaiNguyen!N19</f>
        <v>349.15000000000003</v>
      </c>
      <c r="O108" s="62">
        <f>ThaiNguyen!O19</f>
        <v>380.95</v>
      </c>
      <c r="P108" s="62">
        <f>ThaiNguyen!P19</f>
        <v>435.15</v>
      </c>
      <c r="Q108" s="62">
        <f>ThaiNguyen!Q19</f>
        <v>464.95</v>
      </c>
      <c r="R108" s="57">
        <f t="shared" si="28"/>
        <v>3322.0499999999997</v>
      </c>
    </row>
    <row r="109" spans="2:19" x14ac:dyDescent="0.35">
      <c r="C109" s="2" t="s">
        <v>327</v>
      </c>
      <c r="F109" s="62">
        <f>ThaiBinh!F17</f>
        <v>0</v>
      </c>
      <c r="G109" s="62">
        <f>ThaiBinh!G17</f>
        <v>0</v>
      </c>
      <c r="H109" s="62">
        <f>ThaiBinh!H17</f>
        <v>0</v>
      </c>
      <c r="I109" s="62">
        <f>ThaiBinh!I17</f>
        <v>0</v>
      </c>
      <c r="J109" s="62">
        <f>ThaiBinh!J17</f>
        <v>0</v>
      </c>
      <c r="K109" s="62">
        <f>ThaiBinh!K17</f>
        <v>81.349999999999994</v>
      </c>
      <c r="L109" s="62">
        <f>ThaiBinh!L17</f>
        <v>311.85000000000002</v>
      </c>
      <c r="M109" s="62">
        <f>ThaiBinh!M17</f>
        <v>503.9</v>
      </c>
      <c r="N109" s="62">
        <f>ThaiBinh!N17</f>
        <v>324.24</v>
      </c>
      <c r="O109" s="62">
        <f>ThaiBinh!O17</f>
        <v>265.89</v>
      </c>
      <c r="P109" s="62">
        <f>ThaiBinh!P17</f>
        <v>231.44</v>
      </c>
      <c r="Q109" s="62">
        <f>ThaiBinh!Q17</f>
        <v>227.76999999999998</v>
      </c>
      <c r="R109" s="57">
        <f t="shared" si="28"/>
        <v>1946.44</v>
      </c>
    </row>
    <row r="110" spans="2:19" x14ac:dyDescent="0.35">
      <c r="C110" s="2" t="s">
        <v>151</v>
      </c>
      <c r="F110" s="62">
        <f>YetKieu!F18</f>
        <v>170.42499999999998</v>
      </c>
      <c r="G110" s="62">
        <f>YetKieu!G18</f>
        <v>288.86500000000001</v>
      </c>
      <c r="H110" s="62">
        <f>YetKieu!H18</f>
        <v>356.39699999999999</v>
      </c>
      <c r="I110" s="62">
        <f>YetKieu!I18</f>
        <v>326.91500000000008</v>
      </c>
      <c r="J110" s="62">
        <f>YetKieu!J18</f>
        <v>534.04</v>
      </c>
      <c r="K110" s="62">
        <f>YetKieu!K18</f>
        <v>612.5200000000001</v>
      </c>
      <c r="L110" s="62">
        <f>YetKieu!L18</f>
        <v>682.8599999999999</v>
      </c>
      <c r="M110" s="62">
        <f>YetKieu!M18</f>
        <v>617.57999999999993</v>
      </c>
      <c r="N110" s="62">
        <f>YetKieu!N18</f>
        <v>635.14560000000006</v>
      </c>
      <c r="O110" s="62">
        <f>YetKieu!O18</f>
        <v>691.63999999999987</v>
      </c>
      <c r="P110" s="62">
        <f>YetKieu!P18</f>
        <v>600.31000000000006</v>
      </c>
      <c r="Q110" s="62">
        <f>YetKieu!Q18</f>
        <v>709.56099999999992</v>
      </c>
      <c r="R110" s="57">
        <f t="shared" si="28"/>
        <v>6226.2586000000001</v>
      </c>
    </row>
    <row r="111" spans="2:19" x14ac:dyDescent="0.35">
      <c r="C111" s="2" t="s">
        <v>153</v>
      </c>
      <c r="F111" s="62">
        <f>NhaTrang!F16</f>
        <v>186.03</v>
      </c>
      <c r="G111" s="62">
        <f>NhaTrang!G16</f>
        <v>314.52500000000009</v>
      </c>
      <c r="H111" s="62">
        <f>NhaTrang!H16</f>
        <v>428.55</v>
      </c>
      <c r="I111" s="62">
        <f>NhaTrang!I16</f>
        <v>429.65</v>
      </c>
      <c r="J111" s="62">
        <f>NhaTrang!J16</f>
        <v>392.27499999999998</v>
      </c>
      <c r="K111" s="62">
        <f>NhaTrang!K16</f>
        <v>498.85500000000002</v>
      </c>
      <c r="L111" s="62">
        <f>NhaTrang!L16</f>
        <v>516.06500000000005</v>
      </c>
      <c r="M111" s="62">
        <f>NhaTrang!M16</f>
        <v>515.07499999999993</v>
      </c>
      <c r="N111" s="62">
        <f>NhaTrang!N16</f>
        <v>452.13</v>
      </c>
      <c r="O111" s="62">
        <f>NhaTrang!O16</f>
        <v>678.30599999999993</v>
      </c>
      <c r="P111" s="62">
        <f>NhaTrang!P16</f>
        <v>546.88499999999988</v>
      </c>
      <c r="Q111" s="62">
        <f>NhaTrang!Q16</f>
        <v>574.4</v>
      </c>
      <c r="R111" s="57">
        <f t="shared" si="28"/>
        <v>5532.7460000000001</v>
      </c>
    </row>
    <row r="112" spans="2:19" x14ac:dyDescent="0.35">
      <c r="C112" s="2" t="s">
        <v>154</v>
      </c>
      <c r="F112" s="62">
        <f>ThachThat!F13</f>
        <v>0</v>
      </c>
      <c r="G112" s="62">
        <f>ThachThat!G13</f>
        <v>0</v>
      </c>
      <c r="H112" s="62">
        <f>ThachThat!H13</f>
        <v>0</v>
      </c>
      <c r="I112" s="62">
        <f>ThachThat!I13</f>
        <v>0</v>
      </c>
      <c r="J112" s="62">
        <f>ThachThat!J13</f>
        <v>0</v>
      </c>
      <c r="K112" s="62">
        <f>ThachThat!K13</f>
        <v>0</v>
      </c>
      <c r="L112" s="62">
        <f>ThachThat!L13</f>
        <v>0</v>
      </c>
      <c r="M112" s="62">
        <f>ThachThat!M13</f>
        <v>0</v>
      </c>
      <c r="N112" s="62">
        <f>ThachThat!N13</f>
        <v>232.4</v>
      </c>
      <c r="O112" s="62">
        <f>ThachThat!O13</f>
        <v>202.3</v>
      </c>
      <c r="P112" s="62">
        <f>ThachThat!P13</f>
        <v>174.6</v>
      </c>
      <c r="Q112" s="62">
        <f>ThachThat!Q13</f>
        <v>84</v>
      </c>
      <c r="R112" s="57">
        <f t="shared" si="28"/>
        <v>693.30000000000007</v>
      </c>
    </row>
    <row r="113" spans="2:18" x14ac:dyDescent="0.35">
      <c r="C113" s="2" t="s">
        <v>155</v>
      </c>
      <c r="F113" s="62">
        <f>'SocSon-1'!F22</f>
        <v>0</v>
      </c>
      <c r="G113" s="62">
        <f>'SocSon-1'!G22</f>
        <v>0</v>
      </c>
      <c r="H113" s="62">
        <f>'SocSon-1'!H22</f>
        <v>0</v>
      </c>
      <c r="I113" s="62">
        <f>'SocSon-1'!I22</f>
        <v>0</v>
      </c>
      <c r="J113" s="62">
        <f>'SocSon-1'!J22</f>
        <v>0</v>
      </c>
      <c r="K113" s="62">
        <f>'SocSon-1'!K22</f>
        <v>0</v>
      </c>
      <c r="L113" s="62">
        <f>'SocSon-1'!L22</f>
        <v>0</v>
      </c>
      <c r="M113" s="62">
        <f>'SocSon-1'!M22</f>
        <v>0</v>
      </c>
      <c r="N113" s="62">
        <f>'SocSon-1'!N22</f>
        <v>0</v>
      </c>
      <c r="O113" s="62">
        <f>'SocSon-1'!O22</f>
        <v>27.2</v>
      </c>
      <c r="P113" s="62">
        <f>'SocSon-1'!P22</f>
        <v>71.55</v>
      </c>
      <c r="Q113" s="62">
        <f>'SocSon-1'!Q22</f>
        <v>112.24</v>
      </c>
      <c r="R113" s="57">
        <f t="shared" si="28"/>
        <v>210.99</v>
      </c>
    </row>
    <row r="114" spans="2:18" x14ac:dyDescent="0.35">
      <c r="C114" s="2" t="s">
        <v>326</v>
      </c>
      <c r="F114" s="62">
        <f>'Site liên kết'!F20</f>
        <v>243.76249005329899</v>
      </c>
      <c r="G114" s="62">
        <f>'Site liên kết'!G20</f>
        <v>323.20794946789511</v>
      </c>
      <c r="H114" s="62">
        <f>'Site liên kết'!H20</f>
        <v>386.49842033270227</v>
      </c>
      <c r="I114" s="62">
        <f>'Site liên kết'!I20</f>
        <v>365.54594250764046</v>
      </c>
      <c r="J114" s="62">
        <f>'Site liên kết'!J20</f>
        <v>345.72177518219115</v>
      </c>
      <c r="K114" s="62">
        <f>'Site liên kết'!K20</f>
        <v>291.87794614419295</v>
      </c>
      <c r="L114" s="62">
        <f>'Site liên kết'!L20</f>
        <v>298.74186546999999</v>
      </c>
      <c r="M114" s="62">
        <f>'Site liên kết'!M20</f>
        <v>266.83279366782597</v>
      </c>
      <c r="N114" s="62">
        <f>'Site liên kết'!N20</f>
        <v>230.61661392194407</v>
      </c>
      <c r="O114" s="62">
        <f>'Site liên kết'!O20</f>
        <v>226.52769647764751</v>
      </c>
      <c r="P114" s="62">
        <f>'Site liên kết'!P20</f>
        <v>231.64543936606077</v>
      </c>
      <c r="Q114" s="62">
        <f>'Site liên kết'!Q20</f>
        <v>231.26852255266618</v>
      </c>
      <c r="R114" s="57">
        <f t="shared" si="28"/>
        <v>3442.247455144065</v>
      </c>
    </row>
    <row r="115" spans="2:18" x14ac:dyDescent="0.35">
      <c r="C115" s="2" t="s">
        <v>165</v>
      </c>
      <c r="F115" s="62">
        <f>0</f>
        <v>0</v>
      </c>
      <c r="G115" s="62">
        <f>0</f>
        <v>0</v>
      </c>
      <c r="H115" s="62">
        <f>0</f>
        <v>0</v>
      </c>
      <c r="I115" s="62">
        <f>0</f>
        <v>0</v>
      </c>
      <c r="J115" s="62">
        <f>0</f>
        <v>0</v>
      </c>
      <c r="K115" s="62">
        <f>0</f>
        <v>0</v>
      </c>
      <c r="L115" s="62">
        <f>0</f>
        <v>0</v>
      </c>
      <c r="M115" s="62">
        <f>0</f>
        <v>0</v>
      </c>
      <c r="N115" s="62">
        <f>0</f>
        <v>0</v>
      </c>
      <c r="O115" s="62">
        <f>0</f>
        <v>0</v>
      </c>
      <c r="P115" s="62">
        <f>0</f>
        <v>0</v>
      </c>
      <c r="Q115" s="62">
        <f>0</f>
        <v>0</v>
      </c>
      <c r="R115" s="57">
        <f t="shared" si="28"/>
        <v>0</v>
      </c>
    </row>
    <row r="116" spans="2:18" x14ac:dyDescent="0.35">
      <c r="C116" s="2" t="s">
        <v>176</v>
      </c>
      <c r="F116" s="62">
        <f>0</f>
        <v>0</v>
      </c>
      <c r="G116" s="62">
        <f>0</f>
        <v>0</v>
      </c>
      <c r="H116" s="62">
        <f>0</f>
        <v>0</v>
      </c>
      <c r="I116" s="62">
        <f>0</f>
        <v>0</v>
      </c>
      <c r="J116" s="62">
        <f>0</f>
        <v>0</v>
      </c>
      <c r="K116" s="62">
        <f>0</f>
        <v>0</v>
      </c>
      <c r="L116" s="62">
        <f>0</f>
        <v>0</v>
      </c>
      <c r="M116" s="62">
        <f>0</f>
        <v>0</v>
      </c>
      <c r="N116" s="62">
        <f>0</f>
        <v>0</v>
      </c>
      <c r="O116" s="62">
        <f>0</f>
        <v>0</v>
      </c>
      <c r="P116" s="62">
        <f>0</f>
        <v>0</v>
      </c>
      <c r="Q116" s="62">
        <f>0</f>
        <v>0</v>
      </c>
      <c r="R116" s="57">
        <f t="shared" si="28"/>
        <v>0</v>
      </c>
    </row>
    <row r="117" spans="2:18" x14ac:dyDescent="0.35">
      <c r="C117" s="2" t="s">
        <v>454</v>
      </c>
      <c r="F117" s="62">
        <v>0</v>
      </c>
      <c r="G117" s="62">
        <v>0</v>
      </c>
      <c r="H117" s="62">
        <v>0</v>
      </c>
      <c r="I117" s="62">
        <v>0</v>
      </c>
      <c r="J117" s="62">
        <v>0</v>
      </c>
      <c r="K117" s="62">
        <v>0</v>
      </c>
      <c r="L117" s="62">
        <v>0</v>
      </c>
      <c r="M117" s="62">
        <v>0</v>
      </c>
      <c r="N117" s="62">
        <v>0</v>
      </c>
      <c r="O117" s="62">
        <v>0</v>
      </c>
      <c r="P117" s="62">
        <v>0</v>
      </c>
      <c r="Q117" s="62">
        <v>0</v>
      </c>
      <c r="R117" s="57">
        <f t="shared" si="28"/>
        <v>0</v>
      </c>
    </row>
    <row r="118" spans="2:18" x14ac:dyDescent="0.35">
      <c r="B118" s="6" t="s">
        <v>710</v>
      </c>
    </row>
    <row r="119" spans="2:18" x14ac:dyDescent="0.35">
      <c r="B119" s="6"/>
      <c r="C119" s="6" t="s">
        <v>214</v>
      </c>
      <c r="F119" s="623">
        <f>F10/F104-1</f>
        <v>1.0144171419310615</v>
      </c>
      <c r="G119" s="623">
        <f t="shared" ref="G119:Q119" si="29">G10/G104-1</f>
        <v>-0.19515879169863859</v>
      </c>
      <c r="H119" s="623">
        <f t="shared" si="29"/>
        <v>0.88097066217153874</v>
      </c>
      <c r="I119" s="623">
        <f t="shared" si="29"/>
        <v>0.88040782686158758</v>
      </c>
      <c r="J119" s="623">
        <f t="shared" si="29"/>
        <v>0.78767885583948782</v>
      </c>
      <c r="K119" s="623">
        <f t="shared" si="29"/>
        <v>0.74646829308425744</v>
      </c>
      <c r="L119" s="623">
        <f t="shared" si="29"/>
        <v>0.8061235295283582</v>
      </c>
      <c r="M119" s="623">
        <f t="shared" si="29"/>
        <v>0.98607745160107441</v>
      </c>
      <c r="N119" s="623">
        <f t="shared" si="29"/>
        <v>0.70306778051266017</v>
      </c>
      <c r="O119" s="623">
        <f t="shared" si="29"/>
        <v>1.1247269652382541</v>
      </c>
      <c r="P119" s="623">
        <f t="shared" si="29"/>
        <v>1.3079437202967794</v>
      </c>
      <c r="Q119" s="623">
        <f t="shared" si="29"/>
        <v>1.2680510457521925</v>
      </c>
      <c r="R119" s="623">
        <f>R10/R104-1</f>
        <v>0.8559271188212505</v>
      </c>
    </row>
    <row r="120" spans="2:18" x14ac:dyDescent="0.35">
      <c r="C120" s="2" t="s">
        <v>147</v>
      </c>
      <c r="F120" s="201">
        <f>IFERROR(F11/F105-1,"")</f>
        <v>5.1719990377676162E-2</v>
      </c>
      <c r="G120" s="201">
        <f t="shared" ref="G120:Q120" si="30">IFERROR(G11/G105-1,"")</f>
        <v>-0.4338970815716201</v>
      </c>
      <c r="H120" s="201">
        <f t="shared" si="30"/>
        <v>7.1459878633808316E-2</v>
      </c>
      <c r="I120" s="201">
        <f t="shared" si="30"/>
        <v>-9.0064464935355137E-2</v>
      </c>
      <c r="J120" s="201">
        <f t="shared" si="30"/>
        <v>0.12170751252047829</v>
      </c>
      <c r="K120" s="201">
        <f t="shared" si="30"/>
        <v>0.23182841928905007</v>
      </c>
      <c r="L120" s="201">
        <f t="shared" si="30"/>
        <v>0.19119830374746116</v>
      </c>
      <c r="M120" s="201">
        <f t="shared" si="30"/>
        <v>0.45255457681944788</v>
      </c>
      <c r="N120" s="201">
        <f t="shared" si="30"/>
        <v>0.39123301157113355</v>
      </c>
      <c r="O120" s="201">
        <f t="shared" si="30"/>
        <v>0.43590563120873882</v>
      </c>
      <c r="P120" s="201">
        <f t="shared" si="30"/>
        <v>0.52912798945322437</v>
      </c>
      <c r="Q120" s="201">
        <f t="shared" si="30"/>
        <v>0.35176203568311304</v>
      </c>
      <c r="R120" s="201">
        <f t="shared" ref="R120" si="31">IFERROR(R11/R105-1,"")</f>
        <v>0.16994020763895823</v>
      </c>
    </row>
    <row r="121" spans="2:18" x14ac:dyDescent="0.35">
      <c r="C121" s="2" t="s">
        <v>150</v>
      </c>
      <c r="F121" s="201">
        <f t="shared" ref="F121:Q131" si="32">IFERROR(F12/F106-1,"")</f>
        <v>1.0980864707097839</v>
      </c>
      <c r="G121" s="201">
        <f t="shared" si="32"/>
        <v>-2.9657356752087582E-2</v>
      </c>
      <c r="H121" s="201">
        <f t="shared" si="32"/>
        <v>0.50623268698060953</v>
      </c>
      <c r="I121" s="201">
        <f t="shared" si="32"/>
        <v>0.26477999612327974</v>
      </c>
      <c r="J121" s="201">
        <f t="shared" si="32"/>
        <v>0.3213851761846902</v>
      </c>
      <c r="K121" s="201">
        <f t="shared" si="32"/>
        <v>3.2224384224763813E-2</v>
      </c>
      <c r="L121" s="201">
        <f t="shared" si="32"/>
        <v>0.3677811550151977</v>
      </c>
      <c r="M121" s="201">
        <f t="shared" si="32"/>
        <v>0.33709016393442615</v>
      </c>
      <c r="N121" s="201">
        <f t="shared" si="32"/>
        <v>0.44829423123876322</v>
      </c>
      <c r="O121" s="201">
        <f t="shared" si="32"/>
        <v>0.25945799876466968</v>
      </c>
      <c r="P121" s="201">
        <f t="shared" si="32"/>
        <v>0.3052610522104422</v>
      </c>
      <c r="Q121" s="201">
        <f t="shared" si="32"/>
        <v>0.77768696362893364</v>
      </c>
      <c r="R121" s="201">
        <f t="shared" ref="R121" si="33">IFERROR(R12/R106-1,"")</f>
        <v>0.34184819385878784</v>
      </c>
    </row>
    <row r="122" spans="2:18" x14ac:dyDescent="0.35">
      <c r="C122" s="2" t="s">
        <v>146</v>
      </c>
      <c r="F122" s="201">
        <f t="shared" si="32"/>
        <v>0.24509466437177285</v>
      </c>
      <c r="G122" s="201">
        <f t="shared" si="32"/>
        <v>-0.87444292415949965</v>
      </c>
      <c r="H122" s="201">
        <f t="shared" si="32"/>
        <v>-0.23379906618802937</v>
      </c>
      <c r="I122" s="201">
        <f t="shared" si="32"/>
        <v>-0.13886193311569472</v>
      </c>
      <c r="J122" s="201">
        <f t="shared" si="32"/>
        <v>-0.32496753869017991</v>
      </c>
      <c r="K122" s="201">
        <f t="shared" si="32"/>
        <v>-0.31218224629825697</v>
      </c>
      <c r="L122" s="201">
        <f t="shared" si="32"/>
        <v>-9.8485887637696612E-2</v>
      </c>
      <c r="M122" s="201">
        <f t="shared" si="32"/>
        <v>0.45440678296353831</v>
      </c>
      <c r="N122" s="201">
        <f t="shared" si="32"/>
        <v>-0.3086199021138103</v>
      </c>
      <c r="O122" s="201">
        <f t="shared" si="32"/>
        <v>3.7608200455580869</v>
      </c>
      <c r="P122" s="201">
        <f t="shared" si="32"/>
        <v>3.9952198852772467</v>
      </c>
      <c r="Q122" s="201">
        <f t="shared" si="32"/>
        <v>4.3893759669932955</v>
      </c>
      <c r="R122" s="201">
        <f t="shared" ref="R122" si="34">IFERROR(R13/R107-1,"")</f>
        <v>-4.056097225366706E-3</v>
      </c>
    </row>
    <row r="123" spans="2:18" x14ac:dyDescent="0.35">
      <c r="C123" s="2" t="s">
        <v>148</v>
      </c>
      <c r="F123" s="201">
        <f t="shared" si="32"/>
        <v>3.633027169312169</v>
      </c>
      <c r="G123" s="201">
        <f t="shared" si="32"/>
        <v>0.57404222048475351</v>
      </c>
      <c r="H123" s="201">
        <f t="shared" si="32"/>
        <v>3.5170660856935365</v>
      </c>
      <c r="I123" s="201">
        <f t="shared" si="32"/>
        <v>4.3651523864289823</v>
      </c>
      <c r="J123" s="201">
        <f t="shared" si="32"/>
        <v>2.9005016722408028</v>
      </c>
      <c r="K123" s="201">
        <f t="shared" si="32"/>
        <v>2.7439807383627608</v>
      </c>
      <c r="L123" s="201">
        <f t="shared" si="32"/>
        <v>2.4063526834611175</v>
      </c>
      <c r="M123" s="201">
        <f t="shared" si="32"/>
        <v>1.6996527777777777</v>
      </c>
      <c r="N123" s="201">
        <f t="shared" si="32"/>
        <v>1.6722039238149788</v>
      </c>
      <c r="O123" s="201">
        <f t="shared" si="32"/>
        <v>1.4491403071269198</v>
      </c>
      <c r="P123" s="201">
        <f t="shared" si="32"/>
        <v>1.1440882454326093</v>
      </c>
      <c r="Q123" s="201">
        <f t="shared" si="32"/>
        <v>1.0066673835896331</v>
      </c>
      <c r="R123" s="201">
        <f t="shared" ref="R123" si="35">IFERROR(R14/R108-1,"")</f>
        <v>1.9745418804653752</v>
      </c>
    </row>
    <row r="124" spans="2:18" x14ac:dyDescent="0.35">
      <c r="C124" s="2" t="s">
        <v>327</v>
      </c>
      <c r="F124" s="201" t="str">
        <f t="shared" si="32"/>
        <v/>
      </c>
      <c r="G124" s="201" t="str">
        <f t="shared" si="32"/>
        <v/>
      </c>
      <c r="H124" s="201" t="str">
        <f t="shared" si="32"/>
        <v/>
      </c>
      <c r="I124" s="201" t="str">
        <f t="shared" si="32"/>
        <v/>
      </c>
      <c r="J124" s="201" t="str">
        <f t="shared" si="32"/>
        <v/>
      </c>
      <c r="K124" s="201">
        <f t="shared" si="32"/>
        <v>8.3669330055316546</v>
      </c>
      <c r="L124" s="201">
        <f t="shared" si="32"/>
        <v>1.4434824434824431</v>
      </c>
      <c r="M124" s="201">
        <f t="shared" si="32"/>
        <v>0.51220480254018663</v>
      </c>
      <c r="N124" s="201">
        <f t="shared" si="32"/>
        <v>1.3501110288675053</v>
      </c>
      <c r="O124" s="201">
        <f t="shared" si="32"/>
        <v>1.8658467787430895</v>
      </c>
      <c r="P124" s="201">
        <f t="shared" si="32"/>
        <v>2.2924300034566194</v>
      </c>
      <c r="Q124" s="201">
        <f t="shared" si="32"/>
        <v>2.3454800895640342</v>
      </c>
      <c r="R124" s="201">
        <f t="shared" ref="R124" si="36">IFERROR(R15/R109-1,"")</f>
        <v>2.7203407246049198</v>
      </c>
    </row>
    <row r="125" spans="2:18" x14ac:dyDescent="0.35">
      <c r="C125" s="2" t="s">
        <v>151</v>
      </c>
      <c r="F125" s="201">
        <f t="shared" si="32"/>
        <v>2.6065718057796694</v>
      </c>
      <c r="G125" s="201">
        <f t="shared" si="32"/>
        <v>0.25764630536755928</v>
      </c>
      <c r="H125" s="201">
        <f t="shared" si="32"/>
        <v>3.2812336820447712</v>
      </c>
      <c r="I125" s="201">
        <f t="shared" si="32"/>
        <v>3.6673258815891279</v>
      </c>
      <c r="J125" s="201">
        <f t="shared" si="32"/>
        <v>1.8571246359443307</v>
      </c>
      <c r="K125" s="201">
        <f t="shared" si="32"/>
        <v>1.4910514604906124</v>
      </c>
      <c r="L125" s="201">
        <f t="shared" si="32"/>
        <v>1.2344533880732662</v>
      </c>
      <c r="M125" s="201">
        <f t="shared" si="32"/>
        <v>1.4706416020267987</v>
      </c>
      <c r="N125" s="201">
        <f t="shared" si="32"/>
        <v>1.4023134861986137</v>
      </c>
      <c r="O125" s="201">
        <f t="shared" si="32"/>
        <v>1.2060881970095867</v>
      </c>
      <c r="P125" s="201">
        <f t="shared" si="32"/>
        <v>1.5417181799065651</v>
      </c>
      <c r="Q125" s="201">
        <f t="shared" si="32"/>
        <v>1.1503702156399669</v>
      </c>
      <c r="R125" s="201">
        <f t="shared" ref="R125" si="37">IFERROR(R16/R110-1,"")</f>
        <v>1.6076861641752402</v>
      </c>
    </row>
    <row r="126" spans="2:18" x14ac:dyDescent="0.35">
      <c r="C126" s="2" t="s">
        <v>153</v>
      </c>
      <c r="F126" s="201">
        <f t="shared" si="32"/>
        <v>2.1963661774982528</v>
      </c>
      <c r="G126" s="201">
        <f t="shared" si="32"/>
        <v>0.26587711628646327</v>
      </c>
      <c r="H126" s="201">
        <f t="shared" si="32"/>
        <v>1.9821491074553728</v>
      </c>
      <c r="I126" s="201">
        <f t="shared" si="32"/>
        <v>1.9745141394158039</v>
      </c>
      <c r="J126" s="201">
        <f t="shared" si="32"/>
        <v>2.2579185520361991</v>
      </c>
      <c r="K126" s="201">
        <f t="shared" si="32"/>
        <v>1.5618666746850285</v>
      </c>
      <c r="L126" s="201">
        <f t="shared" si="32"/>
        <v>1.4764322323738286</v>
      </c>
      <c r="M126" s="201">
        <f t="shared" si="32"/>
        <v>1.4811920594088241</v>
      </c>
      <c r="N126" s="201">
        <f t="shared" si="32"/>
        <v>1.8266206621989252</v>
      </c>
      <c r="O126" s="201">
        <f t="shared" si="32"/>
        <v>0.88410540375582714</v>
      </c>
      <c r="P126" s="201">
        <f t="shared" si="32"/>
        <v>1.3368715543487211</v>
      </c>
      <c r="Q126" s="201">
        <f t="shared" si="32"/>
        <v>1.2249303621169916</v>
      </c>
      <c r="R126" s="201">
        <f t="shared" ref="R126" si="38">IFERROR(R17/R111-1,"")</f>
        <v>1.4893190469976392</v>
      </c>
    </row>
    <row r="127" spans="2:18" x14ac:dyDescent="0.35">
      <c r="C127" s="2" t="s">
        <v>154</v>
      </c>
      <c r="F127" s="201" t="str">
        <f t="shared" si="32"/>
        <v/>
      </c>
      <c r="G127" s="201" t="str">
        <f t="shared" si="32"/>
        <v/>
      </c>
      <c r="H127" s="201" t="str">
        <f t="shared" si="32"/>
        <v/>
      </c>
      <c r="I127" s="201" t="str">
        <f t="shared" si="32"/>
        <v/>
      </c>
      <c r="J127" s="201" t="str">
        <f t="shared" si="32"/>
        <v/>
      </c>
      <c r="K127" s="201" t="str">
        <f t="shared" si="32"/>
        <v/>
      </c>
      <c r="L127" s="201" t="str">
        <f t="shared" si="32"/>
        <v/>
      </c>
      <c r="M127" s="201" t="str">
        <f t="shared" si="32"/>
        <v/>
      </c>
      <c r="N127" s="201">
        <f t="shared" si="32"/>
        <v>0.17469879518072284</v>
      </c>
      <c r="O127" s="201">
        <f t="shared" si="32"/>
        <v>0.34948096885813151</v>
      </c>
      <c r="P127" s="201">
        <f t="shared" si="32"/>
        <v>0.56357388316151202</v>
      </c>
      <c r="Q127" s="201">
        <f t="shared" si="32"/>
        <v>2.25</v>
      </c>
      <c r="R127" s="201">
        <f t="shared" ref="R127" si="39">IFERROR(R18/R112-1,"")</f>
        <v>3.414135294966103</v>
      </c>
    </row>
    <row r="128" spans="2:18" x14ac:dyDescent="0.35">
      <c r="C128" s="2" t="s">
        <v>155</v>
      </c>
      <c r="F128" s="201" t="str">
        <f t="shared" si="32"/>
        <v/>
      </c>
      <c r="G128" s="201" t="str">
        <f t="shared" si="32"/>
        <v/>
      </c>
      <c r="H128" s="201" t="str">
        <f t="shared" si="32"/>
        <v/>
      </c>
      <c r="I128" s="201" t="str">
        <f t="shared" si="32"/>
        <v/>
      </c>
      <c r="J128" s="201" t="str">
        <f t="shared" si="32"/>
        <v/>
      </c>
      <c r="K128" s="201" t="str">
        <f t="shared" si="32"/>
        <v/>
      </c>
      <c r="L128" s="201" t="str">
        <f t="shared" si="32"/>
        <v/>
      </c>
      <c r="M128" s="201" t="str">
        <f t="shared" si="32"/>
        <v/>
      </c>
      <c r="N128" s="201" t="str">
        <f t="shared" si="32"/>
        <v/>
      </c>
      <c r="O128" s="201">
        <f t="shared" si="32"/>
        <v>7.9779411764705888</v>
      </c>
      <c r="P128" s="201">
        <f t="shared" si="32"/>
        <v>4.2886093640810632</v>
      </c>
      <c r="Q128" s="201">
        <f t="shared" si="32"/>
        <v>2.3713471133285822</v>
      </c>
      <c r="R128" s="201">
        <f t="shared" ref="R128" si="40">IFERROR(R19/R113-1,"")</f>
        <v>11.704630551210958</v>
      </c>
    </row>
    <row r="129" spans="2:18" x14ac:dyDescent="0.35">
      <c r="C129" s="2" t="s">
        <v>326</v>
      </c>
      <c r="F129" s="201">
        <f t="shared" si="32"/>
        <v>-0.79092301387324349</v>
      </c>
      <c r="G129" s="201">
        <f t="shared" si="32"/>
        <v>0</v>
      </c>
      <c r="H129" s="201">
        <f t="shared" si="32"/>
        <v>0</v>
      </c>
      <c r="I129" s="201">
        <f t="shared" si="32"/>
        <v>0</v>
      </c>
      <c r="J129" s="201">
        <f t="shared" si="32"/>
        <v>0</v>
      </c>
      <c r="K129" s="201">
        <f t="shared" si="32"/>
        <v>0</v>
      </c>
      <c r="L129" s="201">
        <f t="shared" si="32"/>
        <v>0</v>
      </c>
      <c r="M129" s="201">
        <f t="shared" si="32"/>
        <v>0</v>
      </c>
      <c r="N129" s="201">
        <f t="shared" si="32"/>
        <v>0</v>
      </c>
      <c r="O129" s="201">
        <f t="shared" si="32"/>
        <v>0</v>
      </c>
      <c r="P129" s="201">
        <f t="shared" si="32"/>
        <v>0</v>
      </c>
      <c r="Q129" s="201">
        <f t="shared" si="32"/>
        <v>0</v>
      </c>
      <c r="R129" s="201">
        <f t="shared" ref="R129" si="41">IFERROR(R20/R114-1,"")</f>
        <v>-5.6009152687174435E-2</v>
      </c>
    </row>
    <row r="130" spans="2:18" x14ac:dyDescent="0.35">
      <c r="C130" s="2" t="s">
        <v>165</v>
      </c>
      <c r="F130" s="201" t="str">
        <f t="shared" si="32"/>
        <v/>
      </c>
      <c r="G130" s="201" t="str">
        <f t="shared" si="32"/>
        <v/>
      </c>
      <c r="H130" s="201" t="str">
        <f t="shared" si="32"/>
        <v/>
      </c>
      <c r="I130" s="201" t="str">
        <f t="shared" si="32"/>
        <v/>
      </c>
      <c r="J130" s="201" t="str">
        <f t="shared" si="32"/>
        <v/>
      </c>
      <c r="K130" s="201" t="str">
        <f t="shared" si="32"/>
        <v/>
      </c>
      <c r="L130" s="201" t="str">
        <f t="shared" si="32"/>
        <v/>
      </c>
      <c r="M130" s="201" t="str">
        <f t="shared" si="32"/>
        <v/>
      </c>
      <c r="N130" s="201" t="str">
        <f t="shared" si="32"/>
        <v/>
      </c>
      <c r="O130" s="201" t="str">
        <f t="shared" si="32"/>
        <v/>
      </c>
      <c r="P130" s="201" t="str">
        <f t="shared" si="32"/>
        <v/>
      </c>
      <c r="Q130" s="201" t="str">
        <f t="shared" si="32"/>
        <v/>
      </c>
      <c r="R130" s="201" t="str">
        <f t="shared" ref="R130" si="42">IFERROR(R21/R115-1,"")</f>
        <v/>
      </c>
    </row>
    <row r="131" spans="2:18" x14ac:dyDescent="0.35">
      <c r="C131" s="2" t="s">
        <v>176</v>
      </c>
      <c r="F131" s="201" t="str">
        <f t="shared" si="32"/>
        <v/>
      </c>
      <c r="G131" s="201" t="str">
        <f t="shared" si="32"/>
        <v/>
      </c>
      <c r="H131" s="201" t="str">
        <f t="shared" si="32"/>
        <v/>
      </c>
      <c r="I131" s="201" t="str">
        <f t="shared" si="32"/>
        <v/>
      </c>
      <c r="J131" s="201" t="str">
        <f t="shared" si="32"/>
        <v/>
      </c>
      <c r="K131" s="201" t="str">
        <f t="shared" si="32"/>
        <v/>
      </c>
      <c r="L131" s="201" t="str">
        <f t="shared" si="32"/>
        <v/>
      </c>
      <c r="M131" s="201" t="str">
        <f t="shared" si="32"/>
        <v/>
      </c>
      <c r="N131" s="201" t="str">
        <f t="shared" si="32"/>
        <v/>
      </c>
      <c r="O131" s="201" t="str">
        <f t="shared" si="32"/>
        <v/>
      </c>
      <c r="P131" s="201" t="str">
        <f t="shared" si="32"/>
        <v/>
      </c>
      <c r="Q131" s="201" t="str">
        <f t="shared" si="32"/>
        <v/>
      </c>
      <c r="R131" s="201" t="str">
        <f t="shared" ref="R131" si="43">IFERROR(R22/R116-1,"")</f>
        <v/>
      </c>
    </row>
    <row r="132" spans="2:18" x14ac:dyDescent="0.35">
      <c r="C132" s="2" t="s">
        <v>454</v>
      </c>
      <c r="F132" s="201"/>
      <c r="G132" s="201"/>
      <c r="H132" s="201"/>
      <c r="I132" s="201"/>
      <c r="J132" s="201"/>
      <c r="K132" s="201"/>
      <c r="L132" s="201"/>
      <c r="M132" s="201"/>
      <c r="N132" s="201"/>
      <c r="O132" s="201"/>
      <c r="P132" s="201"/>
      <c r="Q132" s="201"/>
      <c r="R132" s="201"/>
    </row>
    <row r="133" spans="2:18" x14ac:dyDescent="0.35">
      <c r="B133" s="6"/>
    </row>
  </sheetData>
  <conditionalFormatting sqref="F90:Q90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A850-9FE4-454A-8976-0B7927F05579}">
  <sheetPr>
    <tabColor rgb="FF2596BE"/>
  </sheetPr>
  <dimension ref="B3:Y92"/>
  <sheetViews>
    <sheetView workbookViewId="0">
      <pane xSplit="5" ySplit="9" topLeftCell="F10" activePane="bottomRight" state="frozen"/>
      <selection activeCell="B8" sqref="B8"/>
      <selection pane="topRight" activeCell="B8" sqref="B8"/>
      <selection pane="bottomLeft" activeCell="B8" sqref="B8"/>
      <selection pane="bottomRight" activeCell="H24" sqref="H24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45.1328125" style="2" customWidth="1"/>
    <col min="6" max="6" width="12.265625" style="2" customWidth="1"/>
    <col min="7" max="8" width="9.1328125" style="2" customWidth="1" outlineLevel="1"/>
    <col min="9" max="9" width="9" style="2" customWidth="1" outlineLevel="1"/>
    <col min="10" max="17" width="9.1328125" style="2" customWidth="1" outlineLevel="1"/>
    <col min="18" max="18" width="10.265625" style="2" bestFit="1" customWidth="1"/>
    <col min="19" max="19" width="12.1328125" style="2" customWidth="1"/>
    <col min="20" max="20" width="10.59765625" style="2" customWidth="1"/>
    <col min="21" max="21" width="18.59765625" style="2" customWidth="1"/>
    <col min="22" max="22" width="11.3984375" style="2" customWidth="1"/>
    <col min="23" max="23" width="12.86328125" style="2" customWidth="1"/>
    <col min="24" max="24" width="13.1328125" style="2" customWidth="1"/>
    <col min="25" max="16384" width="9.1328125" style="2"/>
  </cols>
  <sheetData>
    <row r="3" spans="2:25" x14ac:dyDescent="0.35">
      <c r="I3" s="60"/>
    </row>
    <row r="4" spans="2:25" x14ac:dyDescent="0.35">
      <c r="B4" s="2" t="s">
        <v>25</v>
      </c>
    </row>
    <row r="6" spans="2:25" x14ac:dyDescent="0.35">
      <c r="B6" s="27" t="s">
        <v>299</v>
      </c>
    </row>
    <row r="7" spans="2:25" s="6" customFormat="1" x14ac:dyDescent="0.35">
      <c r="B7" s="6" t="s">
        <v>147</v>
      </c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</row>
    <row r="8" spans="2:25" x14ac:dyDescent="0.35">
      <c r="B8" s="32" t="s">
        <v>212</v>
      </c>
      <c r="G8" s="32" t="s">
        <v>52</v>
      </c>
    </row>
    <row r="9" spans="2:25" ht="13.5" x14ac:dyDescent="0.35">
      <c r="B9" s="45" t="s">
        <v>101</v>
      </c>
      <c r="F9" s="6" t="s">
        <v>309</v>
      </c>
      <c r="G9" s="61">
        <v>1</v>
      </c>
      <c r="H9" s="61">
        <v>2</v>
      </c>
      <c r="I9" s="61">
        <v>3</v>
      </c>
      <c r="J9" s="61">
        <v>4</v>
      </c>
      <c r="K9" s="61">
        <v>5</v>
      </c>
      <c r="L9" s="61">
        <v>6</v>
      </c>
      <c r="M9" s="61">
        <v>7</v>
      </c>
      <c r="N9" s="61">
        <v>8</v>
      </c>
      <c r="O9" s="61">
        <v>9</v>
      </c>
      <c r="P9" s="61">
        <v>10</v>
      </c>
      <c r="Q9" s="61">
        <v>11</v>
      </c>
      <c r="R9" s="61">
        <v>12</v>
      </c>
      <c r="S9" s="113" t="s">
        <v>197</v>
      </c>
      <c r="T9" s="114"/>
      <c r="U9" s="114"/>
      <c r="V9" s="32"/>
      <c r="W9" s="32"/>
      <c r="X9" s="6"/>
      <c r="Y9" s="73"/>
    </row>
    <row r="10" spans="2:25" x14ac:dyDescent="0.35">
      <c r="B10" s="27"/>
      <c r="D10" s="6"/>
      <c r="R10" s="58"/>
    </row>
    <row r="11" spans="2:25" x14ac:dyDescent="0.35">
      <c r="B11" s="27" t="s">
        <v>300</v>
      </c>
      <c r="D11" s="6"/>
      <c r="R11" s="58"/>
    </row>
    <row r="12" spans="2:25" x14ac:dyDescent="0.35">
      <c r="B12" s="27"/>
      <c r="D12" s="6"/>
      <c r="E12" s="2" t="s">
        <v>6</v>
      </c>
      <c r="G12" s="311">
        <f>'Điểm hòa vốn'!F83/10^6</f>
        <v>2</v>
      </c>
      <c r="H12" s="225">
        <f>$G12</f>
        <v>2</v>
      </c>
      <c r="I12" s="225">
        <f t="shared" ref="I12:R12" si="0">$G12</f>
        <v>2</v>
      </c>
      <c r="J12" s="225">
        <f t="shared" si="0"/>
        <v>2</v>
      </c>
      <c r="K12" s="225">
        <f t="shared" si="0"/>
        <v>2</v>
      </c>
      <c r="L12" s="225">
        <f t="shared" si="0"/>
        <v>2</v>
      </c>
      <c r="M12" s="225">
        <f t="shared" si="0"/>
        <v>2</v>
      </c>
      <c r="N12" s="225">
        <f t="shared" si="0"/>
        <v>2</v>
      </c>
      <c r="O12" s="225">
        <f t="shared" si="0"/>
        <v>2</v>
      </c>
      <c r="P12" s="225">
        <f t="shared" si="0"/>
        <v>2</v>
      </c>
      <c r="Q12" s="225">
        <f t="shared" si="0"/>
        <v>2</v>
      </c>
      <c r="R12" s="225">
        <f t="shared" si="0"/>
        <v>2</v>
      </c>
      <c r="S12" s="2" t="s">
        <v>680</v>
      </c>
    </row>
    <row r="13" spans="2:25" x14ac:dyDescent="0.35">
      <c r="B13" s="27"/>
      <c r="D13" s="6"/>
      <c r="E13" s="2" t="s">
        <v>8</v>
      </c>
      <c r="G13" s="311">
        <f>'Điểm hòa vốn'!F84/10^6</f>
        <v>1.1000000000000001</v>
      </c>
      <c r="H13" s="225">
        <f t="shared" ref="H13:R16" si="1">$G13</f>
        <v>1.1000000000000001</v>
      </c>
      <c r="I13" s="225">
        <f t="shared" si="1"/>
        <v>1.1000000000000001</v>
      </c>
      <c r="J13" s="225">
        <f t="shared" si="1"/>
        <v>1.1000000000000001</v>
      </c>
      <c r="K13" s="225">
        <f t="shared" si="1"/>
        <v>1.1000000000000001</v>
      </c>
      <c r="L13" s="225">
        <f t="shared" si="1"/>
        <v>1.1000000000000001</v>
      </c>
      <c r="M13" s="225">
        <f t="shared" si="1"/>
        <v>1.1000000000000001</v>
      </c>
      <c r="N13" s="225">
        <f t="shared" si="1"/>
        <v>1.1000000000000001</v>
      </c>
      <c r="O13" s="225">
        <f t="shared" si="1"/>
        <v>1.1000000000000001</v>
      </c>
      <c r="P13" s="225">
        <f t="shared" si="1"/>
        <v>1.1000000000000001</v>
      </c>
      <c r="Q13" s="225">
        <f t="shared" si="1"/>
        <v>1.1000000000000001</v>
      </c>
      <c r="R13" s="225">
        <f t="shared" si="1"/>
        <v>1.1000000000000001</v>
      </c>
      <c r="S13" s="2" t="s">
        <v>680</v>
      </c>
    </row>
    <row r="14" spans="2:25" x14ac:dyDescent="0.35">
      <c r="B14" s="27"/>
      <c r="D14" s="6"/>
      <c r="E14" s="2" t="s">
        <v>7</v>
      </c>
      <c r="G14" s="311">
        <f>'Điểm hòa vốn'!F85/10^6</f>
        <v>0.5</v>
      </c>
      <c r="H14" s="225">
        <f t="shared" si="1"/>
        <v>0.5</v>
      </c>
      <c r="I14" s="225">
        <f t="shared" si="1"/>
        <v>0.5</v>
      </c>
      <c r="J14" s="225">
        <f t="shared" si="1"/>
        <v>0.5</v>
      </c>
      <c r="K14" s="225">
        <f t="shared" si="1"/>
        <v>0.5</v>
      </c>
      <c r="L14" s="225">
        <f t="shared" si="1"/>
        <v>0.5</v>
      </c>
      <c r="M14" s="225">
        <f t="shared" si="1"/>
        <v>0.5</v>
      </c>
      <c r="N14" s="225">
        <f t="shared" si="1"/>
        <v>0.5</v>
      </c>
      <c r="O14" s="225">
        <f t="shared" si="1"/>
        <v>0.5</v>
      </c>
      <c r="P14" s="225">
        <f t="shared" si="1"/>
        <v>0.5</v>
      </c>
      <c r="Q14" s="225">
        <f t="shared" si="1"/>
        <v>0.5</v>
      </c>
      <c r="R14" s="225">
        <f t="shared" si="1"/>
        <v>0.5</v>
      </c>
      <c r="S14" s="2" t="s">
        <v>680</v>
      </c>
    </row>
    <row r="15" spans="2:25" x14ac:dyDescent="0.35">
      <c r="B15" s="27"/>
      <c r="D15" s="6"/>
      <c r="E15" s="2" t="s">
        <v>9</v>
      </c>
      <c r="G15" s="311">
        <f>'Điểm hòa vốn'!F86/10^6</f>
        <v>0.14814814814814814</v>
      </c>
      <c r="H15" s="225">
        <f t="shared" si="1"/>
        <v>0.14814814814814814</v>
      </c>
      <c r="I15" s="225">
        <f t="shared" si="1"/>
        <v>0.14814814814814814</v>
      </c>
      <c r="J15" s="225">
        <f t="shared" si="1"/>
        <v>0.14814814814814814</v>
      </c>
      <c r="K15" s="225">
        <f t="shared" si="1"/>
        <v>0.14814814814814814</v>
      </c>
      <c r="L15" s="225">
        <f t="shared" si="1"/>
        <v>0.14814814814814814</v>
      </c>
      <c r="M15" s="225">
        <f t="shared" si="1"/>
        <v>0.14814814814814814</v>
      </c>
      <c r="N15" s="225">
        <f t="shared" si="1"/>
        <v>0.14814814814814814</v>
      </c>
      <c r="O15" s="225">
        <f t="shared" si="1"/>
        <v>0.14814814814814814</v>
      </c>
      <c r="P15" s="225">
        <f t="shared" si="1"/>
        <v>0.14814814814814814</v>
      </c>
      <c r="Q15" s="225">
        <f t="shared" si="1"/>
        <v>0.14814814814814814</v>
      </c>
      <c r="R15" s="225">
        <f t="shared" si="1"/>
        <v>0.14814814814814814</v>
      </c>
      <c r="S15" s="2" t="s">
        <v>680</v>
      </c>
    </row>
    <row r="16" spans="2:25" x14ac:dyDescent="0.35">
      <c r="B16" s="27"/>
      <c r="D16" s="6"/>
      <c r="E16" s="2" t="s">
        <v>10</v>
      </c>
      <c r="G16" s="311">
        <f>'Điểm hòa vốn'!F87/10^6</f>
        <v>0.15987654320987654</v>
      </c>
      <c r="H16" s="225">
        <f t="shared" si="1"/>
        <v>0.15987654320987654</v>
      </c>
      <c r="I16" s="225">
        <f t="shared" si="1"/>
        <v>0.15987654320987654</v>
      </c>
      <c r="J16" s="225">
        <f t="shared" si="1"/>
        <v>0.15987654320987654</v>
      </c>
      <c r="K16" s="225">
        <f t="shared" si="1"/>
        <v>0.15987654320987654</v>
      </c>
      <c r="L16" s="225">
        <f t="shared" si="1"/>
        <v>0.15987654320987654</v>
      </c>
      <c r="M16" s="225">
        <f t="shared" si="1"/>
        <v>0.15987654320987654</v>
      </c>
      <c r="N16" s="225">
        <f t="shared" si="1"/>
        <v>0.15987654320987654</v>
      </c>
      <c r="O16" s="225">
        <f t="shared" si="1"/>
        <v>0.15987654320987654</v>
      </c>
      <c r="P16" s="225">
        <f t="shared" si="1"/>
        <v>0.15987654320987654</v>
      </c>
      <c r="Q16" s="225">
        <f t="shared" si="1"/>
        <v>0.15987654320987654</v>
      </c>
      <c r="R16" s="225">
        <f t="shared" si="1"/>
        <v>0.15987654320987654</v>
      </c>
      <c r="S16" s="2" t="s">
        <v>680</v>
      </c>
    </row>
    <row r="17" spans="2:18" x14ac:dyDescent="0.35">
      <c r="B17" s="27" t="s">
        <v>301</v>
      </c>
      <c r="D17" s="6"/>
      <c r="R17" s="58"/>
    </row>
    <row r="18" spans="2:18" x14ac:dyDescent="0.35">
      <c r="B18" s="27"/>
      <c r="D18" s="6"/>
      <c r="E18" s="2" t="s">
        <v>6</v>
      </c>
      <c r="F18" s="57">
        <f>SUM(G18:R18)</f>
        <v>5228.6666666666661</v>
      </c>
      <c r="G18" s="62">
        <f>HaiDuong!AB95/12</f>
        <v>453.33333333333331</v>
      </c>
      <c r="H18" s="611">
        <v>242</v>
      </c>
      <c r="I18" s="62">
        <f>$G18</f>
        <v>453.33333333333331</v>
      </c>
      <c r="J18" s="62">
        <f t="shared" ref="J18:R18" si="2">$G18</f>
        <v>453.33333333333331</v>
      </c>
      <c r="K18" s="62">
        <f t="shared" si="2"/>
        <v>453.33333333333331</v>
      </c>
      <c r="L18" s="62">
        <f t="shared" si="2"/>
        <v>453.33333333333331</v>
      </c>
      <c r="M18" s="62">
        <f t="shared" si="2"/>
        <v>453.33333333333331</v>
      </c>
      <c r="N18" s="62">
        <f t="shared" si="2"/>
        <v>453.33333333333331</v>
      </c>
      <c r="O18" s="62">
        <f t="shared" si="2"/>
        <v>453.33333333333331</v>
      </c>
      <c r="P18" s="62">
        <f t="shared" si="2"/>
        <v>453.33333333333331</v>
      </c>
      <c r="Q18" s="62">
        <f t="shared" si="2"/>
        <v>453.33333333333331</v>
      </c>
      <c r="R18" s="62">
        <f t="shared" si="2"/>
        <v>453.33333333333331</v>
      </c>
    </row>
    <row r="19" spans="2:18" x14ac:dyDescent="0.35">
      <c r="B19" s="27"/>
      <c r="D19" s="6"/>
      <c r="E19" s="2" t="s">
        <v>8</v>
      </c>
      <c r="F19" s="57">
        <f>SUM(G19:R19)</f>
        <v>2190.4</v>
      </c>
      <c r="G19" s="62">
        <f>HaiDuong!AB97/12</f>
        <v>194.39999999999998</v>
      </c>
      <c r="H19" s="611">
        <v>52</v>
      </c>
      <c r="I19" s="62">
        <f>$G19</f>
        <v>194.39999999999998</v>
      </c>
      <c r="J19" s="62">
        <f t="shared" ref="J19:R22" si="3">$G19</f>
        <v>194.39999999999998</v>
      </c>
      <c r="K19" s="62">
        <f t="shared" si="3"/>
        <v>194.39999999999998</v>
      </c>
      <c r="L19" s="62">
        <f t="shared" si="3"/>
        <v>194.39999999999998</v>
      </c>
      <c r="M19" s="62">
        <f t="shared" si="3"/>
        <v>194.39999999999998</v>
      </c>
      <c r="N19" s="62">
        <f t="shared" si="3"/>
        <v>194.39999999999998</v>
      </c>
      <c r="O19" s="62">
        <f t="shared" si="3"/>
        <v>194.39999999999998</v>
      </c>
      <c r="P19" s="62">
        <f t="shared" si="3"/>
        <v>194.39999999999998</v>
      </c>
      <c r="Q19" s="62">
        <f t="shared" si="3"/>
        <v>194.39999999999998</v>
      </c>
      <c r="R19" s="62">
        <f t="shared" si="3"/>
        <v>194.39999999999998</v>
      </c>
    </row>
    <row r="20" spans="2:18" x14ac:dyDescent="0.35">
      <c r="B20" s="27"/>
      <c r="D20" s="6"/>
      <c r="E20" s="2" t="s">
        <v>7</v>
      </c>
      <c r="F20" s="57">
        <f>SUM(G20:R20)</f>
        <v>413</v>
      </c>
      <c r="G20" s="62">
        <f>HaiDuong!AB96/12</f>
        <v>37</v>
      </c>
      <c r="H20" s="611">
        <v>6</v>
      </c>
      <c r="I20" s="62">
        <f>$G20</f>
        <v>37</v>
      </c>
      <c r="J20" s="62">
        <f t="shared" si="3"/>
        <v>37</v>
      </c>
      <c r="K20" s="62">
        <f t="shared" si="3"/>
        <v>37</v>
      </c>
      <c r="L20" s="62">
        <f t="shared" si="3"/>
        <v>37</v>
      </c>
      <c r="M20" s="62">
        <f t="shared" si="3"/>
        <v>37</v>
      </c>
      <c r="N20" s="62">
        <f t="shared" si="3"/>
        <v>37</v>
      </c>
      <c r="O20" s="62">
        <f t="shared" si="3"/>
        <v>37</v>
      </c>
      <c r="P20" s="62">
        <f t="shared" si="3"/>
        <v>37</v>
      </c>
      <c r="Q20" s="62">
        <f t="shared" si="3"/>
        <v>37</v>
      </c>
      <c r="R20" s="62">
        <f t="shared" si="3"/>
        <v>37</v>
      </c>
    </row>
    <row r="21" spans="2:18" x14ac:dyDescent="0.35">
      <c r="B21" s="27"/>
      <c r="D21" s="6"/>
      <c r="E21" s="2" t="s">
        <v>9</v>
      </c>
      <c r="F21" s="57">
        <f>SUM(G21:R21)</f>
        <v>2620</v>
      </c>
      <c r="G21" s="62">
        <f>HaiDuong!AB98/12</f>
        <v>228</v>
      </c>
      <c r="H21" s="611">
        <v>112</v>
      </c>
      <c r="I21" s="62">
        <f>$G21</f>
        <v>228</v>
      </c>
      <c r="J21" s="62">
        <f t="shared" si="3"/>
        <v>228</v>
      </c>
      <c r="K21" s="62">
        <f t="shared" si="3"/>
        <v>228</v>
      </c>
      <c r="L21" s="62">
        <f t="shared" si="3"/>
        <v>228</v>
      </c>
      <c r="M21" s="62">
        <f t="shared" si="3"/>
        <v>228</v>
      </c>
      <c r="N21" s="62">
        <f t="shared" si="3"/>
        <v>228</v>
      </c>
      <c r="O21" s="62">
        <f t="shared" si="3"/>
        <v>228</v>
      </c>
      <c r="P21" s="62">
        <f t="shared" si="3"/>
        <v>228</v>
      </c>
      <c r="Q21" s="62">
        <f t="shared" si="3"/>
        <v>228</v>
      </c>
      <c r="R21" s="62">
        <f t="shared" si="3"/>
        <v>228</v>
      </c>
    </row>
    <row r="22" spans="2:18" x14ac:dyDescent="0.35">
      <c r="B22" s="27"/>
      <c r="D22" s="6"/>
      <c r="E22" s="2" t="s">
        <v>10</v>
      </c>
      <c r="F22" s="57">
        <f>SUM(G22:R22)</f>
        <v>980</v>
      </c>
      <c r="G22" s="62">
        <f>HaiDuong!AB99/12</f>
        <v>85</v>
      </c>
      <c r="H22" s="611">
        <v>45</v>
      </c>
      <c r="I22" s="62">
        <f>$G22</f>
        <v>85</v>
      </c>
      <c r="J22" s="62">
        <f t="shared" si="3"/>
        <v>85</v>
      </c>
      <c r="K22" s="62">
        <f t="shared" si="3"/>
        <v>85</v>
      </c>
      <c r="L22" s="62">
        <f t="shared" si="3"/>
        <v>85</v>
      </c>
      <c r="M22" s="62">
        <f t="shared" si="3"/>
        <v>85</v>
      </c>
      <c r="N22" s="62">
        <f t="shared" si="3"/>
        <v>85</v>
      </c>
      <c r="O22" s="62">
        <f t="shared" si="3"/>
        <v>85</v>
      </c>
      <c r="P22" s="62">
        <f t="shared" si="3"/>
        <v>85</v>
      </c>
      <c r="Q22" s="62">
        <f t="shared" si="3"/>
        <v>85</v>
      </c>
      <c r="R22" s="62">
        <f t="shared" si="3"/>
        <v>85</v>
      </c>
    </row>
    <row r="23" spans="2:18" x14ac:dyDescent="0.35">
      <c r="B23" s="27" t="s">
        <v>314</v>
      </c>
      <c r="D23" s="6"/>
      <c r="R23" s="58"/>
    </row>
    <row r="24" spans="2:18" x14ac:dyDescent="0.35">
      <c r="B24" s="27"/>
      <c r="C24" s="2" t="s">
        <v>23</v>
      </c>
      <c r="D24" s="6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8" x14ac:dyDescent="0.35">
      <c r="B25" s="27"/>
      <c r="D25" s="6"/>
      <c r="E25" s="2" t="s">
        <v>6</v>
      </c>
      <c r="G25" s="57">
        <f>'Điểm hòa vốn'!K58</f>
        <v>85000</v>
      </c>
      <c r="H25" s="62">
        <f t="shared" ref="H25:R40" si="4">$G25</f>
        <v>85000</v>
      </c>
      <c r="I25" s="62">
        <f t="shared" si="4"/>
        <v>85000</v>
      </c>
      <c r="J25" s="62">
        <f t="shared" si="4"/>
        <v>85000</v>
      </c>
      <c r="K25" s="62">
        <f t="shared" si="4"/>
        <v>85000</v>
      </c>
      <c r="L25" s="62">
        <f t="shared" si="4"/>
        <v>85000</v>
      </c>
      <c r="M25" s="62">
        <f t="shared" si="4"/>
        <v>85000</v>
      </c>
      <c r="N25" s="62">
        <f t="shared" si="4"/>
        <v>85000</v>
      </c>
      <c r="O25" s="62">
        <f t="shared" si="4"/>
        <v>85000</v>
      </c>
      <c r="P25" s="62">
        <f t="shared" si="4"/>
        <v>85000</v>
      </c>
      <c r="Q25" s="62">
        <f t="shared" si="4"/>
        <v>85000</v>
      </c>
      <c r="R25" s="62">
        <f t="shared" si="4"/>
        <v>85000</v>
      </c>
    </row>
    <row r="26" spans="2:18" x14ac:dyDescent="0.35">
      <c r="B26" s="27"/>
      <c r="D26" s="6"/>
      <c r="E26" s="2" t="s">
        <v>8</v>
      </c>
      <c r="G26" s="57">
        <f>'Điểm hòa vốn'!K59</f>
        <v>51221.338645418327</v>
      </c>
      <c r="H26" s="62">
        <f t="shared" si="4"/>
        <v>51221.338645418327</v>
      </c>
      <c r="I26" s="62">
        <f t="shared" si="4"/>
        <v>51221.338645418327</v>
      </c>
      <c r="J26" s="62">
        <f t="shared" si="4"/>
        <v>51221.338645418327</v>
      </c>
      <c r="K26" s="62">
        <f t="shared" si="4"/>
        <v>51221.338645418327</v>
      </c>
      <c r="L26" s="62">
        <f t="shared" si="4"/>
        <v>51221.338645418327</v>
      </c>
      <c r="M26" s="62">
        <f t="shared" si="4"/>
        <v>51221.338645418327</v>
      </c>
      <c r="N26" s="62">
        <f t="shared" si="4"/>
        <v>51221.338645418327</v>
      </c>
      <c r="O26" s="62">
        <f t="shared" si="4"/>
        <v>51221.338645418327</v>
      </c>
      <c r="P26" s="62">
        <f t="shared" si="4"/>
        <v>51221.338645418327</v>
      </c>
      <c r="Q26" s="62">
        <f t="shared" si="4"/>
        <v>51221.338645418327</v>
      </c>
      <c r="R26" s="62">
        <f t="shared" si="4"/>
        <v>51221.338645418327</v>
      </c>
    </row>
    <row r="27" spans="2:18" x14ac:dyDescent="0.35">
      <c r="B27" s="27"/>
      <c r="D27" s="6"/>
      <c r="E27" s="2" t="s">
        <v>7</v>
      </c>
      <c r="G27" s="57">
        <f>'Điểm hòa vốn'!K60</f>
        <v>11743.033519553073</v>
      </c>
      <c r="H27" s="62">
        <f t="shared" si="4"/>
        <v>11743.033519553073</v>
      </c>
      <c r="I27" s="62">
        <f t="shared" si="4"/>
        <v>11743.033519553073</v>
      </c>
      <c r="J27" s="62">
        <f t="shared" si="4"/>
        <v>11743.033519553073</v>
      </c>
      <c r="K27" s="62">
        <f t="shared" si="4"/>
        <v>11743.033519553073</v>
      </c>
      <c r="L27" s="62">
        <f t="shared" si="4"/>
        <v>11743.033519553073</v>
      </c>
      <c r="M27" s="62">
        <f t="shared" si="4"/>
        <v>11743.033519553073</v>
      </c>
      <c r="N27" s="62">
        <f t="shared" si="4"/>
        <v>11743.033519553073</v>
      </c>
      <c r="O27" s="62">
        <f t="shared" si="4"/>
        <v>11743.033519553073</v>
      </c>
      <c r="P27" s="62">
        <f t="shared" si="4"/>
        <v>11743.033519553073</v>
      </c>
      <c r="Q27" s="62">
        <f t="shared" si="4"/>
        <v>11743.033519553073</v>
      </c>
      <c r="R27" s="62">
        <f t="shared" si="4"/>
        <v>11743.033519553073</v>
      </c>
    </row>
    <row r="28" spans="2:18" x14ac:dyDescent="0.35">
      <c r="B28" s="27"/>
      <c r="D28" s="6"/>
      <c r="E28" s="2" t="s">
        <v>9</v>
      </c>
      <c r="G28" s="57">
        <f>'Điểm hòa vốn'!K61</f>
        <v>0</v>
      </c>
      <c r="H28" s="62">
        <f t="shared" si="4"/>
        <v>0</v>
      </c>
      <c r="I28" s="62">
        <f t="shared" si="4"/>
        <v>0</v>
      </c>
      <c r="J28" s="62">
        <f t="shared" si="4"/>
        <v>0</v>
      </c>
      <c r="K28" s="62">
        <f t="shared" si="4"/>
        <v>0</v>
      </c>
      <c r="L28" s="62">
        <f t="shared" si="4"/>
        <v>0</v>
      </c>
      <c r="M28" s="62">
        <f t="shared" si="4"/>
        <v>0</v>
      </c>
      <c r="N28" s="62">
        <f t="shared" si="4"/>
        <v>0</v>
      </c>
      <c r="O28" s="62">
        <f t="shared" si="4"/>
        <v>0</v>
      </c>
      <c r="P28" s="62">
        <f t="shared" si="4"/>
        <v>0</v>
      </c>
      <c r="Q28" s="62">
        <f t="shared" si="4"/>
        <v>0</v>
      </c>
      <c r="R28" s="62">
        <f t="shared" si="4"/>
        <v>0</v>
      </c>
    </row>
    <row r="29" spans="2:18" x14ac:dyDescent="0.35">
      <c r="B29" s="27"/>
      <c r="D29" s="6"/>
      <c r="E29" s="2" t="s">
        <v>10</v>
      </c>
      <c r="G29" s="57">
        <f>'Điểm hòa vốn'!K62</f>
        <v>0</v>
      </c>
      <c r="H29" s="62">
        <f t="shared" si="4"/>
        <v>0</v>
      </c>
      <c r="I29" s="62">
        <f t="shared" si="4"/>
        <v>0</v>
      </c>
      <c r="J29" s="62">
        <f t="shared" si="4"/>
        <v>0</v>
      </c>
      <c r="K29" s="62">
        <f t="shared" si="4"/>
        <v>0</v>
      </c>
      <c r="L29" s="62">
        <f t="shared" si="4"/>
        <v>0</v>
      </c>
      <c r="M29" s="62">
        <f t="shared" si="4"/>
        <v>0</v>
      </c>
      <c r="N29" s="62">
        <f t="shared" si="4"/>
        <v>0</v>
      </c>
      <c r="O29" s="62">
        <f t="shared" si="4"/>
        <v>0</v>
      </c>
      <c r="P29" s="62">
        <f t="shared" si="4"/>
        <v>0</v>
      </c>
      <c r="Q29" s="62">
        <f t="shared" si="4"/>
        <v>0</v>
      </c>
      <c r="R29" s="62">
        <f t="shared" si="4"/>
        <v>0</v>
      </c>
    </row>
    <row r="30" spans="2:18" x14ac:dyDescent="0.35">
      <c r="B30" s="27"/>
      <c r="C30" s="2" t="s">
        <v>417</v>
      </c>
      <c r="D30" s="6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</row>
    <row r="31" spans="2:18" x14ac:dyDescent="0.35">
      <c r="B31" s="27"/>
      <c r="D31" s="6"/>
      <c r="E31" s="2" t="s">
        <v>6</v>
      </c>
      <c r="G31" s="57">
        <f>'Điểm hòa vốn'!K67</f>
        <v>90000</v>
      </c>
      <c r="H31" s="62">
        <f t="shared" si="4"/>
        <v>90000</v>
      </c>
      <c r="I31" s="62">
        <f t="shared" si="4"/>
        <v>90000</v>
      </c>
      <c r="J31" s="62">
        <f t="shared" si="4"/>
        <v>90000</v>
      </c>
      <c r="K31" s="62">
        <f t="shared" si="4"/>
        <v>90000</v>
      </c>
      <c r="L31" s="62">
        <f t="shared" si="4"/>
        <v>90000</v>
      </c>
      <c r="M31" s="62">
        <f t="shared" si="4"/>
        <v>90000</v>
      </c>
      <c r="N31" s="62">
        <f t="shared" si="4"/>
        <v>90000</v>
      </c>
      <c r="O31" s="62">
        <f t="shared" si="4"/>
        <v>90000</v>
      </c>
      <c r="P31" s="62">
        <f t="shared" si="4"/>
        <v>90000</v>
      </c>
      <c r="Q31" s="62">
        <f t="shared" si="4"/>
        <v>90000</v>
      </c>
      <c r="R31" s="62">
        <f t="shared" si="4"/>
        <v>90000</v>
      </c>
    </row>
    <row r="32" spans="2:18" x14ac:dyDescent="0.35">
      <c r="B32" s="27"/>
      <c r="D32" s="6"/>
      <c r="E32" s="2" t="s">
        <v>8</v>
      </c>
      <c r="G32" s="57">
        <f>'Điểm hòa vốn'!K68</f>
        <v>50000</v>
      </c>
      <c r="H32" s="62">
        <f t="shared" si="4"/>
        <v>50000</v>
      </c>
      <c r="I32" s="62">
        <f t="shared" si="4"/>
        <v>50000</v>
      </c>
      <c r="J32" s="62">
        <f t="shared" si="4"/>
        <v>50000</v>
      </c>
      <c r="K32" s="62">
        <f t="shared" si="4"/>
        <v>50000</v>
      </c>
      <c r="L32" s="62">
        <f t="shared" si="4"/>
        <v>50000</v>
      </c>
      <c r="M32" s="62">
        <f t="shared" si="4"/>
        <v>50000</v>
      </c>
      <c r="N32" s="62">
        <f t="shared" si="4"/>
        <v>50000</v>
      </c>
      <c r="O32" s="62">
        <f t="shared" si="4"/>
        <v>50000</v>
      </c>
      <c r="P32" s="62">
        <f t="shared" si="4"/>
        <v>50000</v>
      </c>
      <c r="Q32" s="62">
        <f t="shared" si="4"/>
        <v>50000</v>
      </c>
      <c r="R32" s="62">
        <f t="shared" si="4"/>
        <v>50000</v>
      </c>
    </row>
    <row r="33" spans="2:25" x14ac:dyDescent="0.35">
      <c r="B33" s="27"/>
      <c r="D33" s="6"/>
      <c r="E33" s="2" t="s">
        <v>7</v>
      </c>
      <c r="G33" s="57">
        <f>'Điểm hòa vốn'!K69</f>
        <v>25000</v>
      </c>
      <c r="H33" s="62">
        <f t="shared" si="4"/>
        <v>25000</v>
      </c>
      <c r="I33" s="62">
        <f t="shared" si="4"/>
        <v>25000</v>
      </c>
      <c r="J33" s="62">
        <f t="shared" si="4"/>
        <v>25000</v>
      </c>
      <c r="K33" s="62">
        <f t="shared" si="4"/>
        <v>25000</v>
      </c>
      <c r="L33" s="62">
        <f t="shared" si="4"/>
        <v>25000</v>
      </c>
      <c r="M33" s="62">
        <f t="shared" si="4"/>
        <v>25000</v>
      </c>
      <c r="N33" s="62">
        <f t="shared" si="4"/>
        <v>25000</v>
      </c>
      <c r="O33" s="62">
        <f t="shared" si="4"/>
        <v>25000</v>
      </c>
      <c r="P33" s="62">
        <f t="shared" si="4"/>
        <v>25000</v>
      </c>
      <c r="Q33" s="62">
        <f t="shared" si="4"/>
        <v>25000</v>
      </c>
      <c r="R33" s="62">
        <f t="shared" si="4"/>
        <v>25000</v>
      </c>
    </row>
    <row r="34" spans="2:25" x14ac:dyDescent="0.35">
      <c r="B34" s="27"/>
      <c r="C34" s="2" t="s">
        <v>612</v>
      </c>
      <c r="D34" s="6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</row>
    <row r="35" spans="2:25" x14ac:dyDescent="0.35">
      <c r="B35" s="27"/>
      <c r="D35" s="6"/>
      <c r="E35" s="2" t="s">
        <v>6</v>
      </c>
      <c r="G35" s="57">
        <f>'Điểm hòa vốn'!K71</f>
        <v>400000</v>
      </c>
      <c r="H35" s="62">
        <f t="shared" si="4"/>
        <v>400000</v>
      </c>
      <c r="I35" s="62">
        <f t="shared" si="4"/>
        <v>400000</v>
      </c>
      <c r="J35" s="62">
        <f t="shared" si="4"/>
        <v>400000</v>
      </c>
      <c r="K35" s="62">
        <f t="shared" si="4"/>
        <v>400000</v>
      </c>
      <c r="L35" s="62">
        <f t="shared" si="4"/>
        <v>400000</v>
      </c>
      <c r="M35" s="62">
        <f t="shared" si="4"/>
        <v>400000</v>
      </c>
      <c r="N35" s="62">
        <f t="shared" si="4"/>
        <v>400000</v>
      </c>
      <c r="O35" s="62">
        <f t="shared" si="4"/>
        <v>400000</v>
      </c>
      <c r="P35" s="62">
        <f t="shared" si="4"/>
        <v>400000</v>
      </c>
      <c r="Q35" s="62">
        <f t="shared" si="4"/>
        <v>400000</v>
      </c>
      <c r="R35" s="62">
        <f t="shared" si="4"/>
        <v>400000</v>
      </c>
    </row>
    <row r="36" spans="2:25" x14ac:dyDescent="0.35">
      <c r="B36" s="27"/>
      <c r="D36" s="6"/>
      <c r="E36" s="2" t="s">
        <v>8</v>
      </c>
      <c r="G36" s="57">
        <f>'Điểm hòa vốn'!K72</f>
        <v>100000</v>
      </c>
      <c r="H36" s="62">
        <f t="shared" si="4"/>
        <v>100000</v>
      </c>
      <c r="I36" s="62">
        <f t="shared" si="4"/>
        <v>100000</v>
      </c>
      <c r="J36" s="62">
        <f t="shared" si="4"/>
        <v>100000</v>
      </c>
      <c r="K36" s="62">
        <f t="shared" si="4"/>
        <v>100000</v>
      </c>
      <c r="L36" s="62">
        <f t="shared" si="4"/>
        <v>100000</v>
      </c>
      <c r="M36" s="62">
        <f t="shared" si="4"/>
        <v>100000</v>
      </c>
      <c r="N36" s="62">
        <f t="shared" si="4"/>
        <v>100000</v>
      </c>
      <c r="O36" s="62">
        <f t="shared" si="4"/>
        <v>100000</v>
      </c>
      <c r="P36" s="62">
        <f t="shared" si="4"/>
        <v>100000</v>
      </c>
      <c r="Q36" s="62">
        <f t="shared" si="4"/>
        <v>100000</v>
      </c>
      <c r="R36" s="62">
        <f t="shared" si="4"/>
        <v>100000</v>
      </c>
    </row>
    <row r="37" spans="2:25" x14ac:dyDescent="0.35">
      <c r="B37" s="27"/>
      <c r="D37" s="6"/>
      <c r="E37" s="2" t="s">
        <v>7</v>
      </c>
      <c r="G37" s="57">
        <f>'Điểm hòa vốn'!K73</f>
        <v>100000</v>
      </c>
      <c r="H37" s="62">
        <f t="shared" si="4"/>
        <v>100000</v>
      </c>
      <c r="I37" s="62">
        <f t="shared" si="4"/>
        <v>100000</v>
      </c>
      <c r="J37" s="62">
        <f t="shared" si="4"/>
        <v>100000</v>
      </c>
      <c r="K37" s="62">
        <f t="shared" si="4"/>
        <v>100000</v>
      </c>
      <c r="L37" s="62">
        <f t="shared" si="4"/>
        <v>100000</v>
      </c>
      <c r="M37" s="62">
        <f t="shared" si="4"/>
        <v>100000</v>
      </c>
      <c r="N37" s="62">
        <f t="shared" si="4"/>
        <v>100000</v>
      </c>
      <c r="O37" s="62">
        <f t="shared" si="4"/>
        <v>100000</v>
      </c>
      <c r="P37" s="62">
        <f t="shared" si="4"/>
        <v>100000</v>
      </c>
      <c r="Q37" s="62">
        <f t="shared" si="4"/>
        <v>100000</v>
      </c>
      <c r="R37" s="62">
        <f t="shared" si="4"/>
        <v>100000</v>
      </c>
    </row>
    <row r="38" spans="2:25" x14ac:dyDescent="0.35">
      <c r="B38" s="27"/>
      <c r="C38" s="2" t="s">
        <v>28</v>
      </c>
      <c r="D38" s="6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</row>
    <row r="39" spans="2:25" x14ac:dyDescent="0.35">
      <c r="B39" s="27"/>
      <c r="D39" s="6"/>
      <c r="E39" s="2" t="s">
        <v>6</v>
      </c>
      <c r="G39" s="57">
        <f>'Điểm hòa vốn'!K75</f>
        <v>115000</v>
      </c>
      <c r="H39" s="62">
        <f t="shared" si="4"/>
        <v>115000</v>
      </c>
      <c r="I39" s="62">
        <f t="shared" si="4"/>
        <v>115000</v>
      </c>
      <c r="J39" s="62">
        <f t="shared" si="4"/>
        <v>115000</v>
      </c>
      <c r="K39" s="62">
        <f t="shared" si="4"/>
        <v>115000</v>
      </c>
      <c r="L39" s="62">
        <f t="shared" si="4"/>
        <v>115000</v>
      </c>
      <c r="M39" s="62">
        <f t="shared" si="4"/>
        <v>115000</v>
      </c>
      <c r="N39" s="62">
        <f t="shared" si="4"/>
        <v>115000</v>
      </c>
      <c r="O39" s="62">
        <f t="shared" si="4"/>
        <v>115000</v>
      </c>
      <c r="P39" s="62">
        <f t="shared" si="4"/>
        <v>115000</v>
      </c>
      <c r="Q39" s="62">
        <f t="shared" si="4"/>
        <v>115000</v>
      </c>
      <c r="R39" s="62">
        <f t="shared" si="4"/>
        <v>115000</v>
      </c>
    </row>
    <row r="40" spans="2:25" x14ac:dyDescent="0.35">
      <c r="B40" s="27"/>
      <c r="D40" s="6"/>
      <c r="E40" s="2" t="s">
        <v>8</v>
      </c>
      <c r="G40" s="57">
        <f>'Điểm hòa vốn'!K76</f>
        <v>115000</v>
      </c>
      <c r="H40" s="62">
        <f t="shared" si="4"/>
        <v>115000</v>
      </c>
      <c r="I40" s="62">
        <f t="shared" si="4"/>
        <v>115000</v>
      </c>
      <c r="J40" s="62">
        <f t="shared" si="4"/>
        <v>115000</v>
      </c>
      <c r="K40" s="62">
        <f t="shared" si="4"/>
        <v>115000</v>
      </c>
      <c r="L40" s="62">
        <f t="shared" si="4"/>
        <v>115000</v>
      </c>
      <c r="M40" s="62">
        <f t="shared" si="4"/>
        <v>115000</v>
      </c>
      <c r="N40" s="62">
        <f t="shared" si="4"/>
        <v>115000</v>
      </c>
      <c r="O40" s="62">
        <f t="shared" si="4"/>
        <v>115000</v>
      </c>
      <c r="P40" s="62">
        <f t="shared" si="4"/>
        <v>115000</v>
      </c>
      <c r="Q40" s="62">
        <f t="shared" si="4"/>
        <v>115000</v>
      </c>
      <c r="R40" s="62">
        <f t="shared" si="4"/>
        <v>115000</v>
      </c>
    </row>
    <row r="41" spans="2:25" x14ac:dyDescent="0.35">
      <c r="B41" s="27"/>
      <c r="D41" s="6"/>
      <c r="E41" s="2" t="s">
        <v>7</v>
      </c>
      <c r="G41" s="57">
        <f>'Điểm hòa vốn'!K77</f>
        <v>70000</v>
      </c>
      <c r="H41" s="62">
        <f t="shared" ref="H41:R42" si="5">$G41</f>
        <v>70000</v>
      </c>
      <c r="I41" s="62">
        <f t="shared" si="5"/>
        <v>70000</v>
      </c>
      <c r="J41" s="62">
        <f t="shared" si="5"/>
        <v>70000</v>
      </c>
      <c r="K41" s="62">
        <f t="shared" si="5"/>
        <v>70000</v>
      </c>
      <c r="L41" s="62">
        <f t="shared" si="5"/>
        <v>70000</v>
      </c>
      <c r="M41" s="62">
        <f t="shared" si="5"/>
        <v>70000</v>
      </c>
      <c r="N41" s="62">
        <f t="shared" si="5"/>
        <v>70000</v>
      </c>
      <c r="O41" s="62">
        <f t="shared" si="5"/>
        <v>70000</v>
      </c>
      <c r="P41" s="62">
        <f t="shared" si="5"/>
        <v>70000</v>
      </c>
      <c r="Q41" s="62">
        <f t="shared" si="5"/>
        <v>70000</v>
      </c>
      <c r="R41" s="62">
        <f t="shared" si="5"/>
        <v>70000</v>
      </c>
    </row>
    <row r="42" spans="2:25" x14ac:dyDescent="0.35">
      <c r="B42" s="27"/>
      <c r="D42" s="6"/>
      <c r="E42" s="2" t="s">
        <v>9</v>
      </c>
      <c r="G42" s="57">
        <f>'Điểm hòa vốn'!K78</f>
        <v>0</v>
      </c>
      <c r="H42" s="62">
        <f t="shared" si="5"/>
        <v>0</v>
      </c>
      <c r="I42" s="62">
        <f t="shared" si="5"/>
        <v>0</v>
      </c>
      <c r="J42" s="62">
        <f t="shared" si="5"/>
        <v>0</v>
      </c>
      <c r="K42" s="62">
        <f t="shared" si="5"/>
        <v>0</v>
      </c>
      <c r="L42" s="62">
        <f t="shared" si="5"/>
        <v>0</v>
      </c>
      <c r="M42" s="62">
        <f t="shared" si="5"/>
        <v>0</v>
      </c>
      <c r="N42" s="62">
        <f t="shared" si="5"/>
        <v>0</v>
      </c>
      <c r="O42" s="62">
        <f t="shared" si="5"/>
        <v>0</v>
      </c>
      <c r="P42" s="62">
        <f t="shared" si="5"/>
        <v>0</v>
      </c>
      <c r="Q42" s="62">
        <f t="shared" si="5"/>
        <v>0</v>
      </c>
      <c r="R42" s="62">
        <f t="shared" si="5"/>
        <v>0</v>
      </c>
    </row>
    <row r="43" spans="2:25" x14ac:dyDescent="0.35">
      <c r="B43" s="27" t="s">
        <v>11</v>
      </c>
      <c r="D43" s="6"/>
      <c r="R43" s="58"/>
    </row>
    <row r="44" spans="2:25" outlineLevel="1" x14ac:dyDescent="0.35">
      <c r="E44" s="2" t="s">
        <v>6</v>
      </c>
      <c r="F44" s="57">
        <f>SUM(G44:R44)</f>
        <v>10457.333333333332</v>
      </c>
      <c r="G44" s="62">
        <f t="shared" ref="G44:R45" si="6">G12*G18</f>
        <v>906.66666666666663</v>
      </c>
      <c r="H44" s="62">
        <f t="shared" si="6"/>
        <v>484</v>
      </c>
      <c r="I44" s="62">
        <f t="shared" si="6"/>
        <v>906.66666666666663</v>
      </c>
      <c r="J44" s="62">
        <f t="shared" si="6"/>
        <v>906.66666666666663</v>
      </c>
      <c r="K44" s="62">
        <f t="shared" si="6"/>
        <v>906.66666666666663</v>
      </c>
      <c r="L44" s="62">
        <f t="shared" si="6"/>
        <v>906.66666666666663</v>
      </c>
      <c r="M44" s="62">
        <f t="shared" si="6"/>
        <v>906.66666666666663</v>
      </c>
      <c r="N44" s="62">
        <f t="shared" si="6"/>
        <v>906.66666666666663</v>
      </c>
      <c r="O44" s="62">
        <f t="shared" si="6"/>
        <v>906.66666666666663</v>
      </c>
      <c r="P44" s="62">
        <f t="shared" si="6"/>
        <v>906.66666666666663</v>
      </c>
      <c r="Q44" s="62">
        <f t="shared" si="6"/>
        <v>906.66666666666663</v>
      </c>
      <c r="R44" s="62">
        <f t="shared" si="6"/>
        <v>906.66666666666663</v>
      </c>
      <c r="S44" s="62"/>
      <c r="T44" s="62"/>
      <c r="U44" s="57"/>
      <c r="V44" s="96"/>
      <c r="W44" s="97"/>
      <c r="Y44" s="57"/>
    </row>
    <row r="45" spans="2:25" outlineLevel="1" x14ac:dyDescent="0.35">
      <c r="E45" s="2" t="s">
        <v>8</v>
      </c>
      <c r="F45" s="57">
        <f>SUM(G45:R45)</f>
        <v>2409.44</v>
      </c>
      <c r="G45" s="62">
        <f>G13*G19</f>
        <v>213.84</v>
      </c>
      <c r="H45" s="62">
        <f t="shared" si="6"/>
        <v>57.2</v>
      </c>
      <c r="I45" s="62">
        <f t="shared" si="6"/>
        <v>213.84</v>
      </c>
      <c r="J45" s="62">
        <f t="shared" si="6"/>
        <v>213.84</v>
      </c>
      <c r="K45" s="62">
        <f t="shared" si="6"/>
        <v>213.84</v>
      </c>
      <c r="L45" s="62">
        <f t="shared" si="6"/>
        <v>213.84</v>
      </c>
      <c r="M45" s="62">
        <f t="shared" si="6"/>
        <v>213.84</v>
      </c>
      <c r="N45" s="62">
        <f t="shared" si="6"/>
        <v>213.84</v>
      </c>
      <c r="O45" s="62">
        <f t="shared" si="6"/>
        <v>213.84</v>
      </c>
      <c r="P45" s="62">
        <f t="shared" si="6"/>
        <v>213.84</v>
      </c>
      <c r="Q45" s="62">
        <f t="shared" si="6"/>
        <v>213.84</v>
      </c>
      <c r="R45" s="62">
        <f t="shared" si="6"/>
        <v>213.84</v>
      </c>
      <c r="S45" s="62"/>
      <c r="T45" s="62"/>
      <c r="U45" s="57"/>
      <c r="V45" s="96"/>
      <c r="W45" s="97"/>
      <c r="Y45" s="57"/>
    </row>
    <row r="46" spans="2:25" outlineLevel="1" x14ac:dyDescent="0.35">
      <c r="E46" s="2" t="s">
        <v>7</v>
      </c>
      <c r="F46" s="57">
        <f>SUM(G46:R46)</f>
        <v>206.5</v>
      </c>
      <c r="G46" s="62">
        <f t="shared" ref="G46:R48" si="7">G14*G20</f>
        <v>18.5</v>
      </c>
      <c r="H46" s="62">
        <f t="shared" si="7"/>
        <v>3</v>
      </c>
      <c r="I46" s="62">
        <f t="shared" si="7"/>
        <v>18.5</v>
      </c>
      <c r="J46" s="62">
        <f t="shared" si="7"/>
        <v>18.5</v>
      </c>
      <c r="K46" s="62">
        <f t="shared" si="7"/>
        <v>18.5</v>
      </c>
      <c r="L46" s="62">
        <f t="shared" si="7"/>
        <v>18.5</v>
      </c>
      <c r="M46" s="62">
        <f t="shared" si="7"/>
        <v>18.5</v>
      </c>
      <c r="N46" s="62">
        <f t="shared" si="7"/>
        <v>18.5</v>
      </c>
      <c r="O46" s="62">
        <f t="shared" si="7"/>
        <v>18.5</v>
      </c>
      <c r="P46" s="62">
        <f t="shared" si="7"/>
        <v>18.5</v>
      </c>
      <c r="Q46" s="62">
        <f t="shared" si="7"/>
        <v>18.5</v>
      </c>
      <c r="R46" s="62">
        <f t="shared" si="7"/>
        <v>18.5</v>
      </c>
      <c r="S46" s="62"/>
      <c r="T46" s="62"/>
      <c r="U46" s="57"/>
      <c r="V46" s="96"/>
      <c r="W46" s="97"/>
      <c r="Y46" s="57"/>
    </row>
    <row r="47" spans="2:25" outlineLevel="1" x14ac:dyDescent="0.35">
      <c r="E47" s="2" t="s">
        <v>9</v>
      </c>
      <c r="F47" s="57">
        <f>SUM(G47:R47)</f>
        <v>388.1481481481481</v>
      </c>
      <c r="G47" s="62">
        <f t="shared" si="7"/>
        <v>33.777777777777779</v>
      </c>
      <c r="H47" s="62">
        <f t="shared" si="7"/>
        <v>16.592592592592592</v>
      </c>
      <c r="I47" s="62">
        <f t="shared" si="7"/>
        <v>33.777777777777779</v>
      </c>
      <c r="J47" s="62">
        <f t="shared" si="7"/>
        <v>33.777777777777779</v>
      </c>
      <c r="K47" s="62">
        <f t="shared" si="7"/>
        <v>33.777777777777779</v>
      </c>
      <c r="L47" s="62">
        <f t="shared" si="7"/>
        <v>33.777777777777779</v>
      </c>
      <c r="M47" s="62">
        <f t="shared" si="7"/>
        <v>33.777777777777779</v>
      </c>
      <c r="N47" s="62">
        <f t="shared" si="7"/>
        <v>33.777777777777779</v>
      </c>
      <c r="O47" s="62">
        <f t="shared" si="7"/>
        <v>33.777777777777779</v>
      </c>
      <c r="P47" s="62">
        <f t="shared" si="7"/>
        <v>33.777777777777779</v>
      </c>
      <c r="Q47" s="62">
        <f t="shared" si="7"/>
        <v>33.777777777777779</v>
      </c>
      <c r="R47" s="62">
        <f t="shared" si="7"/>
        <v>33.777777777777779</v>
      </c>
      <c r="S47" s="62"/>
      <c r="T47" s="62"/>
      <c r="U47" s="57"/>
      <c r="V47" s="96"/>
      <c r="W47" s="97"/>
      <c r="Y47" s="57"/>
    </row>
    <row r="48" spans="2:25" outlineLevel="1" x14ac:dyDescent="0.35">
      <c r="E48" s="2" t="s">
        <v>10</v>
      </c>
      <c r="F48" s="57">
        <f>SUM(G48:R48)</f>
        <v>156.67901234567898</v>
      </c>
      <c r="G48" s="62">
        <f t="shared" si="7"/>
        <v>13.589506172839506</v>
      </c>
      <c r="H48" s="62">
        <f t="shared" si="7"/>
        <v>7.1944444444444446</v>
      </c>
      <c r="I48" s="62">
        <f t="shared" si="7"/>
        <v>13.589506172839506</v>
      </c>
      <c r="J48" s="62">
        <f t="shared" si="7"/>
        <v>13.589506172839506</v>
      </c>
      <c r="K48" s="62">
        <f t="shared" si="7"/>
        <v>13.589506172839506</v>
      </c>
      <c r="L48" s="62">
        <f t="shared" si="7"/>
        <v>13.589506172839506</v>
      </c>
      <c r="M48" s="62">
        <f t="shared" si="7"/>
        <v>13.589506172839506</v>
      </c>
      <c r="N48" s="62">
        <f t="shared" si="7"/>
        <v>13.589506172839506</v>
      </c>
      <c r="O48" s="62">
        <f t="shared" si="7"/>
        <v>13.589506172839506</v>
      </c>
      <c r="P48" s="62">
        <f t="shared" si="7"/>
        <v>13.589506172839506</v>
      </c>
      <c r="Q48" s="62">
        <f t="shared" si="7"/>
        <v>13.589506172839506</v>
      </c>
      <c r="R48" s="62">
        <f t="shared" si="7"/>
        <v>13.589506172839506</v>
      </c>
      <c r="S48" s="62"/>
      <c r="T48" s="62"/>
      <c r="U48" s="57"/>
      <c r="V48" s="96"/>
      <c r="W48" s="97"/>
      <c r="Y48" s="57"/>
    </row>
    <row r="49" spans="2:25" outlineLevel="1" x14ac:dyDescent="0.35">
      <c r="C49" s="309" t="s">
        <v>353</v>
      </c>
      <c r="D49" s="308"/>
      <c r="E49" s="308"/>
      <c r="F49" s="310">
        <f>SUM(F44:F48)</f>
        <v>13618.10049382716</v>
      </c>
      <c r="G49" s="310">
        <f t="shared" ref="G49:R49" si="8">SUM(G44:G48)</f>
        <v>1186.373950617284</v>
      </c>
      <c r="H49" s="310">
        <f t="shared" si="8"/>
        <v>567.98703703703711</v>
      </c>
      <c r="I49" s="310">
        <f t="shared" si="8"/>
        <v>1186.373950617284</v>
      </c>
      <c r="J49" s="310">
        <f t="shared" si="8"/>
        <v>1186.373950617284</v>
      </c>
      <c r="K49" s="310">
        <f t="shared" si="8"/>
        <v>1186.373950617284</v>
      </c>
      <c r="L49" s="310">
        <f t="shared" si="8"/>
        <v>1186.373950617284</v>
      </c>
      <c r="M49" s="310">
        <f t="shared" si="8"/>
        <v>1186.373950617284</v>
      </c>
      <c r="N49" s="310">
        <f t="shared" si="8"/>
        <v>1186.373950617284</v>
      </c>
      <c r="O49" s="310">
        <f t="shared" si="8"/>
        <v>1186.373950617284</v>
      </c>
      <c r="P49" s="310">
        <f t="shared" si="8"/>
        <v>1186.373950617284</v>
      </c>
      <c r="Q49" s="310">
        <f t="shared" si="8"/>
        <v>1186.373950617284</v>
      </c>
      <c r="R49" s="310">
        <f t="shared" si="8"/>
        <v>1186.373950617284</v>
      </c>
      <c r="S49" s="62"/>
      <c r="T49" s="62"/>
      <c r="U49" s="57"/>
      <c r="V49" s="96"/>
      <c r="W49" s="97"/>
      <c r="Y49" s="57"/>
    </row>
    <row r="50" spans="2:25" x14ac:dyDescent="0.35">
      <c r="B50" s="27" t="s">
        <v>307</v>
      </c>
      <c r="D50" s="55"/>
      <c r="F50" s="58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59"/>
      <c r="S50" s="59"/>
      <c r="T50" s="59"/>
      <c r="U50" s="59"/>
      <c r="V50" s="118"/>
      <c r="Y50" s="59"/>
    </row>
    <row r="51" spans="2:25" x14ac:dyDescent="0.35">
      <c r="B51" s="27"/>
      <c r="D51" s="55"/>
      <c r="E51" s="2" t="s">
        <v>23</v>
      </c>
      <c r="F51" s="57">
        <f t="shared" ref="F51:F59" si="9">SUM(G51:R51)</f>
        <v>561.48175967916643</v>
      </c>
      <c r="G51" s="195">
        <f>SUMPRODUCT(G25:G29,G18:G22)/10^6</f>
        <v>48.925253806226117</v>
      </c>
      <c r="H51" s="195">
        <f t="shared" ref="H51:R51" si="10">SUMPRODUCT(H25:H29,H18:H22)/10^6</f>
        <v>23.303967810679072</v>
      </c>
      <c r="I51" s="195">
        <f t="shared" si="10"/>
        <v>48.925253806226117</v>
      </c>
      <c r="J51" s="195">
        <f t="shared" si="10"/>
        <v>48.925253806226117</v>
      </c>
      <c r="K51" s="195">
        <f t="shared" si="10"/>
        <v>48.925253806226117</v>
      </c>
      <c r="L51" s="195">
        <f t="shared" si="10"/>
        <v>48.925253806226117</v>
      </c>
      <c r="M51" s="195">
        <f t="shared" si="10"/>
        <v>48.925253806226117</v>
      </c>
      <c r="N51" s="195">
        <f t="shared" si="10"/>
        <v>48.925253806226117</v>
      </c>
      <c r="O51" s="195">
        <f t="shared" si="10"/>
        <v>48.925253806226117</v>
      </c>
      <c r="P51" s="195">
        <f t="shared" si="10"/>
        <v>48.925253806226117</v>
      </c>
      <c r="Q51" s="195">
        <f t="shared" si="10"/>
        <v>48.925253806226117</v>
      </c>
      <c r="R51" s="195">
        <f t="shared" si="10"/>
        <v>48.925253806226117</v>
      </c>
      <c r="S51" s="59"/>
      <c r="T51" s="59"/>
      <c r="U51" s="59"/>
      <c r="V51" s="118"/>
      <c r="Y51" s="59"/>
    </row>
    <row r="52" spans="2:25" x14ac:dyDescent="0.35">
      <c r="C52" s="6"/>
      <c r="D52" s="6"/>
      <c r="E52" s="2" t="s">
        <v>690</v>
      </c>
      <c r="F52" s="57">
        <f t="shared" si="9"/>
        <v>590.42500000000007</v>
      </c>
      <c r="G52" s="195">
        <f>SUMPRODUCT(G31:G33,G18:G20)/10^6</f>
        <v>51.445</v>
      </c>
      <c r="H52" s="195">
        <f t="shared" ref="H52:R52" si="11">SUMPRODUCT(H31:H33,H18:H20)/10^6</f>
        <v>24.53</v>
      </c>
      <c r="I52" s="195">
        <f t="shared" si="11"/>
        <v>51.445</v>
      </c>
      <c r="J52" s="195">
        <f t="shared" si="11"/>
        <v>51.445</v>
      </c>
      <c r="K52" s="195">
        <f t="shared" si="11"/>
        <v>51.445</v>
      </c>
      <c r="L52" s="195">
        <f t="shared" si="11"/>
        <v>51.445</v>
      </c>
      <c r="M52" s="195">
        <f t="shared" si="11"/>
        <v>51.445</v>
      </c>
      <c r="N52" s="195">
        <f t="shared" si="11"/>
        <v>51.445</v>
      </c>
      <c r="O52" s="195">
        <f t="shared" si="11"/>
        <v>51.445</v>
      </c>
      <c r="P52" s="195">
        <f t="shared" si="11"/>
        <v>51.445</v>
      </c>
      <c r="Q52" s="195">
        <f t="shared" si="11"/>
        <v>51.445</v>
      </c>
      <c r="R52" s="195">
        <f t="shared" si="11"/>
        <v>51.445</v>
      </c>
      <c r="S52" s="85"/>
      <c r="T52" s="85"/>
      <c r="U52" s="85"/>
      <c r="V52" s="85"/>
      <c r="W52" s="85"/>
      <c r="X52" s="85"/>
      <c r="Y52" s="85"/>
    </row>
    <row r="53" spans="2:25" x14ac:dyDescent="0.35">
      <c r="C53" s="6"/>
      <c r="D53" s="6"/>
      <c r="E53" s="2" t="s">
        <v>612</v>
      </c>
      <c r="F53" s="57">
        <f t="shared" si="9"/>
        <v>2351.8066666666664</v>
      </c>
      <c r="G53" s="195">
        <f>SUMPRODUCT(G35:G37,G18:G20)/10^6</f>
        <v>204.4733333333333</v>
      </c>
      <c r="H53" s="195">
        <f t="shared" ref="H53:R53" si="12">SUMPRODUCT(H35:H37,H18:H20)/10^6</f>
        <v>102.6</v>
      </c>
      <c r="I53" s="195">
        <f t="shared" si="12"/>
        <v>204.4733333333333</v>
      </c>
      <c r="J53" s="195">
        <f t="shared" si="12"/>
        <v>204.4733333333333</v>
      </c>
      <c r="K53" s="195">
        <f t="shared" si="12"/>
        <v>204.4733333333333</v>
      </c>
      <c r="L53" s="195">
        <f t="shared" si="12"/>
        <v>204.4733333333333</v>
      </c>
      <c r="M53" s="195">
        <f t="shared" si="12"/>
        <v>204.4733333333333</v>
      </c>
      <c r="N53" s="195">
        <f t="shared" si="12"/>
        <v>204.4733333333333</v>
      </c>
      <c r="O53" s="195">
        <f t="shared" si="12"/>
        <v>204.4733333333333</v>
      </c>
      <c r="P53" s="195">
        <f t="shared" si="12"/>
        <v>204.4733333333333</v>
      </c>
      <c r="Q53" s="195">
        <f t="shared" si="12"/>
        <v>204.4733333333333</v>
      </c>
      <c r="R53" s="195">
        <f t="shared" si="12"/>
        <v>204.4733333333333</v>
      </c>
      <c r="S53" s="85"/>
      <c r="T53" s="85"/>
      <c r="U53" s="85"/>
      <c r="V53" s="85"/>
      <c r="W53" s="85"/>
      <c r="X53" s="85"/>
      <c r="Y53" s="85"/>
    </row>
    <row r="54" spans="2:25" x14ac:dyDescent="0.35">
      <c r="E54" s="2" t="s">
        <v>28</v>
      </c>
      <c r="F54" s="57">
        <f t="shared" si="9"/>
        <v>882.10266666666678</v>
      </c>
      <c r="G54" s="195">
        <f>SUMPRODUCT(G39:G41,G18:G20)/10^6</f>
        <v>77.079333333333324</v>
      </c>
      <c r="H54" s="195">
        <f t="shared" ref="H54:R54" si="13">SUMPRODUCT(H39:H41,H18:H20)/10^6</f>
        <v>34.229999999999997</v>
      </c>
      <c r="I54" s="195">
        <f t="shared" si="13"/>
        <v>77.079333333333324</v>
      </c>
      <c r="J54" s="195">
        <f t="shared" si="13"/>
        <v>77.079333333333324</v>
      </c>
      <c r="K54" s="195">
        <f t="shared" si="13"/>
        <v>77.079333333333324</v>
      </c>
      <c r="L54" s="195">
        <f t="shared" si="13"/>
        <v>77.079333333333324</v>
      </c>
      <c r="M54" s="195">
        <f t="shared" si="13"/>
        <v>77.079333333333324</v>
      </c>
      <c r="N54" s="195">
        <f t="shared" si="13"/>
        <v>77.079333333333324</v>
      </c>
      <c r="O54" s="195">
        <f t="shared" si="13"/>
        <v>77.079333333333324</v>
      </c>
      <c r="P54" s="195">
        <f t="shared" si="13"/>
        <v>77.079333333333324</v>
      </c>
      <c r="Q54" s="195">
        <f t="shared" si="13"/>
        <v>77.079333333333324</v>
      </c>
      <c r="R54" s="195">
        <f t="shared" si="13"/>
        <v>77.079333333333324</v>
      </c>
      <c r="S54" s="62"/>
      <c r="T54" s="62"/>
      <c r="U54" s="57"/>
      <c r="V54" s="96"/>
      <c r="W54" s="97"/>
      <c r="Y54" s="57"/>
    </row>
    <row r="55" spans="2:25" x14ac:dyDescent="0.35">
      <c r="E55" s="2" t="s">
        <v>182</v>
      </c>
      <c r="F55" s="62">
        <f t="shared" si="9"/>
        <v>1320.30125</v>
      </c>
      <c r="G55" s="62">
        <f>'Điểm hòa vốn'!F45</f>
        <v>110.02510416666667</v>
      </c>
      <c r="H55" s="62">
        <f>$G$55</f>
        <v>110.02510416666667</v>
      </c>
      <c r="I55" s="62">
        <f t="shared" ref="I55:R55" si="14">$G$55</f>
        <v>110.02510416666667</v>
      </c>
      <c r="J55" s="62">
        <f t="shared" si="14"/>
        <v>110.02510416666667</v>
      </c>
      <c r="K55" s="62">
        <f t="shared" si="14"/>
        <v>110.02510416666667</v>
      </c>
      <c r="L55" s="62">
        <f t="shared" si="14"/>
        <v>110.02510416666667</v>
      </c>
      <c r="M55" s="62">
        <f t="shared" si="14"/>
        <v>110.02510416666667</v>
      </c>
      <c r="N55" s="62">
        <f t="shared" si="14"/>
        <v>110.02510416666667</v>
      </c>
      <c r="O55" s="62">
        <f t="shared" si="14"/>
        <v>110.02510416666667</v>
      </c>
      <c r="P55" s="62">
        <f t="shared" si="14"/>
        <v>110.02510416666667</v>
      </c>
      <c r="Q55" s="62">
        <f t="shared" si="14"/>
        <v>110.02510416666667</v>
      </c>
      <c r="R55" s="62">
        <f t="shared" si="14"/>
        <v>110.02510416666667</v>
      </c>
      <c r="S55" s="62"/>
      <c r="T55" s="62"/>
      <c r="U55" s="57"/>
      <c r="V55" s="96"/>
      <c r="W55" s="97"/>
      <c r="Y55" s="57"/>
    </row>
    <row r="56" spans="2:25" x14ac:dyDescent="0.35">
      <c r="E56" s="2" t="s">
        <v>310</v>
      </c>
      <c r="F56" s="57">
        <f t="shared" si="9"/>
        <v>1771.4240000000038</v>
      </c>
      <c r="G56" s="62">
        <f>'Điểm hòa vốn'!F43</f>
        <v>147.618666666667</v>
      </c>
      <c r="H56" s="62">
        <f>$G56</f>
        <v>147.618666666667</v>
      </c>
      <c r="I56" s="62">
        <f t="shared" ref="I56:R56" si="15">$G56</f>
        <v>147.618666666667</v>
      </c>
      <c r="J56" s="62">
        <f t="shared" si="15"/>
        <v>147.618666666667</v>
      </c>
      <c r="K56" s="62">
        <f t="shared" si="15"/>
        <v>147.618666666667</v>
      </c>
      <c r="L56" s="62">
        <f t="shared" si="15"/>
        <v>147.618666666667</v>
      </c>
      <c r="M56" s="62">
        <f t="shared" si="15"/>
        <v>147.618666666667</v>
      </c>
      <c r="N56" s="62">
        <f t="shared" si="15"/>
        <v>147.618666666667</v>
      </c>
      <c r="O56" s="62">
        <f t="shared" si="15"/>
        <v>147.618666666667</v>
      </c>
      <c r="P56" s="62">
        <f t="shared" si="15"/>
        <v>147.618666666667</v>
      </c>
      <c r="Q56" s="62">
        <f t="shared" si="15"/>
        <v>147.618666666667</v>
      </c>
      <c r="R56" s="62">
        <f t="shared" si="15"/>
        <v>147.618666666667</v>
      </c>
      <c r="S56" s="62"/>
      <c r="T56" s="62"/>
      <c r="U56" s="57"/>
      <c r="V56" s="96"/>
      <c r="W56" s="97"/>
      <c r="Y56" s="57"/>
    </row>
    <row r="57" spans="2:25" x14ac:dyDescent="0.35">
      <c r="E57" s="2" t="s">
        <v>408</v>
      </c>
      <c r="F57" s="57">
        <f t="shared" si="9"/>
        <v>362.93400000000003</v>
      </c>
      <c r="G57" s="62">
        <f>'Điểm hòa vốn'!F42</f>
        <v>30.244499999999999</v>
      </c>
      <c r="H57" s="62">
        <f t="shared" ref="H57:R57" si="16">$G57</f>
        <v>30.244499999999999</v>
      </c>
      <c r="I57" s="62">
        <f t="shared" si="16"/>
        <v>30.244499999999999</v>
      </c>
      <c r="J57" s="62">
        <f t="shared" si="16"/>
        <v>30.244499999999999</v>
      </c>
      <c r="K57" s="62">
        <f t="shared" si="16"/>
        <v>30.244499999999999</v>
      </c>
      <c r="L57" s="62">
        <f t="shared" si="16"/>
        <v>30.244499999999999</v>
      </c>
      <c r="M57" s="62">
        <f t="shared" si="16"/>
        <v>30.244499999999999</v>
      </c>
      <c r="N57" s="62">
        <f t="shared" si="16"/>
        <v>30.244499999999999</v>
      </c>
      <c r="O57" s="62">
        <f t="shared" si="16"/>
        <v>30.244499999999999</v>
      </c>
      <c r="P57" s="62">
        <f t="shared" si="16"/>
        <v>30.244499999999999</v>
      </c>
      <c r="Q57" s="62">
        <f t="shared" si="16"/>
        <v>30.244499999999999</v>
      </c>
      <c r="R57" s="62">
        <f t="shared" si="16"/>
        <v>30.244499999999999</v>
      </c>
      <c r="S57" s="62"/>
      <c r="T57" s="62"/>
      <c r="U57" s="57"/>
      <c r="V57" s="96"/>
      <c r="W57" s="97"/>
      <c r="Y57" s="57"/>
    </row>
    <row r="58" spans="2:25" x14ac:dyDescent="0.35">
      <c r="E58" s="2" t="s">
        <v>420</v>
      </c>
      <c r="F58" s="57">
        <f t="shared" si="9"/>
        <v>660</v>
      </c>
      <c r="G58" s="62">
        <f>SUM('Điểm hòa vốn'!F44,'Điểm hòa vốn'!F54)</f>
        <v>55</v>
      </c>
      <c r="H58" s="62">
        <f>$G$58</f>
        <v>55</v>
      </c>
      <c r="I58" s="62">
        <f t="shared" ref="I58:R58" si="17">$G$58</f>
        <v>55</v>
      </c>
      <c r="J58" s="62">
        <f t="shared" si="17"/>
        <v>55</v>
      </c>
      <c r="K58" s="62">
        <f t="shared" si="17"/>
        <v>55</v>
      </c>
      <c r="L58" s="62">
        <f t="shared" si="17"/>
        <v>55</v>
      </c>
      <c r="M58" s="62">
        <f t="shared" si="17"/>
        <v>55</v>
      </c>
      <c r="N58" s="62">
        <f t="shared" si="17"/>
        <v>55</v>
      </c>
      <c r="O58" s="62">
        <f t="shared" si="17"/>
        <v>55</v>
      </c>
      <c r="P58" s="62">
        <f t="shared" si="17"/>
        <v>55</v>
      </c>
      <c r="Q58" s="62">
        <f t="shared" si="17"/>
        <v>55</v>
      </c>
      <c r="R58" s="62">
        <f t="shared" si="17"/>
        <v>55</v>
      </c>
      <c r="S58" s="62"/>
      <c r="T58" s="62"/>
      <c r="U58" s="57"/>
      <c r="V58" s="96"/>
      <c r="W58" s="97"/>
      <c r="Y58" s="57"/>
    </row>
    <row r="59" spans="2:25" x14ac:dyDescent="0.35">
      <c r="E59" s="2" t="s">
        <v>421</v>
      </c>
      <c r="F59" s="57">
        <f t="shared" si="9"/>
        <v>1361.8100493827164</v>
      </c>
      <c r="G59" s="62">
        <f>10%*'HaiDuong-2'!G49</f>
        <v>118.6373950617284</v>
      </c>
      <c r="H59" s="62">
        <f>10%*'HaiDuong-2'!H49</f>
        <v>56.798703703703715</v>
      </c>
      <c r="I59" s="62">
        <f>10%*'HaiDuong-2'!I49</f>
        <v>118.6373950617284</v>
      </c>
      <c r="J59" s="62">
        <f>10%*'HaiDuong-2'!J49</f>
        <v>118.6373950617284</v>
      </c>
      <c r="K59" s="62">
        <f>10%*'HaiDuong-2'!K49</f>
        <v>118.6373950617284</v>
      </c>
      <c r="L59" s="62">
        <f>10%*'HaiDuong-2'!L49</f>
        <v>118.6373950617284</v>
      </c>
      <c r="M59" s="62">
        <f>10%*'HaiDuong-2'!M49</f>
        <v>118.6373950617284</v>
      </c>
      <c r="N59" s="62">
        <f>10%*'HaiDuong-2'!N49</f>
        <v>118.6373950617284</v>
      </c>
      <c r="O59" s="62">
        <f>10%*'HaiDuong-2'!O49</f>
        <v>118.6373950617284</v>
      </c>
      <c r="P59" s="62">
        <f>10%*'HaiDuong-2'!P49</f>
        <v>118.6373950617284</v>
      </c>
      <c r="Q59" s="62">
        <f>10%*'HaiDuong-2'!Q49</f>
        <v>118.6373950617284</v>
      </c>
      <c r="R59" s="62">
        <f>10%*'HaiDuong-2'!R49</f>
        <v>118.6373950617284</v>
      </c>
      <c r="S59" s="62"/>
      <c r="T59" s="62"/>
      <c r="U59" s="57"/>
      <c r="V59" s="96"/>
      <c r="W59" s="97"/>
      <c r="Y59" s="57"/>
    </row>
    <row r="60" spans="2:25" x14ac:dyDescent="0.35">
      <c r="E60" s="2" t="s">
        <v>691</v>
      </c>
      <c r="F60" s="57"/>
      <c r="G60" s="62">
        <f>5%*G49</f>
        <v>59.318697530864199</v>
      </c>
      <c r="H60" s="62">
        <f t="shared" ref="H60:R60" si="18">5%*H49</f>
        <v>28.399351851851858</v>
      </c>
      <c r="I60" s="62">
        <f t="shared" si="18"/>
        <v>59.318697530864199</v>
      </c>
      <c r="J60" s="62">
        <f t="shared" si="18"/>
        <v>59.318697530864199</v>
      </c>
      <c r="K60" s="62">
        <f t="shared" si="18"/>
        <v>59.318697530864199</v>
      </c>
      <c r="L60" s="62">
        <f t="shared" si="18"/>
        <v>59.318697530864199</v>
      </c>
      <c r="M60" s="62">
        <f t="shared" si="18"/>
        <v>59.318697530864199</v>
      </c>
      <c r="N60" s="62">
        <f t="shared" si="18"/>
        <v>59.318697530864199</v>
      </c>
      <c r="O60" s="62">
        <f t="shared" si="18"/>
        <v>59.318697530864199</v>
      </c>
      <c r="P60" s="62">
        <f t="shared" si="18"/>
        <v>59.318697530864199</v>
      </c>
      <c r="Q60" s="62">
        <f t="shared" si="18"/>
        <v>59.318697530864199</v>
      </c>
      <c r="R60" s="62">
        <f t="shared" si="18"/>
        <v>59.318697530864199</v>
      </c>
      <c r="S60" s="62"/>
      <c r="T60" s="62"/>
      <c r="U60" s="57"/>
      <c r="V60" s="96"/>
      <c r="W60" s="97"/>
      <c r="Y60" s="57"/>
    </row>
    <row r="61" spans="2:25" ht="13.15" thickBot="1" x14ac:dyDescent="0.4">
      <c r="C61" s="223" t="s">
        <v>308</v>
      </c>
      <c r="D61" s="100"/>
      <c r="E61" s="100"/>
      <c r="F61" s="243">
        <f t="shared" ref="F61" si="19">SUM(F51:F59)</f>
        <v>9862.2853923952207</v>
      </c>
      <c r="G61" s="243">
        <f>SUM(G51:G60)</f>
        <v>902.76728389881896</v>
      </c>
      <c r="H61" s="243">
        <f t="shared" ref="H61:R61" si="20">SUM(H51:H60)</f>
        <v>612.75029419956832</v>
      </c>
      <c r="I61" s="243">
        <f t="shared" si="20"/>
        <v>902.76728389881896</v>
      </c>
      <c r="J61" s="243">
        <f t="shared" si="20"/>
        <v>902.76728389881896</v>
      </c>
      <c r="K61" s="243">
        <f t="shared" si="20"/>
        <v>902.76728389881896</v>
      </c>
      <c r="L61" s="243">
        <f t="shared" si="20"/>
        <v>902.76728389881896</v>
      </c>
      <c r="M61" s="243">
        <f t="shared" si="20"/>
        <v>902.76728389881896</v>
      </c>
      <c r="N61" s="243">
        <f t="shared" si="20"/>
        <v>902.76728389881896</v>
      </c>
      <c r="O61" s="243">
        <f t="shared" si="20"/>
        <v>902.76728389881896</v>
      </c>
      <c r="P61" s="243">
        <f t="shared" si="20"/>
        <v>902.76728389881896</v>
      </c>
      <c r="Q61" s="243">
        <f t="shared" si="20"/>
        <v>902.76728389881896</v>
      </c>
      <c r="R61" s="243">
        <f t="shared" si="20"/>
        <v>902.76728389881896</v>
      </c>
      <c r="S61" s="62"/>
      <c r="T61" s="62"/>
      <c r="U61" s="57"/>
      <c r="V61" s="96"/>
      <c r="W61" s="97"/>
      <c r="Y61" s="57"/>
    </row>
    <row r="62" spans="2:25" x14ac:dyDescent="0.35">
      <c r="B62" s="89" t="s">
        <v>190</v>
      </c>
      <c r="C62" s="90"/>
      <c r="D62" s="90"/>
      <c r="E62" s="91"/>
      <c r="F62" s="92">
        <f t="shared" ref="F62:R62" si="21">F49-F61</f>
        <v>3755.8151014319392</v>
      </c>
      <c r="G62" s="92">
        <f t="shared" si="21"/>
        <v>283.60666671846502</v>
      </c>
      <c r="H62" s="92">
        <f t="shared" si="21"/>
        <v>-44.763257162531204</v>
      </c>
      <c r="I62" s="92">
        <f t="shared" si="21"/>
        <v>283.60666671846502</v>
      </c>
      <c r="J62" s="92">
        <f t="shared" si="21"/>
        <v>283.60666671846502</v>
      </c>
      <c r="K62" s="92">
        <f t="shared" si="21"/>
        <v>283.60666671846502</v>
      </c>
      <c r="L62" s="92">
        <f t="shared" si="21"/>
        <v>283.60666671846502</v>
      </c>
      <c r="M62" s="92">
        <f t="shared" si="21"/>
        <v>283.60666671846502</v>
      </c>
      <c r="N62" s="92">
        <f t="shared" si="21"/>
        <v>283.60666671846502</v>
      </c>
      <c r="O62" s="92">
        <f t="shared" si="21"/>
        <v>283.60666671846502</v>
      </c>
      <c r="P62" s="92">
        <f t="shared" si="21"/>
        <v>283.60666671846502</v>
      </c>
      <c r="Q62" s="92">
        <f t="shared" si="21"/>
        <v>283.60666671846502</v>
      </c>
      <c r="R62" s="92">
        <f t="shared" si="21"/>
        <v>283.60666671846502</v>
      </c>
      <c r="S62" s="92"/>
      <c r="T62" s="92"/>
      <c r="U62" s="92"/>
      <c r="V62" s="104"/>
      <c r="W62" s="92"/>
      <c r="X62" s="92"/>
      <c r="Y62" s="92"/>
    </row>
    <row r="63" spans="2:25" x14ac:dyDescent="0.35">
      <c r="E63" s="2" t="s">
        <v>45</v>
      </c>
      <c r="F63" s="62">
        <f>SUM(G63:R63)</f>
        <v>0</v>
      </c>
      <c r="G63" s="84">
        <v>0</v>
      </c>
      <c r="H63" s="84">
        <f>$G$63</f>
        <v>0</v>
      </c>
      <c r="I63" s="84">
        <f t="shared" ref="I63:R63" si="22">$G$63</f>
        <v>0</v>
      </c>
      <c r="J63" s="84">
        <f t="shared" si="22"/>
        <v>0</v>
      </c>
      <c r="K63" s="84">
        <f t="shared" si="22"/>
        <v>0</v>
      </c>
      <c r="L63" s="84">
        <f t="shared" si="22"/>
        <v>0</v>
      </c>
      <c r="M63" s="84">
        <f t="shared" si="22"/>
        <v>0</v>
      </c>
      <c r="N63" s="84">
        <f t="shared" si="22"/>
        <v>0</v>
      </c>
      <c r="O63" s="84">
        <f t="shared" si="22"/>
        <v>0</v>
      </c>
      <c r="P63" s="84">
        <f t="shared" si="22"/>
        <v>0</v>
      </c>
      <c r="Q63" s="84">
        <f t="shared" si="22"/>
        <v>0</v>
      </c>
      <c r="R63" s="84">
        <f t="shared" si="22"/>
        <v>0</v>
      </c>
    </row>
    <row r="64" spans="2:25" x14ac:dyDescent="0.35">
      <c r="E64" s="2" t="s">
        <v>41</v>
      </c>
      <c r="F64" s="62">
        <f>SUM(G64:R64)</f>
        <v>-3219.7854000000002</v>
      </c>
      <c r="G64" s="62">
        <f>-'Điểm hòa vốn'!F47</f>
        <v>-268.31545</v>
      </c>
      <c r="H64" s="62">
        <f>$G64</f>
        <v>-268.31545</v>
      </c>
      <c r="I64" s="62">
        <f t="shared" ref="I64:R64" si="23">$G64</f>
        <v>-268.31545</v>
      </c>
      <c r="J64" s="62">
        <f t="shared" si="23"/>
        <v>-268.31545</v>
      </c>
      <c r="K64" s="62">
        <f t="shared" si="23"/>
        <v>-268.31545</v>
      </c>
      <c r="L64" s="62">
        <f t="shared" si="23"/>
        <v>-268.31545</v>
      </c>
      <c r="M64" s="62">
        <f t="shared" si="23"/>
        <v>-268.31545</v>
      </c>
      <c r="N64" s="62">
        <f t="shared" si="23"/>
        <v>-268.31545</v>
      </c>
      <c r="O64" s="62">
        <f t="shared" si="23"/>
        <v>-268.31545</v>
      </c>
      <c r="P64" s="62">
        <f t="shared" si="23"/>
        <v>-268.31545</v>
      </c>
      <c r="Q64" s="62">
        <f t="shared" si="23"/>
        <v>-268.31545</v>
      </c>
      <c r="R64" s="62">
        <f t="shared" si="23"/>
        <v>-268.31545</v>
      </c>
    </row>
    <row r="65" spans="2:18" x14ac:dyDescent="0.35">
      <c r="B65" s="6" t="s">
        <v>422</v>
      </c>
      <c r="F65" s="218">
        <f t="shared" ref="F65:R65" si="24">SUM(F62:F64)</f>
        <v>536.02970143193897</v>
      </c>
      <c r="G65" s="218">
        <f t="shared" si="24"/>
        <v>15.291216718465023</v>
      </c>
      <c r="H65" s="218">
        <f t="shared" si="24"/>
        <v>-313.0787071625312</v>
      </c>
      <c r="I65" s="218">
        <f t="shared" si="24"/>
        <v>15.291216718465023</v>
      </c>
      <c r="J65" s="218">
        <f t="shared" si="24"/>
        <v>15.291216718465023</v>
      </c>
      <c r="K65" s="218">
        <f t="shared" si="24"/>
        <v>15.291216718465023</v>
      </c>
      <c r="L65" s="218">
        <f t="shared" si="24"/>
        <v>15.291216718465023</v>
      </c>
      <c r="M65" s="218">
        <f t="shared" si="24"/>
        <v>15.291216718465023</v>
      </c>
      <c r="N65" s="218">
        <f t="shared" si="24"/>
        <v>15.291216718465023</v>
      </c>
      <c r="O65" s="218">
        <f t="shared" si="24"/>
        <v>15.291216718465023</v>
      </c>
      <c r="P65" s="218">
        <f t="shared" si="24"/>
        <v>15.291216718465023</v>
      </c>
      <c r="Q65" s="218">
        <f t="shared" si="24"/>
        <v>15.291216718465023</v>
      </c>
      <c r="R65" s="218">
        <f t="shared" si="24"/>
        <v>15.291216718465023</v>
      </c>
    </row>
    <row r="66" spans="2:18" x14ac:dyDescent="0.35">
      <c r="B66" s="6"/>
      <c r="F66" s="62"/>
    </row>
    <row r="67" spans="2:18" x14ac:dyDescent="0.35">
      <c r="E67" s="2" t="s">
        <v>354</v>
      </c>
      <c r="F67" s="62">
        <f>'VTB_YẾT KIÊU'!C27</f>
        <v>-3066</v>
      </c>
    </row>
    <row r="68" spans="2:18" x14ac:dyDescent="0.35">
      <c r="F68" s="57"/>
    </row>
    <row r="69" spans="2:18" x14ac:dyDescent="0.35">
      <c r="B69" s="6" t="s">
        <v>440</v>
      </c>
    </row>
    <row r="70" spans="2:18" x14ac:dyDescent="0.35">
      <c r="E70" s="2" t="s">
        <v>6</v>
      </c>
      <c r="F70" s="60">
        <f>SUM(G70:R70)</f>
        <v>9720</v>
      </c>
      <c r="G70" s="2">
        <f>30*9*60/20</f>
        <v>810</v>
      </c>
      <c r="H70" s="2">
        <f>$G70</f>
        <v>810</v>
      </c>
      <c r="I70" s="2">
        <f t="shared" ref="I70:R70" si="25">$G70</f>
        <v>810</v>
      </c>
      <c r="J70" s="2">
        <f t="shared" si="25"/>
        <v>810</v>
      </c>
      <c r="K70" s="2">
        <f t="shared" si="25"/>
        <v>810</v>
      </c>
      <c r="L70" s="2">
        <f t="shared" si="25"/>
        <v>810</v>
      </c>
      <c r="M70" s="2">
        <f t="shared" si="25"/>
        <v>810</v>
      </c>
      <c r="N70" s="2">
        <f t="shared" si="25"/>
        <v>810</v>
      </c>
      <c r="O70" s="2">
        <f t="shared" si="25"/>
        <v>810</v>
      </c>
      <c r="P70" s="2">
        <f t="shared" si="25"/>
        <v>810</v>
      </c>
      <c r="Q70" s="2">
        <f t="shared" si="25"/>
        <v>810</v>
      </c>
      <c r="R70" s="2">
        <f t="shared" si="25"/>
        <v>810</v>
      </c>
    </row>
    <row r="71" spans="2:18" x14ac:dyDescent="0.35">
      <c r="E71" s="2" t="s">
        <v>8</v>
      </c>
      <c r="F71" s="60">
        <f>SUM(G71:R71)</f>
        <v>12960</v>
      </c>
      <c r="G71" s="2">
        <f>30*9*60/15</f>
        <v>1080</v>
      </c>
      <c r="H71" s="2">
        <f t="shared" ref="H71:R74" si="26">$G71</f>
        <v>1080</v>
      </c>
      <c r="I71" s="2">
        <f t="shared" si="26"/>
        <v>1080</v>
      </c>
      <c r="J71" s="2">
        <f t="shared" si="26"/>
        <v>1080</v>
      </c>
      <c r="K71" s="2">
        <f t="shared" si="26"/>
        <v>1080</v>
      </c>
      <c r="L71" s="2">
        <f t="shared" si="26"/>
        <v>1080</v>
      </c>
      <c r="M71" s="2">
        <f t="shared" si="26"/>
        <v>1080</v>
      </c>
      <c r="N71" s="2">
        <f t="shared" si="26"/>
        <v>1080</v>
      </c>
      <c r="O71" s="2">
        <f t="shared" si="26"/>
        <v>1080</v>
      </c>
      <c r="P71" s="2">
        <f t="shared" si="26"/>
        <v>1080</v>
      </c>
      <c r="Q71" s="2">
        <f t="shared" si="26"/>
        <v>1080</v>
      </c>
      <c r="R71" s="2">
        <f t="shared" si="26"/>
        <v>1080</v>
      </c>
    </row>
    <row r="72" spans="2:18" x14ac:dyDescent="0.35">
      <c r="E72" s="2" t="s">
        <v>7</v>
      </c>
      <c r="F72" s="60">
        <f>SUM(G72:R72)</f>
        <v>19440</v>
      </c>
      <c r="G72" s="2">
        <f>30*9*60/10</f>
        <v>1620</v>
      </c>
      <c r="H72" s="2">
        <f t="shared" si="26"/>
        <v>1620</v>
      </c>
      <c r="I72" s="2">
        <f t="shared" si="26"/>
        <v>1620</v>
      </c>
      <c r="J72" s="2">
        <f t="shared" si="26"/>
        <v>1620</v>
      </c>
      <c r="K72" s="2">
        <f t="shared" si="26"/>
        <v>1620</v>
      </c>
      <c r="L72" s="2">
        <f t="shared" si="26"/>
        <v>1620</v>
      </c>
      <c r="M72" s="2">
        <f t="shared" si="26"/>
        <v>1620</v>
      </c>
      <c r="N72" s="2">
        <f t="shared" si="26"/>
        <v>1620</v>
      </c>
      <c r="O72" s="2">
        <f t="shared" si="26"/>
        <v>1620</v>
      </c>
      <c r="P72" s="2">
        <f t="shared" si="26"/>
        <v>1620</v>
      </c>
      <c r="Q72" s="2">
        <f t="shared" si="26"/>
        <v>1620</v>
      </c>
      <c r="R72" s="2">
        <f t="shared" si="26"/>
        <v>1620</v>
      </c>
    </row>
    <row r="73" spans="2:18" x14ac:dyDescent="0.35">
      <c r="E73" s="2" t="s">
        <v>9</v>
      </c>
      <c r="F73" s="60">
        <f>SUM(G73:R73)</f>
        <v>24300</v>
      </c>
      <c r="G73" s="2">
        <f>30*9*60/8</f>
        <v>2025</v>
      </c>
      <c r="H73" s="2">
        <f t="shared" si="26"/>
        <v>2025</v>
      </c>
      <c r="I73" s="2">
        <f t="shared" si="26"/>
        <v>2025</v>
      </c>
      <c r="J73" s="2">
        <f t="shared" si="26"/>
        <v>2025</v>
      </c>
      <c r="K73" s="2">
        <f t="shared" si="26"/>
        <v>2025</v>
      </c>
      <c r="L73" s="2">
        <f t="shared" si="26"/>
        <v>2025</v>
      </c>
      <c r="M73" s="2">
        <f t="shared" si="26"/>
        <v>2025</v>
      </c>
      <c r="N73" s="2">
        <f t="shared" si="26"/>
        <v>2025</v>
      </c>
      <c r="O73" s="2">
        <f t="shared" si="26"/>
        <v>2025</v>
      </c>
      <c r="P73" s="2">
        <f t="shared" si="26"/>
        <v>2025</v>
      </c>
      <c r="Q73" s="2">
        <f t="shared" si="26"/>
        <v>2025</v>
      </c>
      <c r="R73" s="2">
        <f t="shared" si="26"/>
        <v>2025</v>
      </c>
    </row>
    <row r="74" spans="2:18" x14ac:dyDescent="0.35">
      <c r="E74" s="2" t="s">
        <v>10</v>
      </c>
      <c r="F74" s="60">
        <f>SUM(G74:R74)</f>
        <v>19440</v>
      </c>
      <c r="G74" s="2">
        <f>30*9*60/10</f>
        <v>1620</v>
      </c>
      <c r="H74" s="2">
        <f t="shared" si="26"/>
        <v>1620</v>
      </c>
      <c r="I74" s="2">
        <f t="shared" si="26"/>
        <v>1620</v>
      </c>
      <c r="J74" s="2">
        <f t="shared" si="26"/>
        <v>1620</v>
      </c>
      <c r="K74" s="2">
        <f t="shared" si="26"/>
        <v>1620</v>
      </c>
      <c r="L74" s="2">
        <f t="shared" si="26"/>
        <v>1620</v>
      </c>
      <c r="M74" s="2">
        <f t="shared" si="26"/>
        <v>1620</v>
      </c>
      <c r="N74" s="2">
        <f t="shared" si="26"/>
        <v>1620</v>
      </c>
      <c r="O74" s="2">
        <f t="shared" si="26"/>
        <v>1620</v>
      </c>
      <c r="P74" s="2">
        <f t="shared" si="26"/>
        <v>1620</v>
      </c>
      <c r="Q74" s="2">
        <f t="shared" si="26"/>
        <v>1620</v>
      </c>
      <c r="R74" s="2">
        <f t="shared" si="26"/>
        <v>1620</v>
      </c>
    </row>
    <row r="75" spans="2:18" x14ac:dyDescent="0.35">
      <c r="B75" s="6" t="s">
        <v>439</v>
      </c>
    </row>
    <row r="76" spans="2:18" x14ac:dyDescent="0.35">
      <c r="E76" s="2" t="s">
        <v>6</v>
      </c>
      <c r="F76" s="201">
        <f>F18/F70</f>
        <v>0.53792866941015083</v>
      </c>
      <c r="G76" s="201">
        <f t="shared" ref="G76:R76" si="27">G18/G70</f>
        <v>0.55967078189300412</v>
      </c>
      <c r="H76" s="201">
        <f t="shared" si="27"/>
        <v>0.29876543209876544</v>
      </c>
      <c r="I76" s="201">
        <f t="shared" si="27"/>
        <v>0.55967078189300412</v>
      </c>
      <c r="J76" s="201">
        <f t="shared" si="27"/>
        <v>0.55967078189300412</v>
      </c>
      <c r="K76" s="201">
        <f t="shared" si="27"/>
        <v>0.55967078189300412</v>
      </c>
      <c r="L76" s="201">
        <f t="shared" si="27"/>
        <v>0.55967078189300412</v>
      </c>
      <c r="M76" s="201">
        <f t="shared" si="27"/>
        <v>0.55967078189300412</v>
      </c>
      <c r="N76" s="201">
        <f t="shared" si="27"/>
        <v>0.55967078189300412</v>
      </c>
      <c r="O76" s="201">
        <f t="shared" si="27"/>
        <v>0.55967078189300412</v>
      </c>
      <c r="P76" s="201">
        <f t="shared" si="27"/>
        <v>0.55967078189300412</v>
      </c>
      <c r="Q76" s="201">
        <f t="shared" si="27"/>
        <v>0.55967078189300412</v>
      </c>
      <c r="R76" s="201">
        <f t="shared" si="27"/>
        <v>0.55967078189300412</v>
      </c>
    </row>
    <row r="77" spans="2:18" x14ac:dyDescent="0.35">
      <c r="E77" s="2" t="s">
        <v>8</v>
      </c>
      <c r="F77" s="201">
        <f>F19/F71</f>
        <v>0.16901234567901235</v>
      </c>
      <c r="G77" s="201">
        <f t="shared" ref="G77:R77" si="28">G19/G71</f>
        <v>0.17999999999999997</v>
      </c>
      <c r="H77" s="201">
        <f t="shared" si="28"/>
        <v>4.8148148148148148E-2</v>
      </c>
      <c r="I77" s="201">
        <f t="shared" si="28"/>
        <v>0.17999999999999997</v>
      </c>
      <c r="J77" s="201">
        <f t="shared" si="28"/>
        <v>0.17999999999999997</v>
      </c>
      <c r="K77" s="201">
        <f t="shared" si="28"/>
        <v>0.17999999999999997</v>
      </c>
      <c r="L77" s="201">
        <f t="shared" si="28"/>
        <v>0.17999999999999997</v>
      </c>
      <c r="M77" s="201">
        <f t="shared" si="28"/>
        <v>0.17999999999999997</v>
      </c>
      <c r="N77" s="201">
        <f t="shared" si="28"/>
        <v>0.17999999999999997</v>
      </c>
      <c r="O77" s="201">
        <f t="shared" si="28"/>
        <v>0.17999999999999997</v>
      </c>
      <c r="P77" s="201">
        <f t="shared" si="28"/>
        <v>0.17999999999999997</v>
      </c>
      <c r="Q77" s="201">
        <f t="shared" si="28"/>
        <v>0.17999999999999997</v>
      </c>
      <c r="R77" s="201">
        <f t="shared" si="28"/>
        <v>0.17999999999999997</v>
      </c>
    </row>
    <row r="78" spans="2:18" x14ac:dyDescent="0.35">
      <c r="E78" s="2" t="s">
        <v>7</v>
      </c>
      <c r="F78" s="201">
        <f>F20/F72</f>
        <v>2.1244855967078188E-2</v>
      </c>
      <c r="G78" s="201">
        <f t="shared" ref="G78:R78" si="29">G20/G72</f>
        <v>2.2839506172839506E-2</v>
      </c>
      <c r="H78" s="201">
        <f t="shared" si="29"/>
        <v>3.7037037037037038E-3</v>
      </c>
      <c r="I78" s="201">
        <f t="shared" si="29"/>
        <v>2.2839506172839506E-2</v>
      </c>
      <c r="J78" s="201">
        <f t="shared" si="29"/>
        <v>2.2839506172839506E-2</v>
      </c>
      <c r="K78" s="201">
        <f t="shared" si="29"/>
        <v>2.2839506172839506E-2</v>
      </c>
      <c r="L78" s="201">
        <f t="shared" si="29"/>
        <v>2.2839506172839506E-2</v>
      </c>
      <c r="M78" s="201">
        <f t="shared" si="29"/>
        <v>2.2839506172839506E-2</v>
      </c>
      <c r="N78" s="201">
        <f t="shared" si="29"/>
        <v>2.2839506172839506E-2</v>
      </c>
      <c r="O78" s="201">
        <f t="shared" si="29"/>
        <v>2.2839506172839506E-2</v>
      </c>
      <c r="P78" s="201">
        <f t="shared" si="29"/>
        <v>2.2839506172839506E-2</v>
      </c>
      <c r="Q78" s="201">
        <f t="shared" si="29"/>
        <v>2.2839506172839506E-2</v>
      </c>
      <c r="R78" s="201">
        <f t="shared" si="29"/>
        <v>2.2839506172839506E-2</v>
      </c>
    </row>
    <row r="79" spans="2:18" x14ac:dyDescent="0.35">
      <c r="E79" s="2" t="s">
        <v>9</v>
      </c>
      <c r="F79" s="201">
        <f>F21/F73</f>
        <v>0.10781893004115227</v>
      </c>
      <c r="G79" s="201">
        <f t="shared" ref="G79:R79" si="30">G21/G73</f>
        <v>0.11259259259259259</v>
      </c>
      <c r="H79" s="201">
        <f t="shared" si="30"/>
        <v>5.5308641975308645E-2</v>
      </c>
      <c r="I79" s="201">
        <f t="shared" si="30"/>
        <v>0.11259259259259259</v>
      </c>
      <c r="J79" s="201">
        <f t="shared" si="30"/>
        <v>0.11259259259259259</v>
      </c>
      <c r="K79" s="201">
        <f t="shared" si="30"/>
        <v>0.11259259259259259</v>
      </c>
      <c r="L79" s="201">
        <f t="shared" si="30"/>
        <v>0.11259259259259259</v>
      </c>
      <c r="M79" s="201">
        <f t="shared" si="30"/>
        <v>0.11259259259259259</v>
      </c>
      <c r="N79" s="201">
        <f t="shared" si="30"/>
        <v>0.11259259259259259</v>
      </c>
      <c r="O79" s="201">
        <f t="shared" si="30"/>
        <v>0.11259259259259259</v>
      </c>
      <c r="P79" s="201">
        <f t="shared" si="30"/>
        <v>0.11259259259259259</v>
      </c>
      <c r="Q79" s="201">
        <f t="shared" si="30"/>
        <v>0.11259259259259259</v>
      </c>
      <c r="R79" s="201">
        <f t="shared" si="30"/>
        <v>0.11259259259259259</v>
      </c>
    </row>
    <row r="80" spans="2:18" x14ac:dyDescent="0.35">
      <c r="E80" s="2" t="s">
        <v>10</v>
      </c>
      <c r="F80" s="201">
        <f>F22/F74</f>
        <v>5.0411522633744855E-2</v>
      </c>
      <c r="G80" s="201">
        <f t="shared" ref="G80:R80" si="31">G22/G74</f>
        <v>5.2469135802469133E-2</v>
      </c>
      <c r="H80" s="201">
        <f t="shared" si="31"/>
        <v>2.7777777777777776E-2</v>
      </c>
      <c r="I80" s="201">
        <f t="shared" si="31"/>
        <v>5.2469135802469133E-2</v>
      </c>
      <c r="J80" s="201">
        <f t="shared" si="31"/>
        <v>5.2469135802469133E-2</v>
      </c>
      <c r="K80" s="201">
        <f t="shared" si="31"/>
        <v>5.2469135802469133E-2</v>
      </c>
      <c r="L80" s="201">
        <f t="shared" si="31"/>
        <v>5.2469135802469133E-2</v>
      </c>
      <c r="M80" s="201">
        <f t="shared" si="31"/>
        <v>5.2469135802469133E-2</v>
      </c>
      <c r="N80" s="201">
        <f t="shared" si="31"/>
        <v>5.2469135802469133E-2</v>
      </c>
      <c r="O80" s="201">
        <f t="shared" si="31"/>
        <v>5.2469135802469133E-2</v>
      </c>
      <c r="P80" s="201">
        <f t="shared" si="31"/>
        <v>5.2469135802469133E-2</v>
      </c>
      <c r="Q80" s="201">
        <f t="shared" si="31"/>
        <v>5.2469135802469133E-2</v>
      </c>
      <c r="R80" s="201">
        <f t="shared" si="31"/>
        <v>5.2469135802469133E-2</v>
      </c>
    </row>
    <row r="81" spans="2:18" x14ac:dyDescent="0.35">
      <c r="B81" s="6" t="s">
        <v>443</v>
      </c>
    </row>
    <row r="82" spans="2:18" x14ac:dyDescent="0.35">
      <c r="E82" s="2" t="s">
        <v>6</v>
      </c>
      <c r="F82" s="60">
        <f>SUM(G82:R82)</f>
        <v>2823</v>
      </c>
      <c r="G82" s="84">
        <v>78</v>
      </c>
      <c r="H82" s="84">
        <v>141</v>
      </c>
      <c r="I82" s="84">
        <v>185</v>
      </c>
      <c r="J82" s="2">
        <v>151</v>
      </c>
      <c r="K82" s="2">
        <v>224</v>
      </c>
      <c r="L82" s="2">
        <v>287</v>
      </c>
      <c r="M82" s="2">
        <v>310</v>
      </c>
      <c r="N82" s="2">
        <v>286</v>
      </c>
      <c r="O82" s="2">
        <v>295</v>
      </c>
      <c r="P82" s="2">
        <v>299</v>
      </c>
      <c r="Q82" s="2">
        <v>255</v>
      </c>
      <c r="R82" s="2">
        <v>312</v>
      </c>
    </row>
    <row r="83" spans="2:18" x14ac:dyDescent="0.35">
      <c r="E83" s="2" t="s">
        <v>8</v>
      </c>
      <c r="F83" s="60">
        <f>SUM(G83:R83)</f>
        <v>282</v>
      </c>
      <c r="G83" s="84">
        <v>11</v>
      </c>
      <c r="H83" s="84">
        <v>20</v>
      </c>
      <c r="I83" s="2">
        <v>19</v>
      </c>
      <c r="J83" s="2">
        <v>16</v>
      </c>
      <c r="K83" s="2">
        <v>23</v>
      </c>
      <c r="L83" s="2">
        <v>28</v>
      </c>
      <c r="M83" s="2">
        <v>24</v>
      </c>
      <c r="N83" s="2">
        <v>19</v>
      </c>
      <c r="O83" s="2">
        <v>29</v>
      </c>
      <c r="P83" s="2">
        <v>30</v>
      </c>
      <c r="Q83" s="2">
        <v>32</v>
      </c>
      <c r="R83" s="2">
        <v>31</v>
      </c>
    </row>
    <row r="84" spans="2:18" x14ac:dyDescent="0.35">
      <c r="E84" s="2" t="s">
        <v>7</v>
      </c>
      <c r="F84" s="60">
        <f>SUM(G84:R84)</f>
        <v>184</v>
      </c>
      <c r="G84" s="84">
        <v>1</v>
      </c>
      <c r="H84" s="84">
        <v>4</v>
      </c>
      <c r="I84" s="2">
        <v>7</v>
      </c>
      <c r="J84" s="2">
        <v>1</v>
      </c>
      <c r="K84" s="2">
        <v>90</v>
      </c>
      <c r="L84" s="2">
        <v>11</v>
      </c>
      <c r="M84" s="2">
        <v>19</v>
      </c>
      <c r="N84" s="2">
        <v>6</v>
      </c>
      <c r="O84" s="2">
        <v>28</v>
      </c>
      <c r="P84" s="2">
        <v>4</v>
      </c>
      <c r="Q84" s="2">
        <v>8</v>
      </c>
      <c r="R84" s="2">
        <v>5</v>
      </c>
    </row>
    <row r="85" spans="2:18" x14ac:dyDescent="0.35">
      <c r="E85" s="2" t="s">
        <v>9</v>
      </c>
      <c r="F85" s="60">
        <f>SUM(G85:R85)</f>
        <v>423</v>
      </c>
      <c r="G85" s="84">
        <v>13</v>
      </c>
      <c r="H85" s="84">
        <v>26</v>
      </c>
      <c r="I85" s="84">
        <v>36</v>
      </c>
      <c r="J85" s="2">
        <v>34</v>
      </c>
      <c r="K85" s="2">
        <v>40</v>
      </c>
      <c r="L85" s="2">
        <v>56</v>
      </c>
      <c r="M85" s="2">
        <v>47</v>
      </c>
      <c r="N85" s="2">
        <v>33</v>
      </c>
      <c r="O85" s="2">
        <v>36</v>
      </c>
      <c r="P85" s="2">
        <v>60</v>
      </c>
      <c r="Q85" s="2">
        <v>24</v>
      </c>
      <c r="R85" s="2">
        <v>18</v>
      </c>
    </row>
    <row r="86" spans="2:18" x14ac:dyDescent="0.35">
      <c r="E86" s="2" t="s">
        <v>10</v>
      </c>
      <c r="F86" s="60">
        <f>SUM(G86:R86)</f>
        <v>87</v>
      </c>
      <c r="G86" s="84">
        <v>3</v>
      </c>
      <c r="H86" s="84"/>
      <c r="I86" s="84">
        <v>3</v>
      </c>
      <c r="J86" s="2">
        <v>1</v>
      </c>
      <c r="K86" s="84">
        <v>2</v>
      </c>
      <c r="L86" s="84">
        <v>1</v>
      </c>
      <c r="M86" s="84">
        <v>3</v>
      </c>
      <c r="N86" s="84"/>
      <c r="O86" s="84">
        <v>3</v>
      </c>
      <c r="P86" s="84">
        <v>20</v>
      </c>
      <c r="Q86" s="84">
        <v>33</v>
      </c>
      <c r="R86" s="2">
        <v>18</v>
      </c>
    </row>
    <row r="87" spans="2:18" x14ac:dyDescent="0.35">
      <c r="B87" s="6" t="s">
        <v>441</v>
      </c>
    </row>
    <row r="88" spans="2:18" x14ac:dyDescent="0.35">
      <c r="E88" s="2" t="s">
        <v>6</v>
      </c>
      <c r="F88" s="201">
        <f>F82/F70</f>
        <v>0.29043209876543208</v>
      </c>
      <c r="G88" s="201">
        <f t="shared" ref="G88:R88" si="32">G82/G70</f>
        <v>9.6296296296296297E-2</v>
      </c>
      <c r="H88" s="201">
        <f t="shared" si="32"/>
        <v>0.17407407407407408</v>
      </c>
      <c r="I88" s="201">
        <f t="shared" si="32"/>
        <v>0.22839506172839505</v>
      </c>
      <c r="J88" s="201">
        <f t="shared" si="32"/>
        <v>0.18641975308641975</v>
      </c>
      <c r="K88" s="201">
        <f t="shared" si="32"/>
        <v>0.27654320987654318</v>
      </c>
      <c r="L88" s="201">
        <f t="shared" si="32"/>
        <v>0.35432098765432096</v>
      </c>
      <c r="M88" s="201">
        <f t="shared" si="32"/>
        <v>0.38271604938271603</v>
      </c>
      <c r="N88" s="201">
        <f t="shared" si="32"/>
        <v>0.35308641975308641</v>
      </c>
      <c r="O88" s="201">
        <f t="shared" si="32"/>
        <v>0.36419753086419754</v>
      </c>
      <c r="P88" s="201">
        <f t="shared" si="32"/>
        <v>0.3691358024691358</v>
      </c>
      <c r="Q88" s="201">
        <f t="shared" si="32"/>
        <v>0.31481481481481483</v>
      </c>
      <c r="R88" s="201">
        <f t="shared" si="32"/>
        <v>0.38518518518518519</v>
      </c>
    </row>
    <row r="89" spans="2:18" x14ac:dyDescent="0.35">
      <c r="E89" s="2" t="s">
        <v>8</v>
      </c>
      <c r="F89" s="201">
        <f t="shared" ref="F89:R92" si="33">F83/F71</f>
        <v>2.1759259259259259E-2</v>
      </c>
      <c r="G89" s="201">
        <f t="shared" si="33"/>
        <v>1.0185185185185186E-2</v>
      </c>
      <c r="H89" s="201">
        <f t="shared" si="33"/>
        <v>1.8518518518518517E-2</v>
      </c>
      <c r="I89" s="201">
        <f t="shared" si="33"/>
        <v>1.7592592592592594E-2</v>
      </c>
      <c r="J89" s="201">
        <f t="shared" si="33"/>
        <v>1.4814814814814815E-2</v>
      </c>
      <c r="K89" s="201">
        <f t="shared" si="33"/>
        <v>2.1296296296296296E-2</v>
      </c>
      <c r="L89" s="201">
        <f t="shared" si="33"/>
        <v>2.5925925925925925E-2</v>
      </c>
      <c r="M89" s="201">
        <f t="shared" si="33"/>
        <v>2.2222222222222223E-2</v>
      </c>
      <c r="N89" s="201">
        <f t="shared" si="33"/>
        <v>1.7592592592592594E-2</v>
      </c>
      <c r="O89" s="201">
        <f t="shared" si="33"/>
        <v>2.6851851851851852E-2</v>
      </c>
      <c r="P89" s="201">
        <f t="shared" si="33"/>
        <v>2.7777777777777776E-2</v>
      </c>
      <c r="Q89" s="201">
        <f t="shared" si="33"/>
        <v>2.9629629629629631E-2</v>
      </c>
      <c r="R89" s="201">
        <f t="shared" si="33"/>
        <v>2.8703703703703703E-2</v>
      </c>
    </row>
    <row r="90" spans="2:18" x14ac:dyDescent="0.35">
      <c r="E90" s="2" t="s">
        <v>7</v>
      </c>
      <c r="F90" s="201">
        <f t="shared" si="33"/>
        <v>9.4650205761316868E-3</v>
      </c>
      <c r="G90" s="201">
        <f t="shared" si="33"/>
        <v>6.1728395061728394E-4</v>
      </c>
      <c r="H90" s="201">
        <f t="shared" si="33"/>
        <v>2.4691358024691358E-3</v>
      </c>
      <c r="I90" s="201">
        <f t="shared" si="33"/>
        <v>4.3209876543209872E-3</v>
      </c>
      <c r="J90" s="201">
        <f t="shared" si="33"/>
        <v>6.1728395061728394E-4</v>
      </c>
      <c r="K90" s="201">
        <f t="shared" si="33"/>
        <v>5.5555555555555552E-2</v>
      </c>
      <c r="L90" s="201">
        <f t="shared" si="33"/>
        <v>6.7901234567901234E-3</v>
      </c>
      <c r="M90" s="201">
        <f t="shared" si="33"/>
        <v>1.1728395061728396E-2</v>
      </c>
      <c r="N90" s="201">
        <f t="shared" si="33"/>
        <v>3.7037037037037038E-3</v>
      </c>
      <c r="O90" s="201">
        <f t="shared" si="33"/>
        <v>1.7283950617283949E-2</v>
      </c>
      <c r="P90" s="201">
        <f t="shared" si="33"/>
        <v>2.4691358024691358E-3</v>
      </c>
      <c r="Q90" s="201">
        <f t="shared" si="33"/>
        <v>4.9382716049382715E-3</v>
      </c>
      <c r="R90" s="201">
        <f t="shared" si="33"/>
        <v>3.0864197530864196E-3</v>
      </c>
    </row>
    <row r="91" spans="2:18" x14ac:dyDescent="0.35">
      <c r="E91" s="2" t="s">
        <v>9</v>
      </c>
      <c r="F91" s="201">
        <f t="shared" si="33"/>
        <v>1.7407407407407406E-2</v>
      </c>
      <c r="G91" s="201">
        <f t="shared" si="33"/>
        <v>6.4197530864197527E-3</v>
      </c>
      <c r="H91" s="201">
        <f t="shared" si="33"/>
        <v>1.2839506172839505E-2</v>
      </c>
      <c r="I91" s="201">
        <f t="shared" si="33"/>
        <v>1.7777777777777778E-2</v>
      </c>
      <c r="J91" s="201">
        <f t="shared" si="33"/>
        <v>1.6790123456790124E-2</v>
      </c>
      <c r="K91" s="201">
        <f t="shared" si="33"/>
        <v>1.9753086419753086E-2</v>
      </c>
      <c r="L91" s="201">
        <f t="shared" si="33"/>
        <v>2.7654320987654323E-2</v>
      </c>
      <c r="M91" s="201">
        <f t="shared" si="33"/>
        <v>2.3209876543209877E-2</v>
      </c>
      <c r="N91" s="201">
        <f t="shared" si="33"/>
        <v>1.6296296296296295E-2</v>
      </c>
      <c r="O91" s="201">
        <f t="shared" si="33"/>
        <v>1.7777777777777778E-2</v>
      </c>
      <c r="P91" s="201">
        <f t="shared" si="33"/>
        <v>2.9629629629629631E-2</v>
      </c>
      <c r="Q91" s="201">
        <f t="shared" si="33"/>
        <v>1.1851851851851851E-2</v>
      </c>
      <c r="R91" s="201">
        <f t="shared" si="33"/>
        <v>8.8888888888888889E-3</v>
      </c>
    </row>
    <row r="92" spans="2:18" x14ac:dyDescent="0.35">
      <c r="E92" s="2" t="s">
        <v>10</v>
      </c>
      <c r="F92" s="201">
        <f t="shared" si="33"/>
        <v>4.4753086419753087E-3</v>
      </c>
      <c r="G92" s="201">
        <f t="shared" si="33"/>
        <v>1.8518518518518519E-3</v>
      </c>
      <c r="H92" s="201">
        <f t="shared" si="33"/>
        <v>0</v>
      </c>
      <c r="I92" s="201">
        <f t="shared" si="33"/>
        <v>1.8518518518518519E-3</v>
      </c>
      <c r="J92" s="201">
        <f t="shared" si="33"/>
        <v>6.1728395061728394E-4</v>
      </c>
      <c r="K92" s="201">
        <f t="shared" si="33"/>
        <v>1.2345679012345679E-3</v>
      </c>
      <c r="L92" s="201">
        <f t="shared" si="33"/>
        <v>6.1728395061728394E-4</v>
      </c>
      <c r="M92" s="201">
        <f t="shared" si="33"/>
        <v>1.8518518518518519E-3</v>
      </c>
      <c r="N92" s="201">
        <f t="shared" si="33"/>
        <v>0</v>
      </c>
      <c r="O92" s="201">
        <f t="shared" si="33"/>
        <v>1.8518518518518519E-3</v>
      </c>
      <c r="P92" s="201">
        <f t="shared" si="33"/>
        <v>1.2345679012345678E-2</v>
      </c>
      <c r="Q92" s="201">
        <f t="shared" si="33"/>
        <v>2.0370370370370372E-2</v>
      </c>
      <c r="R92" s="201">
        <f t="shared" si="33"/>
        <v>1.1111111111111112E-2</v>
      </c>
    </row>
  </sheetData>
  <pageMargins left="0.7" right="0.7" top="0.75" bottom="0.7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C21A-035D-4136-B056-C05BED76C499}">
  <sheetPr>
    <tabColor rgb="FF2596BE"/>
  </sheetPr>
  <dimension ref="B3:Y92"/>
  <sheetViews>
    <sheetView workbookViewId="0">
      <pane xSplit="5" ySplit="9" topLeftCell="F10" activePane="bottomRight" state="frozen"/>
      <selection activeCell="B8" sqref="B8"/>
      <selection pane="topRight" activeCell="B8" sqref="B8"/>
      <selection pane="bottomLeft" activeCell="B8" sqref="B8"/>
      <selection pane="bottomRight" activeCell="H21" sqref="H21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45.1328125" style="2" customWidth="1"/>
    <col min="6" max="6" width="12.265625" style="2" customWidth="1"/>
    <col min="7" max="8" width="9.1328125" style="2" customWidth="1" outlineLevel="1"/>
    <col min="9" max="9" width="9" style="2" customWidth="1" outlineLevel="1"/>
    <col min="10" max="17" width="9.1328125" style="2" customWidth="1" outlineLevel="1"/>
    <col min="18" max="18" width="10.265625" style="2" bestFit="1" customWidth="1"/>
    <col min="19" max="19" width="12.1328125" style="2" customWidth="1"/>
    <col min="20" max="20" width="10.59765625" style="2" customWidth="1"/>
    <col min="21" max="21" width="18.59765625" style="2" customWidth="1"/>
    <col min="22" max="22" width="11.3984375" style="2" customWidth="1"/>
    <col min="23" max="23" width="12.86328125" style="2" customWidth="1"/>
    <col min="24" max="24" width="13.1328125" style="2" customWidth="1"/>
    <col min="25" max="16384" width="9.1328125" style="2"/>
  </cols>
  <sheetData>
    <row r="3" spans="2:25" x14ac:dyDescent="0.35">
      <c r="I3" s="60"/>
    </row>
    <row r="4" spans="2:25" x14ac:dyDescent="0.35">
      <c r="B4" s="2" t="s">
        <v>25</v>
      </c>
    </row>
    <row r="6" spans="2:25" x14ac:dyDescent="0.35">
      <c r="B6" s="27" t="s">
        <v>299</v>
      </c>
    </row>
    <row r="7" spans="2:25" s="6" customFormat="1" x14ac:dyDescent="0.35">
      <c r="B7" s="6" t="s">
        <v>150</v>
      </c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</row>
    <row r="8" spans="2:25" x14ac:dyDescent="0.35">
      <c r="B8" s="32" t="s">
        <v>212</v>
      </c>
      <c r="G8" s="32" t="s">
        <v>52</v>
      </c>
    </row>
    <row r="9" spans="2:25" ht="13.5" x14ac:dyDescent="0.35">
      <c r="B9" s="45" t="s">
        <v>101</v>
      </c>
      <c r="F9" s="6" t="s">
        <v>309</v>
      </c>
      <c r="G9" s="61">
        <v>1</v>
      </c>
      <c r="H9" s="61">
        <v>2</v>
      </c>
      <c r="I9" s="61">
        <v>3</v>
      </c>
      <c r="J9" s="61">
        <v>4</v>
      </c>
      <c r="K9" s="61">
        <v>5</v>
      </c>
      <c r="L9" s="61">
        <v>6</v>
      </c>
      <c r="M9" s="61">
        <v>7</v>
      </c>
      <c r="N9" s="61">
        <v>8</v>
      </c>
      <c r="O9" s="61">
        <v>9</v>
      </c>
      <c r="P9" s="61">
        <v>10</v>
      </c>
      <c r="Q9" s="61">
        <v>11</v>
      </c>
      <c r="R9" s="61">
        <v>12</v>
      </c>
      <c r="S9" s="113" t="s">
        <v>197</v>
      </c>
      <c r="T9" s="114"/>
      <c r="U9" s="114"/>
      <c r="V9" s="32"/>
      <c r="W9" s="32"/>
      <c r="X9" s="6"/>
      <c r="Y9" s="73"/>
    </row>
    <row r="10" spans="2:25" x14ac:dyDescent="0.35">
      <c r="B10" s="27" t="s">
        <v>520</v>
      </c>
      <c r="D10" s="6"/>
      <c r="R10" s="58"/>
    </row>
    <row r="11" spans="2:25" x14ac:dyDescent="0.35">
      <c r="B11" s="27" t="s">
        <v>300</v>
      </c>
      <c r="D11" s="6"/>
      <c r="R11" s="58"/>
    </row>
    <row r="12" spans="2:25" x14ac:dyDescent="0.35">
      <c r="B12" s="27"/>
      <c r="D12" s="6"/>
      <c r="E12" s="2" t="s">
        <v>6</v>
      </c>
      <c r="G12" s="311">
        <f>'Điểm hòa vốn'!G83/10^6</f>
        <v>2</v>
      </c>
      <c r="H12" s="225">
        <f>$G12</f>
        <v>2</v>
      </c>
      <c r="I12" s="225">
        <f t="shared" ref="I12:R12" si="0">$G12</f>
        <v>2</v>
      </c>
      <c r="J12" s="225">
        <f t="shared" si="0"/>
        <v>2</v>
      </c>
      <c r="K12" s="225">
        <f t="shared" si="0"/>
        <v>2</v>
      </c>
      <c r="L12" s="225">
        <f t="shared" si="0"/>
        <v>2</v>
      </c>
      <c r="M12" s="225">
        <f t="shared" si="0"/>
        <v>2</v>
      </c>
      <c r="N12" s="225">
        <f t="shared" si="0"/>
        <v>2</v>
      </c>
      <c r="O12" s="225">
        <f t="shared" si="0"/>
        <v>2</v>
      </c>
      <c r="P12" s="225">
        <f t="shared" si="0"/>
        <v>2</v>
      </c>
      <c r="Q12" s="225">
        <f t="shared" si="0"/>
        <v>2</v>
      </c>
      <c r="R12" s="225">
        <f t="shared" si="0"/>
        <v>2</v>
      </c>
    </row>
    <row r="13" spans="2:25" x14ac:dyDescent="0.35">
      <c r="B13" s="27"/>
      <c r="D13" s="6"/>
      <c r="E13" s="2" t="s">
        <v>8</v>
      </c>
      <c r="G13" s="311">
        <f>'Điểm hòa vốn'!G84/10^6</f>
        <v>0</v>
      </c>
      <c r="H13" s="225">
        <f t="shared" ref="H13:R16" si="1">$G13</f>
        <v>0</v>
      </c>
      <c r="I13" s="225">
        <f t="shared" si="1"/>
        <v>0</v>
      </c>
      <c r="J13" s="225">
        <f t="shared" si="1"/>
        <v>0</v>
      </c>
      <c r="K13" s="225">
        <f t="shared" si="1"/>
        <v>0</v>
      </c>
      <c r="L13" s="225">
        <f t="shared" si="1"/>
        <v>0</v>
      </c>
      <c r="M13" s="225">
        <f t="shared" si="1"/>
        <v>0</v>
      </c>
      <c r="N13" s="225">
        <f t="shared" si="1"/>
        <v>0</v>
      </c>
      <c r="O13" s="225">
        <f t="shared" si="1"/>
        <v>0</v>
      </c>
      <c r="P13" s="225">
        <f t="shared" si="1"/>
        <v>0</v>
      </c>
      <c r="Q13" s="225">
        <f t="shared" si="1"/>
        <v>0</v>
      </c>
      <c r="R13" s="225">
        <f t="shared" si="1"/>
        <v>0</v>
      </c>
    </row>
    <row r="14" spans="2:25" x14ac:dyDescent="0.35">
      <c r="B14" s="27"/>
      <c r="D14" s="6"/>
      <c r="E14" s="2" t="s">
        <v>7</v>
      </c>
      <c r="G14" s="311">
        <f>'Điểm hòa vốn'!G85/10^6</f>
        <v>0.5</v>
      </c>
      <c r="H14" s="225">
        <f t="shared" si="1"/>
        <v>0.5</v>
      </c>
      <c r="I14" s="225">
        <f t="shared" si="1"/>
        <v>0.5</v>
      </c>
      <c r="J14" s="225">
        <f t="shared" si="1"/>
        <v>0.5</v>
      </c>
      <c r="K14" s="225">
        <f t="shared" si="1"/>
        <v>0.5</v>
      </c>
      <c r="L14" s="225">
        <f t="shared" si="1"/>
        <v>0.5</v>
      </c>
      <c r="M14" s="225">
        <f t="shared" si="1"/>
        <v>0.5</v>
      </c>
      <c r="N14" s="225">
        <f t="shared" si="1"/>
        <v>0.5</v>
      </c>
      <c r="O14" s="225">
        <f t="shared" si="1"/>
        <v>0.5</v>
      </c>
      <c r="P14" s="225">
        <f t="shared" si="1"/>
        <v>0.5</v>
      </c>
      <c r="Q14" s="225">
        <f t="shared" si="1"/>
        <v>0.5</v>
      </c>
      <c r="R14" s="225">
        <f t="shared" si="1"/>
        <v>0.5</v>
      </c>
    </row>
    <row r="15" spans="2:25" x14ac:dyDescent="0.35">
      <c r="B15" s="27"/>
      <c r="D15" s="6"/>
      <c r="E15" s="2" t="s">
        <v>9</v>
      </c>
      <c r="G15" s="311">
        <f>'Điểm hòa vốn'!G86/10^6</f>
        <v>0</v>
      </c>
      <c r="H15" s="225">
        <f t="shared" si="1"/>
        <v>0</v>
      </c>
      <c r="I15" s="225">
        <f t="shared" si="1"/>
        <v>0</v>
      </c>
      <c r="J15" s="225">
        <f t="shared" si="1"/>
        <v>0</v>
      </c>
      <c r="K15" s="225">
        <f t="shared" si="1"/>
        <v>0</v>
      </c>
      <c r="L15" s="225">
        <f t="shared" si="1"/>
        <v>0</v>
      </c>
      <c r="M15" s="225">
        <f t="shared" si="1"/>
        <v>0</v>
      </c>
      <c r="N15" s="225">
        <f t="shared" si="1"/>
        <v>0</v>
      </c>
      <c r="O15" s="225">
        <f t="shared" si="1"/>
        <v>0</v>
      </c>
      <c r="P15" s="225">
        <f t="shared" si="1"/>
        <v>0</v>
      </c>
      <c r="Q15" s="225">
        <f t="shared" si="1"/>
        <v>0</v>
      </c>
      <c r="R15" s="225">
        <f t="shared" si="1"/>
        <v>0</v>
      </c>
    </row>
    <row r="16" spans="2:25" x14ac:dyDescent="0.35">
      <c r="B16" s="27"/>
      <c r="D16" s="6"/>
      <c r="E16" s="2" t="s">
        <v>10</v>
      </c>
      <c r="G16" s="311">
        <f>'Điểm hòa vốn'!G87/10^6</f>
        <v>0</v>
      </c>
      <c r="H16" s="225">
        <f t="shared" si="1"/>
        <v>0</v>
      </c>
      <c r="I16" s="225">
        <f t="shared" si="1"/>
        <v>0</v>
      </c>
      <c r="J16" s="225">
        <f t="shared" si="1"/>
        <v>0</v>
      </c>
      <c r="K16" s="225">
        <f t="shared" si="1"/>
        <v>0</v>
      </c>
      <c r="L16" s="225">
        <f t="shared" si="1"/>
        <v>0</v>
      </c>
      <c r="M16" s="225">
        <f t="shared" si="1"/>
        <v>0</v>
      </c>
      <c r="N16" s="225">
        <f t="shared" si="1"/>
        <v>0</v>
      </c>
      <c r="O16" s="225">
        <f t="shared" si="1"/>
        <v>0</v>
      </c>
      <c r="P16" s="225">
        <f t="shared" si="1"/>
        <v>0</v>
      </c>
      <c r="Q16" s="225">
        <f t="shared" si="1"/>
        <v>0</v>
      </c>
      <c r="R16" s="225">
        <f t="shared" si="1"/>
        <v>0</v>
      </c>
    </row>
    <row r="17" spans="2:18" x14ac:dyDescent="0.35">
      <c r="B17" s="27" t="s">
        <v>301</v>
      </c>
      <c r="D17" s="6"/>
      <c r="R17" s="58"/>
    </row>
    <row r="18" spans="2:18" x14ac:dyDescent="0.35">
      <c r="B18" s="27"/>
      <c r="D18" s="6"/>
      <c r="E18" s="2" t="s">
        <v>6</v>
      </c>
      <c r="F18" s="57">
        <f>SUM(G18:R18)</f>
        <v>3602</v>
      </c>
      <c r="G18" s="62">
        <f>'Điểm hòa vốn'!G98</f>
        <v>313</v>
      </c>
      <c r="H18" s="62">
        <v>159</v>
      </c>
      <c r="I18" s="62">
        <f t="shared" ref="I18:R18" si="2">$G18</f>
        <v>313</v>
      </c>
      <c r="J18" s="62">
        <f t="shared" si="2"/>
        <v>313</v>
      </c>
      <c r="K18" s="62">
        <f t="shared" si="2"/>
        <v>313</v>
      </c>
      <c r="L18" s="62">
        <f t="shared" si="2"/>
        <v>313</v>
      </c>
      <c r="M18" s="62">
        <f t="shared" si="2"/>
        <v>313</v>
      </c>
      <c r="N18" s="62">
        <f t="shared" si="2"/>
        <v>313</v>
      </c>
      <c r="O18" s="62">
        <f t="shared" si="2"/>
        <v>313</v>
      </c>
      <c r="P18" s="62">
        <f t="shared" si="2"/>
        <v>313</v>
      </c>
      <c r="Q18" s="62">
        <f t="shared" si="2"/>
        <v>313</v>
      </c>
      <c r="R18" s="62">
        <f t="shared" si="2"/>
        <v>313</v>
      </c>
    </row>
    <row r="19" spans="2:18" x14ac:dyDescent="0.35">
      <c r="B19" s="27"/>
      <c r="D19" s="6"/>
      <c r="E19" s="2" t="s">
        <v>8</v>
      </c>
      <c r="F19" s="57">
        <f>SUM(G19:R19)</f>
        <v>0</v>
      </c>
      <c r="G19" s="62">
        <f>'Điểm hòa vốn'!G99</f>
        <v>0</v>
      </c>
      <c r="H19" s="62">
        <f t="shared" ref="H19:R22" si="3">$G19</f>
        <v>0</v>
      </c>
      <c r="I19" s="62">
        <f t="shared" si="3"/>
        <v>0</v>
      </c>
      <c r="J19" s="62">
        <f t="shared" si="3"/>
        <v>0</v>
      </c>
      <c r="K19" s="62">
        <f t="shared" si="3"/>
        <v>0</v>
      </c>
      <c r="L19" s="62">
        <f t="shared" si="3"/>
        <v>0</v>
      </c>
      <c r="M19" s="62">
        <f t="shared" si="3"/>
        <v>0</v>
      </c>
      <c r="N19" s="62">
        <f t="shared" si="3"/>
        <v>0</v>
      </c>
      <c r="O19" s="62">
        <f t="shared" si="3"/>
        <v>0</v>
      </c>
      <c r="P19" s="62">
        <f t="shared" si="3"/>
        <v>0</v>
      </c>
      <c r="Q19" s="62">
        <f t="shared" si="3"/>
        <v>0</v>
      </c>
      <c r="R19" s="62">
        <f t="shared" si="3"/>
        <v>0</v>
      </c>
    </row>
    <row r="20" spans="2:18" x14ac:dyDescent="0.35">
      <c r="B20" s="27"/>
      <c r="D20" s="6"/>
      <c r="E20" s="2" t="s">
        <v>7</v>
      </c>
      <c r="F20" s="57">
        <f>SUM(G20:R20)</f>
        <v>603</v>
      </c>
      <c r="G20" s="62">
        <f>'Điểm hòa vốn'!G100</f>
        <v>53</v>
      </c>
      <c r="H20" s="62">
        <v>20</v>
      </c>
      <c r="I20" s="62">
        <f t="shared" si="3"/>
        <v>53</v>
      </c>
      <c r="J20" s="62">
        <f t="shared" si="3"/>
        <v>53</v>
      </c>
      <c r="K20" s="62">
        <f t="shared" si="3"/>
        <v>53</v>
      </c>
      <c r="L20" s="62">
        <f t="shared" si="3"/>
        <v>53</v>
      </c>
      <c r="M20" s="62">
        <f t="shared" si="3"/>
        <v>53</v>
      </c>
      <c r="N20" s="62">
        <f t="shared" si="3"/>
        <v>53</v>
      </c>
      <c r="O20" s="62">
        <f t="shared" si="3"/>
        <v>53</v>
      </c>
      <c r="P20" s="62">
        <f t="shared" si="3"/>
        <v>53</v>
      </c>
      <c r="Q20" s="62">
        <f t="shared" si="3"/>
        <v>53</v>
      </c>
      <c r="R20" s="62">
        <f t="shared" si="3"/>
        <v>53</v>
      </c>
    </row>
    <row r="21" spans="2:18" x14ac:dyDescent="0.35">
      <c r="B21" s="27"/>
      <c r="D21" s="6"/>
      <c r="E21" s="2" t="s">
        <v>9</v>
      </c>
      <c r="F21" s="57">
        <f>SUM(G21:R21)</f>
        <v>0</v>
      </c>
      <c r="G21" s="62">
        <f>'Điểm hòa vốn'!G101</f>
        <v>0</v>
      </c>
      <c r="H21" s="62">
        <f t="shared" si="3"/>
        <v>0</v>
      </c>
      <c r="I21" s="62">
        <f t="shared" si="3"/>
        <v>0</v>
      </c>
      <c r="J21" s="62">
        <f t="shared" si="3"/>
        <v>0</v>
      </c>
      <c r="K21" s="62">
        <f t="shared" si="3"/>
        <v>0</v>
      </c>
      <c r="L21" s="62">
        <f t="shared" si="3"/>
        <v>0</v>
      </c>
      <c r="M21" s="62">
        <f t="shared" si="3"/>
        <v>0</v>
      </c>
      <c r="N21" s="62">
        <f t="shared" si="3"/>
        <v>0</v>
      </c>
      <c r="O21" s="62">
        <f t="shared" si="3"/>
        <v>0</v>
      </c>
      <c r="P21" s="62">
        <f t="shared" si="3"/>
        <v>0</v>
      </c>
      <c r="Q21" s="62">
        <f t="shared" si="3"/>
        <v>0</v>
      </c>
      <c r="R21" s="62">
        <f t="shared" si="3"/>
        <v>0</v>
      </c>
    </row>
    <row r="22" spans="2:18" x14ac:dyDescent="0.35">
      <c r="B22" s="27"/>
      <c r="D22" s="6"/>
      <c r="E22" s="2" t="s">
        <v>10</v>
      </c>
      <c r="F22" s="57">
        <f>SUM(G22:R22)</f>
        <v>0</v>
      </c>
      <c r="G22" s="62">
        <f>'Điểm hòa vốn'!G102</f>
        <v>0</v>
      </c>
      <c r="H22" s="62">
        <f t="shared" si="3"/>
        <v>0</v>
      </c>
      <c r="I22" s="62">
        <f t="shared" si="3"/>
        <v>0</v>
      </c>
      <c r="J22" s="62">
        <f t="shared" si="3"/>
        <v>0</v>
      </c>
      <c r="K22" s="62">
        <f t="shared" si="3"/>
        <v>0</v>
      </c>
      <c r="L22" s="62">
        <f t="shared" si="3"/>
        <v>0</v>
      </c>
      <c r="M22" s="62">
        <f t="shared" si="3"/>
        <v>0</v>
      </c>
      <c r="N22" s="62">
        <f t="shared" si="3"/>
        <v>0</v>
      </c>
      <c r="O22" s="62">
        <f t="shared" si="3"/>
        <v>0</v>
      </c>
      <c r="P22" s="62">
        <f t="shared" si="3"/>
        <v>0</v>
      </c>
      <c r="Q22" s="62">
        <f t="shared" si="3"/>
        <v>0</v>
      </c>
      <c r="R22" s="62">
        <f t="shared" si="3"/>
        <v>0</v>
      </c>
    </row>
    <row r="23" spans="2:18" x14ac:dyDescent="0.35">
      <c r="B23" s="27" t="s">
        <v>314</v>
      </c>
      <c r="D23" s="6"/>
      <c r="R23" s="58"/>
    </row>
    <row r="24" spans="2:18" x14ac:dyDescent="0.35">
      <c r="B24" s="27"/>
      <c r="C24" s="2" t="s">
        <v>23</v>
      </c>
      <c r="D24" s="6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8" x14ac:dyDescent="0.35">
      <c r="B25" s="27"/>
      <c r="D25" s="6"/>
      <c r="E25" s="2" t="s">
        <v>6</v>
      </c>
      <c r="G25" s="57">
        <f>'Điểm hòa vốn'!G58</f>
        <v>7918</v>
      </c>
      <c r="H25" s="62">
        <f t="shared" ref="H25:R40" si="4">$G25</f>
        <v>7918</v>
      </c>
      <c r="I25" s="62">
        <f t="shared" si="4"/>
        <v>7918</v>
      </c>
      <c r="J25" s="62">
        <f t="shared" si="4"/>
        <v>7918</v>
      </c>
      <c r="K25" s="62">
        <f t="shared" si="4"/>
        <v>7918</v>
      </c>
      <c r="L25" s="62">
        <f t="shared" si="4"/>
        <v>7918</v>
      </c>
      <c r="M25" s="62">
        <f t="shared" si="4"/>
        <v>7918</v>
      </c>
      <c r="N25" s="62">
        <f t="shared" si="4"/>
        <v>7918</v>
      </c>
      <c r="O25" s="62">
        <f t="shared" si="4"/>
        <v>7918</v>
      </c>
      <c r="P25" s="62">
        <f t="shared" si="4"/>
        <v>7918</v>
      </c>
      <c r="Q25" s="62">
        <f t="shared" si="4"/>
        <v>7918</v>
      </c>
      <c r="R25" s="62">
        <f t="shared" si="4"/>
        <v>7918</v>
      </c>
    </row>
    <row r="26" spans="2:18" x14ac:dyDescent="0.35">
      <c r="B26" s="27"/>
      <c r="D26" s="6"/>
      <c r="E26" s="2" t="s">
        <v>8</v>
      </c>
      <c r="G26" s="57">
        <f>'Điểm hòa vốn'!G59</f>
        <v>0</v>
      </c>
      <c r="H26" s="62">
        <f t="shared" si="4"/>
        <v>0</v>
      </c>
      <c r="I26" s="62">
        <f t="shared" si="4"/>
        <v>0</v>
      </c>
      <c r="J26" s="62">
        <f t="shared" si="4"/>
        <v>0</v>
      </c>
      <c r="K26" s="62">
        <f t="shared" si="4"/>
        <v>0</v>
      </c>
      <c r="L26" s="62">
        <f t="shared" si="4"/>
        <v>0</v>
      </c>
      <c r="M26" s="62">
        <f t="shared" si="4"/>
        <v>0</v>
      </c>
      <c r="N26" s="62">
        <f t="shared" si="4"/>
        <v>0</v>
      </c>
      <c r="O26" s="62">
        <f t="shared" si="4"/>
        <v>0</v>
      </c>
      <c r="P26" s="62">
        <f t="shared" si="4"/>
        <v>0</v>
      </c>
      <c r="Q26" s="62">
        <f t="shared" si="4"/>
        <v>0</v>
      </c>
      <c r="R26" s="62">
        <f t="shared" si="4"/>
        <v>0</v>
      </c>
    </row>
    <row r="27" spans="2:18" x14ac:dyDescent="0.35">
      <c r="B27" s="27"/>
      <c r="D27" s="6"/>
      <c r="E27" s="2" t="s">
        <v>7</v>
      </c>
      <c r="G27" s="57">
        <f>'Điểm hòa vốn'!G60</f>
        <v>7918</v>
      </c>
      <c r="H27" s="62">
        <f t="shared" si="4"/>
        <v>7918</v>
      </c>
      <c r="I27" s="62">
        <f t="shared" si="4"/>
        <v>7918</v>
      </c>
      <c r="J27" s="62">
        <f t="shared" si="4"/>
        <v>7918</v>
      </c>
      <c r="K27" s="62">
        <f t="shared" si="4"/>
        <v>7918</v>
      </c>
      <c r="L27" s="62">
        <f t="shared" si="4"/>
        <v>7918</v>
      </c>
      <c r="M27" s="62">
        <f t="shared" si="4"/>
        <v>7918</v>
      </c>
      <c r="N27" s="62">
        <f t="shared" si="4"/>
        <v>7918</v>
      </c>
      <c r="O27" s="62">
        <f t="shared" si="4"/>
        <v>7918</v>
      </c>
      <c r="P27" s="62">
        <f t="shared" si="4"/>
        <v>7918</v>
      </c>
      <c r="Q27" s="62">
        <f t="shared" si="4"/>
        <v>7918</v>
      </c>
      <c r="R27" s="62">
        <f t="shared" si="4"/>
        <v>7918</v>
      </c>
    </row>
    <row r="28" spans="2:18" x14ac:dyDescent="0.35">
      <c r="B28" s="27"/>
      <c r="D28" s="6"/>
      <c r="E28" s="2" t="s">
        <v>9</v>
      </c>
      <c r="G28" s="57">
        <f>'Điểm hòa vốn'!G61</f>
        <v>0</v>
      </c>
      <c r="H28" s="62">
        <f t="shared" si="4"/>
        <v>0</v>
      </c>
      <c r="I28" s="62">
        <f t="shared" si="4"/>
        <v>0</v>
      </c>
      <c r="J28" s="62">
        <f t="shared" si="4"/>
        <v>0</v>
      </c>
      <c r="K28" s="62">
        <f t="shared" si="4"/>
        <v>0</v>
      </c>
      <c r="L28" s="62">
        <f t="shared" si="4"/>
        <v>0</v>
      </c>
      <c r="M28" s="62">
        <f t="shared" si="4"/>
        <v>0</v>
      </c>
      <c r="N28" s="62">
        <f t="shared" si="4"/>
        <v>0</v>
      </c>
      <c r="O28" s="62">
        <f t="shared" si="4"/>
        <v>0</v>
      </c>
      <c r="P28" s="62">
        <f t="shared" si="4"/>
        <v>0</v>
      </c>
      <c r="Q28" s="62">
        <f t="shared" si="4"/>
        <v>0</v>
      </c>
      <c r="R28" s="62">
        <f t="shared" si="4"/>
        <v>0</v>
      </c>
    </row>
    <row r="29" spans="2:18" x14ac:dyDescent="0.35">
      <c r="B29" s="27"/>
      <c r="D29" s="6"/>
      <c r="E29" s="2" t="s">
        <v>10</v>
      </c>
      <c r="G29" s="57">
        <f>'Điểm hòa vốn'!G62</f>
        <v>0</v>
      </c>
      <c r="H29" s="62">
        <f t="shared" si="4"/>
        <v>0</v>
      </c>
      <c r="I29" s="62">
        <f t="shared" si="4"/>
        <v>0</v>
      </c>
      <c r="J29" s="62">
        <f t="shared" si="4"/>
        <v>0</v>
      </c>
      <c r="K29" s="62">
        <f t="shared" si="4"/>
        <v>0</v>
      </c>
      <c r="L29" s="62">
        <f t="shared" si="4"/>
        <v>0</v>
      </c>
      <c r="M29" s="62">
        <f t="shared" si="4"/>
        <v>0</v>
      </c>
      <c r="N29" s="62">
        <f t="shared" si="4"/>
        <v>0</v>
      </c>
      <c r="O29" s="62">
        <f t="shared" si="4"/>
        <v>0</v>
      </c>
      <c r="P29" s="62">
        <f t="shared" si="4"/>
        <v>0</v>
      </c>
      <c r="Q29" s="62">
        <f t="shared" si="4"/>
        <v>0</v>
      </c>
      <c r="R29" s="62">
        <f t="shared" si="4"/>
        <v>0</v>
      </c>
    </row>
    <row r="30" spans="2:18" x14ac:dyDescent="0.35">
      <c r="B30" s="27"/>
      <c r="C30" s="2" t="s">
        <v>690</v>
      </c>
      <c r="D30" s="6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</row>
    <row r="31" spans="2:18" x14ac:dyDescent="0.35">
      <c r="B31" s="27"/>
      <c r="D31" s="6"/>
      <c r="E31" s="2" t="s">
        <v>6</v>
      </c>
      <c r="G31" s="57">
        <f>'Điểm hòa vốn'!G67</f>
        <v>90000</v>
      </c>
      <c r="H31" s="62">
        <f t="shared" si="4"/>
        <v>90000</v>
      </c>
      <c r="I31" s="62">
        <f t="shared" si="4"/>
        <v>90000</v>
      </c>
      <c r="J31" s="62">
        <f t="shared" si="4"/>
        <v>90000</v>
      </c>
      <c r="K31" s="62">
        <f t="shared" si="4"/>
        <v>90000</v>
      </c>
      <c r="L31" s="62">
        <f t="shared" si="4"/>
        <v>90000</v>
      </c>
      <c r="M31" s="62">
        <f t="shared" si="4"/>
        <v>90000</v>
      </c>
      <c r="N31" s="62">
        <f t="shared" si="4"/>
        <v>90000</v>
      </c>
      <c r="O31" s="62">
        <f t="shared" si="4"/>
        <v>90000</v>
      </c>
      <c r="P31" s="62">
        <f t="shared" si="4"/>
        <v>90000</v>
      </c>
      <c r="Q31" s="62">
        <f t="shared" si="4"/>
        <v>90000</v>
      </c>
      <c r="R31" s="62">
        <f t="shared" si="4"/>
        <v>90000</v>
      </c>
    </row>
    <row r="32" spans="2:18" x14ac:dyDescent="0.35">
      <c r="B32" s="27"/>
      <c r="D32" s="6"/>
      <c r="E32" s="2" t="s">
        <v>8</v>
      </c>
      <c r="G32" s="57">
        <f>'Điểm hòa vốn'!G68</f>
        <v>0</v>
      </c>
      <c r="H32" s="62">
        <f t="shared" si="4"/>
        <v>0</v>
      </c>
      <c r="I32" s="62">
        <f t="shared" si="4"/>
        <v>0</v>
      </c>
      <c r="J32" s="62">
        <f t="shared" si="4"/>
        <v>0</v>
      </c>
      <c r="K32" s="62">
        <f t="shared" si="4"/>
        <v>0</v>
      </c>
      <c r="L32" s="62">
        <f t="shared" si="4"/>
        <v>0</v>
      </c>
      <c r="M32" s="62">
        <f t="shared" si="4"/>
        <v>0</v>
      </c>
      <c r="N32" s="62">
        <f t="shared" si="4"/>
        <v>0</v>
      </c>
      <c r="O32" s="62">
        <f t="shared" si="4"/>
        <v>0</v>
      </c>
      <c r="P32" s="62">
        <f t="shared" si="4"/>
        <v>0</v>
      </c>
      <c r="Q32" s="62">
        <f t="shared" si="4"/>
        <v>0</v>
      </c>
      <c r="R32" s="62">
        <f t="shared" si="4"/>
        <v>0</v>
      </c>
    </row>
    <row r="33" spans="2:25" x14ac:dyDescent="0.35">
      <c r="B33" s="27"/>
      <c r="D33" s="6"/>
      <c r="E33" s="2" t="s">
        <v>7</v>
      </c>
      <c r="G33" s="57">
        <f>'Điểm hòa vốn'!G69</f>
        <v>25000</v>
      </c>
      <c r="H33" s="62">
        <f t="shared" si="4"/>
        <v>25000</v>
      </c>
      <c r="I33" s="62">
        <f t="shared" si="4"/>
        <v>25000</v>
      </c>
      <c r="J33" s="62">
        <f t="shared" si="4"/>
        <v>25000</v>
      </c>
      <c r="K33" s="62">
        <f t="shared" si="4"/>
        <v>25000</v>
      </c>
      <c r="L33" s="62">
        <f t="shared" si="4"/>
        <v>25000</v>
      </c>
      <c r="M33" s="62">
        <f t="shared" si="4"/>
        <v>25000</v>
      </c>
      <c r="N33" s="62">
        <f t="shared" si="4"/>
        <v>25000</v>
      </c>
      <c r="O33" s="62">
        <f t="shared" si="4"/>
        <v>25000</v>
      </c>
      <c r="P33" s="62">
        <f t="shared" si="4"/>
        <v>25000</v>
      </c>
      <c r="Q33" s="62">
        <f t="shared" si="4"/>
        <v>25000</v>
      </c>
      <c r="R33" s="62">
        <f t="shared" si="4"/>
        <v>25000</v>
      </c>
    </row>
    <row r="34" spans="2:25" x14ac:dyDescent="0.35">
      <c r="B34" s="27"/>
      <c r="C34" s="2" t="s">
        <v>612</v>
      </c>
      <c r="D34" s="6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</row>
    <row r="35" spans="2:25" x14ac:dyDescent="0.35">
      <c r="B35" s="27"/>
      <c r="D35" s="6"/>
      <c r="E35" s="2" t="s">
        <v>6</v>
      </c>
      <c r="G35" s="57">
        <f>'Điểm hòa vốn'!G71</f>
        <v>200000</v>
      </c>
      <c r="H35" s="62">
        <f t="shared" si="4"/>
        <v>200000</v>
      </c>
      <c r="I35" s="62">
        <f t="shared" si="4"/>
        <v>200000</v>
      </c>
      <c r="J35" s="62">
        <f t="shared" si="4"/>
        <v>200000</v>
      </c>
      <c r="K35" s="62">
        <f t="shared" si="4"/>
        <v>200000</v>
      </c>
      <c r="L35" s="62">
        <f t="shared" si="4"/>
        <v>200000</v>
      </c>
      <c r="M35" s="62">
        <f t="shared" si="4"/>
        <v>200000</v>
      </c>
      <c r="N35" s="62">
        <f t="shared" si="4"/>
        <v>200000</v>
      </c>
      <c r="O35" s="62">
        <f t="shared" si="4"/>
        <v>200000</v>
      </c>
      <c r="P35" s="62">
        <f t="shared" si="4"/>
        <v>200000</v>
      </c>
      <c r="Q35" s="62">
        <f t="shared" si="4"/>
        <v>200000</v>
      </c>
      <c r="R35" s="62">
        <f t="shared" si="4"/>
        <v>200000</v>
      </c>
    </row>
    <row r="36" spans="2:25" x14ac:dyDescent="0.35">
      <c r="B36" s="27"/>
      <c r="D36" s="6"/>
      <c r="E36" s="2" t="s">
        <v>8</v>
      </c>
      <c r="G36" s="57">
        <f>'Điểm hòa vốn'!G72</f>
        <v>0</v>
      </c>
      <c r="H36" s="62">
        <f t="shared" si="4"/>
        <v>0</v>
      </c>
      <c r="I36" s="62">
        <f t="shared" si="4"/>
        <v>0</v>
      </c>
      <c r="J36" s="62">
        <f t="shared" si="4"/>
        <v>0</v>
      </c>
      <c r="K36" s="62">
        <f t="shared" si="4"/>
        <v>0</v>
      </c>
      <c r="L36" s="62">
        <f t="shared" si="4"/>
        <v>0</v>
      </c>
      <c r="M36" s="62">
        <f t="shared" si="4"/>
        <v>0</v>
      </c>
      <c r="N36" s="62">
        <f t="shared" si="4"/>
        <v>0</v>
      </c>
      <c r="O36" s="62">
        <f t="shared" si="4"/>
        <v>0</v>
      </c>
      <c r="P36" s="62">
        <f t="shared" si="4"/>
        <v>0</v>
      </c>
      <c r="Q36" s="62">
        <f t="shared" si="4"/>
        <v>0</v>
      </c>
      <c r="R36" s="62">
        <f t="shared" si="4"/>
        <v>0</v>
      </c>
    </row>
    <row r="37" spans="2:25" x14ac:dyDescent="0.35">
      <c r="B37" s="27"/>
      <c r="D37" s="6"/>
      <c r="E37" s="2" t="s">
        <v>7</v>
      </c>
      <c r="G37" s="57">
        <f>'Điểm hòa vốn'!G73</f>
        <v>50000</v>
      </c>
      <c r="H37" s="62">
        <f t="shared" si="4"/>
        <v>50000</v>
      </c>
      <c r="I37" s="62">
        <f t="shared" si="4"/>
        <v>50000</v>
      </c>
      <c r="J37" s="62">
        <f t="shared" si="4"/>
        <v>50000</v>
      </c>
      <c r="K37" s="62">
        <f t="shared" si="4"/>
        <v>50000</v>
      </c>
      <c r="L37" s="62">
        <f t="shared" si="4"/>
        <v>50000</v>
      </c>
      <c r="M37" s="62">
        <f t="shared" si="4"/>
        <v>50000</v>
      </c>
      <c r="N37" s="62">
        <f t="shared" si="4"/>
        <v>50000</v>
      </c>
      <c r="O37" s="62">
        <f t="shared" si="4"/>
        <v>50000</v>
      </c>
      <c r="P37" s="62">
        <f t="shared" si="4"/>
        <v>50000</v>
      </c>
      <c r="Q37" s="62">
        <f t="shared" si="4"/>
        <v>50000</v>
      </c>
      <c r="R37" s="62">
        <f t="shared" si="4"/>
        <v>50000</v>
      </c>
    </row>
    <row r="38" spans="2:25" x14ac:dyDescent="0.35">
      <c r="B38" s="27"/>
      <c r="C38" s="2" t="s">
        <v>28</v>
      </c>
      <c r="D38" s="6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</row>
    <row r="39" spans="2:25" x14ac:dyDescent="0.35">
      <c r="B39" s="27"/>
      <c r="D39" s="6"/>
      <c r="E39" s="2" t="s">
        <v>6</v>
      </c>
      <c r="G39" s="57">
        <f>'Điểm hòa vốn'!G75</f>
        <v>115000</v>
      </c>
      <c r="H39" s="62">
        <f t="shared" si="4"/>
        <v>115000</v>
      </c>
      <c r="I39" s="62">
        <f t="shared" si="4"/>
        <v>115000</v>
      </c>
      <c r="J39" s="62">
        <f t="shared" si="4"/>
        <v>115000</v>
      </c>
      <c r="K39" s="62">
        <f t="shared" si="4"/>
        <v>115000</v>
      </c>
      <c r="L39" s="62">
        <f t="shared" si="4"/>
        <v>115000</v>
      </c>
      <c r="M39" s="62">
        <f t="shared" si="4"/>
        <v>115000</v>
      </c>
      <c r="N39" s="62">
        <f t="shared" si="4"/>
        <v>115000</v>
      </c>
      <c r="O39" s="62">
        <f t="shared" si="4"/>
        <v>115000</v>
      </c>
      <c r="P39" s="62">
        <f t="shared" si="4"/>
        <v>115000</v>
      </c>
      <c r="Q39" s="62">
        <f t="shared" si="4"/>
        <v>115000</v>
      </c>
      <c r="R39" s="62">
        <f t="shared" si="4"/>
        <v>115000</v>
      </c>
    </row>
    <row r="40" spans="2:25" x14ac:dyDescent="0.35">
      <c r="B40" s="27"/>
      <c r="D40" s="6"/>
      <c r="E40" s="2" t="s">
        <v>8</v>
      </c>
      <c r="G40" s="57">
        <f>'Điểm hòa vốn'!G76</f>
        <v>0</v>
      </c>
      <c r="H40" s="62">
        <f t="shared" si="4"/>
        <v>0</v>
      </c>
      <c r="I40" s="62">
        <f t="shared" si="4"/>
        <v>0</v>
      </c>
      <c r="J40" s="62">
        <f t="shared" si="4"/>
        <v>0</v>
      </c>
      <c r="K40" s="62">
        <f t="shared" si="4"/>
        <v>0</v>
      </c>
      <c r="L40" s="62">
        <f t="shared" si="4"/>
        <v>0</v>
      </c>
      <c r="M40" s="62">
        <f t="shared" si="4"/>
        <v>0</v>
      </c>
      <c r="N40" s="62">
        <f t="shared" si="4"/>
        <v>0</v>
      </c>
      <c r="O40" s="62">
        <f t="shared" si="4"/>
        <v>0</v>
      </c>
      <c r="P40" s="62">
        <f t="shared" si="4"/>
        <v>0</v>
      </c>
      <c r="Q40" s="62">
        <f t="shared" si="4"/>
        <v>0</v>
      </c>
      <c r="R40" s="62">
        <f t="shared" si="4"/>
        <v>0</v>
      </c>
    </row>
    <row r="41" spans="2:25" x14ac:dyDescent="0.35">
      <c r="B41" s="27"/>
      <c r="D41" s="6"/>
      <c r="E41" s="2" t="s">
        <v>7</v>
      </c>
      <c r="G41" s="57">
        <f>'Điểm hòa vốn'!G77</f>
        <v>60000</v>
      </c>
      <c r="H41" s="62">
        <f t="shared" ref="H41:R42" si="5">$G41</f>
        <v>60000</v>
      </c>
      <c r="I41" s="62">
        <f t="shared" si="5"/>
        <v>60000</v>
      </c>
      <c r="J41" s="62">
        <f t="shared" si="5"/>
        <v>60000</v>
      </c>
      <c r="K41" s="62">
        <f t="shared" si="5"/>
        <v>60000</v>
      </c>
      <c r="L41" s="62">
        <f t="shared" si="5"/>
        <v>60000</v>
      </c>
      <c r="M41" s="62">
        <f t="shared" si="5"/>
        <v>60000</v>
      </c>
      <c r="N41" s="62">
        <f t="shared" si="5"/>
        <v>60000</v>
      </c>
      <c r="O41" s="62">
        <f t="shared" si="5"/>
        <v>60000</v>
      </c>
      <c r="P41" s="62">
        <f t="shared" si="5"/>
        <v>60000</v>
      </c>
      <c r="Q41" s="62">
        <f t="shared" si="5"/>
        <v>60000</v>
      </c>
      <c r="R41" s="62">
        <f t="shared" si="5"/>
        <v>60000</v>
      </c>
    </row>
    <row r="42" spans="2:25" x14ac:dyDescent="0.35">
      <c r="B42" s="27"/>
      <c r="D42" s="6"/>
      <c r="E42" s="2" t="s">
        <v>9</v>
      </c>
      <c r="G42" s="57">
        <f>'Điểm hòa vốn'!G78</f>
        <v>0</v>
      </c>
      <c r="H42" s="62">
        <f t="shared" si="5"/>
        <v>0</v>
      </c>
      <c r="I42" s="62">
        <f t="shared" si="5"/>
        <v>0</v>
      </c>
      <c r="J42" s="62">
        <f t="shared" si="5"/>
        <v>0</v>
      </c>
      <c r="K42" s="62">
        <f t="shared" si="5"/>
        <v>0</v>
      </c>
      <c r="L42" s="62">
        <f t="shared" si="5"/>
        <v>0</v>
      </c>
      <c r="M42" s="62">
        <f t="shared" si="5"/>
        <v>0</v>
      </c>
      <c r="N42" s="62">
        <f t="shared" si="5"/>
        <v>0</v>
      </c>
      <c r="O42" s="62">
        <f t="shared" si="5"/>
        <v>0</v>
      </c>
      <c r="P42" s="62">
        <f t="shared" si="5"/>
        <v>0</v>
      </c>
      <c r="Q42" s="62">
        <f t="shared" si="5"/>
        <v>0</v>
      </c>
      <c r="R42" s="62">
        <f t="shared" si="5"/>
        <v>0</v>
      </c>
    </row>
    <row r="43" spans="2:25" x14ac:dyDescent="0.35">
      <c r="B43" s="27" t="s">
        <v>11</v>
      </c>
      <c r="D43" s="6"/>
      <c r="R43" s="58"/>
    </row>
    <row r="44" spans="2:25" outlineLevel="1" x14ac:dyDescent="0.35">
      <c r="E44" s="2" t="s">
        <v>6</v>
      </c>
      <c r="F44" s="57">
        <f>SUM(G44:R44)</f>
        <v>7204</v>
      </c>
      <c r="G44" s="62">
        <f t="shared" ref="G44:R45" si="6">G12*G18</f>
        <v>626</v>
      </c>
      <c r="H44" s="62">
        <f t="shared" si="6"/>
        <v>318</v>
      </c>
      <c r="I44" s="62">
        <f t="shared" si="6"/>
        <v>626</v>
      </c>
      <c r="J44" s="62">
        <f t="shared" si="6"/>
        <v>626</v>
      </c>
      <c r="K44" s="62">
        <f t="shared" si="6"/>
        <v>626</v>
      </c>
      <c r="L44" s="62">
        <f t="shared" si="6"/>
        <v>626</v>
      </c>
      <c r="M44" s="62">
        <f t="shared" si="6"/>
        <v>626</v>
      </c>
      <c r="N44" s="62">
        <f t="shared" si="6"/>
        <v>626</v>
      </c>
      <c r="O44" s="62">
        <f t="shared" si="6"/>
        <v>626</v>
      </c>
      <c r="P44" s="62">
        <f t="shared" si="6"/>
        <v>626</v>
      </c>
      <c r="Q44" s="62">
        <f t="shared" si="6"/>
        <v>626</v>
      </c>
      <c r="R44" s="62">
        <f t="shared" si="6"/>
        <v>626</v>
      </c>
      <c r="S44" s="62"/>
      <c r="T44" s="62"/>
      <c r="U44" s="57"/>
      <c r="V44" s="96"/>
      <c r="W44" s="97"/>
      <c r="Y44" s="57"/>
    </row>
    <row r="45" spans="2:25" outlineLevel="1" x14ac:dyDescent="0.35">
      <c r="E45" s="2" t="s">
        <v>8</v>
      </c>
      <c r="F45" s="57">
        <f>SUM(G45:R45)</f>
        <v>0</v>
      </c>
      <c r="G45" s="62">
        <f>G13*G19</f>
        <v>0</v>
      </c>
      <c r="H45" s="62">
        <f t="shared" si="6"/>
        <v>0</v>
      </c>
      <c r="I45" s="62">
        <f t="shared" si="6"/>
        <v>0</v>
      </c>
      <c r="J45" s="62">
        <f t="shared" si="6"/>
        <v>0</v>
      </c>
      <c r="K45" s="62">
        <f t="shared" si="6"/>
        <v>0</v>
      </c>
      <c r="L45" s="62">
        <f t="shared" si="6"/>
        <v>0</v>
      </c>
      <c r="M45" s="62">
        <f t="shared" si="6"/>
        <v>0</v>
      </c>
      <c r="N45" s="62">
        <f t="shared" si="6"/>
        <v>0</v>
      </c>
      <c r="O45" s="62">
        <f t="shared" si="6"/>
        <v>0</v>
      </c>
      <c r="P45" s="62">
        <f t="shared" si="6"/>
        <v>0</v>
      </c>
      <c r="Q45" s="62">
        <f t="shared" si="6"/>
        <v>0</v>
      </c>
      <c r="R45" s="62">
        <f t="shared" si="6"/>
        <v>0</v>
      </c>
      <c r="S45" s="62"/>
      <c r="T45" s="62"/>
      <c r="U45" s="57"/>
      <c r="V45" s="96"/>
      <c r="W45" s="97"/>
      <c r="Y45" s="57"/>
    </row>
    <row r="46" spans="2:25" outlineLevel="1" x14ac:dyDescent="0.35">
      <c r="E46" s="2" t="s">
        <v>7</v>
      </c>
      <c r="F46" s="57">
        <f>SUM(G46:R46)</f>
        <v>301.5</v>
      </c>
      <c r="G46" s="62">
        <f t="shared" ref="G46:R48" si="7">G14*G20</f>
        <v>26.5</v>
      </c>
      <c r="H46" s="62">
        <f t="shared" si="7"/>
        <v>10</v>
      </c>
      <c r="I46" s="62">
        <f t="shared" si="7"/>
        <v>26.5</v>
      </c>
      <c r="J46" s="62">
        <f t="shared" si="7"/>
        <v>26.5</v>
      </c>
      <c r="K46" s="62">
        <f t="shared" si="7"/>
        <v>26.5</v>
      </c>
      <c r="L46" s="62">
        <f t="shared" si="7"/>
        <v>26.5</v>
      </c>
      <c r="M46" s="62">
        <f t="shared" si="7"/>
        <v>26.5</v>
      </c>
      <c r="N46" s="62">
        <f t="shared" si="7"/>
        <v>26.5</v>
      </c>
      <c r="O46" s="62">
        <f t="shared" si="7"/>
        <v>26.5</v>
      </c>
      <c r="P46" s="62">
        <f t="shared" si="7"/>
        <v>26.5</v>
      </c>
      <c r="Q46" s="62">
        <f t="shared" si="7"/>
        <v>26.5</v>
      </c>
      <c r="R46" s="62">
        <f t="shared" si="7"/>
        <v>26.5</v>
      </c>
      <c r="S46" s="62"/>
      <c r="T46" s="62"/>
      <c r="U46" s="57"/>
      <c r="V46" s="96"/>
      <c r="W46" s="97"/>
      <c r="Y46" s="57"/>
    </row>
    <row r="47" spans="2:25" outlineLevel="1" x14ac:dyDescent="0.35">
      <c r="E47" s="2" t="s">
        <v>9</v>
      </c>
      <c r="F47" s="57">
        <f>SUM(G47:R47)</f>
        <v>0</v>
      </c>
      <c r="G47" s="62">
        <f t="shared" si="7"/>
        <v>0</v>
      </c>
      <c r="H47" s="62">
        <f t="shared" si="7"/>
        <v>0</v>
      </c>
      <c r="I47" s="62">
        <f t="shared" si="7"/>
        <v>0</v>
      </c>
      <c r="J47" s="62">
        <f t="shared" si="7"/>
        <v>0</v>
      </c>
      <c r="K47" s="62">
        <f t="shared" si="7"/>
        <v>0</v>
      </c>
      <c r="L47" s="62">
        <f t="shared" si="7"/>
        <v>0</v>
      </c>
      <c r="M47" s="62">
        <f t="shared" si="7"/>
        <v>0</v>
      </c>
      <c r="N47" s="62">
        <f t="shared" si="7"/>
        <v>0</v>
      </c>
      <c r="O47" s="62">
        <f t="shared" si="7"/>
        <v>0</v>
      </c>
      <c r="P47" s="62">
        <f t="shared" si="7"/>
        <v>0</v>
      </c>
      <c r="Q47" s="62">
        <f t="shared" si="7"/>
        <v>0</v>
      </c>
      <c r="R47" s="62">
        <f t="shared" si="7"/>
        <v>0</v>
      </c>
      <c r="S47" s="62"/>
      <c r="T47" s="62"/>
      <c r="U47" s="57"/>
      <c r="V47" s="96"/>
      <c r="W47" s="97"/>
      <c r="Y47" s="57"/>
    </row>
    <row r="48" spans="2:25" outlineLevel="1" x14ac:dyDescent="0.35">
      <c r="E48" s="2" t="s">
        <v>10</v>
      </c>
      <c r="F48" s="57">
        <f>SUM(G48:R48)</f>
        <v>0</v>
      </c>
      <c r="G48" s="62">
        <f t="shared" si="7"/>
        <v>0</v>
      </c>
      <c r="H48" s="62">
        <f t="shared" si="7"/>
        <v>0</v>
      </c>
      <c r="I48" s="62">
        <f t="shared" si="7"/>
        <v>0</v>
      </c>
      <c r="J48" s="62">
        <f t="shared" si="7"/>
        <v>0</v>
      </c>
      <c r="K48" s="62">
        <f t="shared" si="7"/>
        <v>0</v>
      </c>
      <c r="L48" s="62">
        <f t="shared" si="7"/>
        <v>0</v>
      </c>
      <c r="M48" s="62">
        <f t="shared" si="7"/>
        <v>0</v>
      </c>
      <c r="N48" s="62">
        <f t="shared" si="7"/>
        <v>0</v>
      </c>
      <c r="O48" s="62">
        <f t="shared" si="7"/>
        <v>0</v>
      </c>
      <c r="P48" s="62">
        <f t="shared" si="7"/>
        <v>0</v>
      </c>
      <c r="Q48" s="62">
        <f t="shared" si="7"/>
        <v>0</v>
      </c>
      <c r="R48" s="62">
        <f t="shared" si="7"/>
        <v>0</v>
      </c>
      <c r="S48" s="62"/>
      <c r="T48" s="62"/>
      <c r="U48" s="57"/>
      <c r="V48" s="96"/>
      <c r="W48" s="97"/>
      <c r="Y48" s="57"/>
    </row>
    <row r="49" spans="2:25" outlineLevel="1" x14ac:dyDescent="0.35">
      <c r="C49" s="309" t="s">
        <v>353</v>
      </c>
      <c r="D49" s="308"/>
      <c r="E49" s="308"/>
      <c r="F49" s="310">
        <f>SUM(F44:F48)</f>
        <v>7505.5</v>
      </c>
      <c r="G49" s="310">
        <f t="shared" ref="G49:R49" si="8">SUM(G44:G48)</f>
        <v>652.5</v>
      </c>
      <c r="H49" s="310">
        <f t="shared" si="8"/>
        <v>328</v>
      </c>
      <c r="I49" s="310">
        <f t="shared" si="8"/>
        <v>652.5</v>
      </c>
      <c r="J49" s="310">
        <f t="shared" si="8"/>
        <v>652.5</v>
      </c>
      <c r="K49" s="310">
        <f t="shared" si="8"/>
        <v>652.5</v>
      </c>
      <c r="L49" s="310">
        <f t="shared" si="8"/>
        <v>652.5</v>
      </c>
      <c r="M49" s="310">
        <f t="shared" si="8"/>
        <v>652.5</v>
      </c>
      <c r="N49" s="310">
        <f t="shared" si="8"/>
        <v>652.5</v>
      </c>
      <c r="O49" s="310">
        <f t="shared" si="8"/>
        <v>652.5</v>
      </c>
      <c r="P49" s="310">
        <f t="shared" si="8"/>
        <v>652.5</v>
      </c>
      <c r="Q49" s="310">
        <f t="shared" si="8"/>
        <v>652.5</v>
      </c>
      <c r="R49" s="310">
        <f t="shared" si="8"/>
        <v>652.5</v>
      </c>
      <c r="S49" s="62"/>
      <c r="T49" s="62"/>
      <c r="U49" s="57"/>
      <c r="V49" s="96"/>
      <c r="W49" s="97"/>
      <c r="Y49" s="57"/>
    </row>
    <row r="50" spans="2:25" x14ac:dyDescent="0.35">
      <c r="B50" s="27" t="s">
        <v>307</v>
      </c>
      <c r="D50" s="55"/>
      <c r="F50" s="58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59"/>
      <c r="S50" s="59"/>
      <c r="T50" s="59"/>
      <c r="U50" s="59"/>
      <c r="V50" s="118"/>
      <c r="Y50" s="59"/>
    </row>
    <row r="51" spans="2:25" x14ac:dyDescent="0.35">
      <c r="B51" s="27"/>
      <c r="D51" s="55"/>
      <c r="E51" s="2" t="s">
        <v>23</v>
      </c>
      <c r="F51" s="57">
        <f t="shared" ref="F51:F59" si="9">SUM(G51:R51)</f>
        <v>33.295189999999991</v>
      </c>
      <c r="G51" s="195">
        <f>SUMPRODUCT(G25:G29,G18:G22)/10^6</f>
        <v>2.8979879999999998</v>
      </c>
      <c r="H51" s="195">
        <f t="shared" ref="H51:R51" si="10">SUMPRODUCT(H25:H29,H18:H22)/10^6</f>
        <v>1.417322</v>
      </c>
      <c r="I51" s="195">
        <f t="shared" si="10"/>
        <v>2.8979879999999998</v>
      </c>
      <c r="J51" s="195">
        <f t="shared" si="10"/>
        <v>2.8979879999999998</v>
      </c>
      <c r="K51" s="195">
        <f t="shared" si="10"/>
        <v>2.8979879999999998</v>
      </c>
      <c r="L51" s="195">
        <f t="shared" si="10"/>
        <v>2.8979879999999998</v>
      </c>
      <c r="M51" s="195">
        <f t="shared" si="10"/>
        <v>2.8979879999999998</v>
      </c>
      <c r="N51" s="195">
        <f t="shared" si="10"/>
        <v>2.8979879999999998</v>
      </c>
      <c r="O51" s="195">
        <f t="shared" si="10"/>
        <v>2.8979879999999998</v>
      </c>
      <c r="P51" s="195">
        <f t="shared" si="10"/>
        <v>2.8979879999999998</v>
      </c>
      <c r="Q51" s="195">
        <f t="shared" si="10"/>
        <v>2.8979879999999998</v>
      </c>
      <c r="R51" s="195">
        <f t="shared" si="10"/>
        <v>2.8979879999999998</v>
      </c>
      <c r="S51" s="59"/>
      <c r="T51" s="59"/>
      <c r="U51" s="59"/>
      <c r="V51" s="118"/>
      <c r="Y51" s="59"/>
    </row>
    <row r="52" spans="2:25" x14ac:dyDescent="0.35">
      <c r="C52" s="6"/>
      <c r="D52" s="6"/>
      <c r="E52" s="2" t="s">
        <v>179</v>
      </c>
      <c r="F52" s="57">
        <f t="shared" si="9"/>
        <v>339.255</v>
      </c>
      <c r="G52" s="195">
        <f>SUMPRODUCT(G31:G33,G18:G20)/10^6</f>
        <v>29.495000000000001</v>
      </c>
      <c r="H52" s="195">
        <f t="shared" ref="H52:R52" si="11">SUMPRODUCT(H31:H33,H18:H20)/10^6</f>
        <v>14.81</v>
      </c>
      <c r="I52" s="195">
        <f t="shared" si="11"/>
        <v>29.495000000000001</v>
      </c>
      <c r="J52" s="195">
        <f t="shared" si="11"/>
        <v>29.495000000000001</v>
      </c>
      <c r="K52" s="195">
        <f t="shared" si="11"/>
        <v>29.495000000000001</v>
      </c>
      <c r="L52" s="195">
        <f t="shared" si="11"/>
        <v>29.495000000000001</v>
      </c>
      <c r="M52" s="195">
        <f t="shared" si="11"/>
        <v>29.495000000000001</v>
      </c>
      <c r="N52" s="195">
        <f t="shared" si="11"/>
        <v>29.495000000000001</v>
      </c>
      <c r="O52" s="195">
        <f t="shared" si="11"/>
        <v>29.495000000000001</v>
      </c>
      <c r="P52" s="195">
        <f t="shared" si="11"/>
        <v>29.495000000000001</v>
      </c>
      <c r="Q52" s="195">
        <f t="shared" si="11"/>
        <v>29.495000000000001</v>
      </c>
      <c r="R52" s="195">
        <f t="shared" si="11"/>
        <v>29.495000000000001</v>
      </c>
      <c r="S52" s="85"/>
      <c r="T52" s="85"/>
      <c r="U52" s="85"/>
      <c r="V52" s="85"/>
      <c r="W52" s="85"/>
      <c r="X52" s="85"/>
      <c r="Y52" s="85"/>
    </row>
    <row r="53" spans="2:25" x14ac:dyDescent="0.35">
      <c r="C53" s="6"/>
      <c r="D53" s="6"/>
      <c r="E53" s="2" t="s">
        <v>312</v>
      </c>
      <c r="F53" s="57">
        <f t="shared" si="9"/>
        <v>750.55</v>
      </c>
      <c r="G53" s="195">
        <f>SUMPRODUCT(G35:G37,G18:G20)/10^6</f>
        <v>65.25</v>
      </c>
      <c r="H53" s="195">
        <f t="shared" ref="H53:R53" si="12">SUMPRODUCT(H35:H37,H18:H20)/10^6</f>
        <v>32.799999999999997</v>
      </c>
      <c r="I53" s="195">
        <f t="shared" si="12"/>
        <v>65.25</v>
      </c>
      <c r="J53" s="195">
        <f t="shared" si="12"/>
        <v>65.25</v>
      </c>
      <c r="K53" s="195">
        <f t="shared" si="12"/>
        <v>65.25</v>
      </c>
      <c r="L53" s="195">
        <f t="shared" si="12"/>
        <v>65.25</v>
      </c>
      <c r="M53" s="195">
        <f t="shared" si="12"/>
        <v>65.25</v>
      </c>
      <c r="N53" s="195">
        <f t="shared" si="12"/>
        <v>65.25</v>
      </c>
      <c r="O53" s="195">
        <f t="shared" si="12"/>
        <v>65.25</v>
      </c>
      <c r="P53" s="195">
        <f t="shared" si="12"/>
        <v>65.25</v>
      </c>
      <c r="Q53" s="195">
        <f t="shared" si="12"/>
        <v>65.25</v>
      </c>
      <c r="R53" s="195">
        <f t="shared" si="12"/>
        <v>65.25</v>
      </c>
      <c r="S53" s="85"/>
      <c r="T53" s="85"/>
      <c r="U53" s="85"/>
      <c r="V53" s="85"/>
      <c r="W53" s="85"/>
      <c r="X53" s="85"/>
      <c r="Y53" s="85"/>
    </row>
    <row r="54" spans="2:25" x14ac:dyDescent="0.35">
      <c r="E54" s="2" t="s">
        <v>28</v>
      </c>
      <c r="F54" s="57">
        <f t="shared" si="9"/>
        <v>450.41000000000008</v>
      </c>
      <c r="G54" s="195">
        <f>SUMPRODUCT(G39:G41,G18:G20)/10^6</f>
        <v>39.174999999999997</v>
      </c>
      <c r="H54" s="195">
        <f t="shared" ref="H54:R54" si="13">SUMPRODUCT(H39:H41,H18:H20)/10^6</f>
        <v>19.484999999999999</v>
      </c>
      <c r="I54" s="195">
        <f t="shared" si="13"/>
        <v>39.174999999999997</v>
      </c>
      <c r="J54" s="195">
        <f t="shared" si="13"/>
        <v>39.174999999999997</v>
      </c>
      <c r="K54" s="195">
        <f t="shared" si="13"/>
        <v>39.174999999999997</v>
      </c>
      <c r="L54" s="195">
        <f t="shared" si="13"/>
        <v>39.174999999999997</v>
      </c>
      <c r="M54" s="195">
        <f t="shared" si="13"/>
        <v>39.174999999999997</v>
      </c>
      <c r="N54" s="195">
        <f t="shared" si="13"/>
        <v>39.174999999999997</v>
      </c>
      <c r="O54" s="195">
        <f t="shared" si="13"/>
        <v>39.174999999999997</v>
      </c>
      <c r="P54" s="195">
        <f t="shared" si="13"/>
        <v>39.174999999999997</v>
      </c>
      <c r="Q54" s="195">
        <f t="shared" si="13"/>
        <v>39.174999999999997</v>
      </c>
      <c r="R54" s="195">
        <f t="shared" si="13"/>
        <v>39.174999999999997</v>
      </c>
      <c r="S54" s="62"/>
      <c r="T54" s="62"/>
      <c r="U54" s="57"/>
      <c r="V54" s="96"/>
      <c r="W54" s="97"/>
      <c r="Y54" s="57"/>
    </row>
    <row r="55" spans="2:25" x14ac:dyDescent="0.35">
      <c r="E55" s="2" t="s">
        <v>182</v>
      </c>
      <c r="F55" s="62">
        <f t="shared" si="9"/>
        <v>953.3568055555553</v>
      </c>
      <c r="G55" s="62">
        <f>'Điểm hòa vốn'!G45</f>
        <v>48.636215277777779</v>
      </c>
      <c r="H55" s="62">
        <f>'Điểm hòa vốn'!$L45</f>
        <v>82.247326388888879</v>
      </c>
      <c r="I55" s="62">
        <f>'Điểm hòa vốn'!$L45</f>
        <v>82.247326388888879</v>
      </c>
      <c r="J55" s="62">
        <f>'Điểm hòa vốn'!$L45</f>
        <v>82.247326388888879</v>
      </c>
      <c r="K55" s="62">
        <f>'Điểm hòa vốn'!$L45</f>
        <v>82.247326388888879</v>
      </c>
      <c r="L55" s="62">
        <f>'Điểm hòa vốn'!$L45</f>
        <v>82.247326388888879</v>
      </c>
      <c r="M55" s="62">
        <f>'Điểm hòa vốn'!$L45</f>
        <v>82.247326388888879</v>
      </c>
      <c r="N55" s="62">
        <f>'Điểm hòa vốn'!$L45</f>
        <v>82.247326388888879</v>
      </c>
      <c r="O55" s="62">
        <f>'Điểm hòa vốn'!$L45</f>
        <v>82.247326388888879</v>
      </c>
      <c r="P55" s="62">
        <f>'Điểm hòa vốn'!$L45</f>
        <v>82.247326388888879</v>
      </c>
      <c r="Q55" s="62">
        <f>'Điểm hòa vốn'!$L45</f>
        <v>82.247326388888879</v>
      </c>
      <c r="R55" s="62">
        <f>'Điểm hòa vốn'!$L45</f>
        <v>82.247326388888879</v>
      </c>
      <c r="S55" s="62"/>
      <c r="T55" s="62"/>
      <c r="U55" s="57"/>
      <c r="V55" s="96"/>
      <c r="W55" s="97"/>
      <c r="Y55" s="57"/>
    </row>
    <row r="56" spans="2:25" x14ac:dyDescent="0.35">
      <c r="E56" s="2" t="s">
        <v>310</v>
      </c>
      <c r="F56" s="57">
        <f t="shared" si="9"/>
        <v>756.63230072727276</v>
      </c>
      <c r="G56" s="62">
        <f>'Điểm hòa vốn'!G43</f>
        <v>63.052691727272723</v>
      </c>
      <c r="H56" s="62">
        <f>$G56</f>
        <v>63.052691727272723</v>
      </c>
      <c r="I56" s="62">
        <f t="shared" ref="I56:R56" si="14">$G56</f>
        <v>63.052691727272723</v>
      </c>
      <c r="J56" s="62">
        <f t="shared" si="14"/>
        <v>63.052691727272723</v>
      </c>
      <c r="K56" s="62">
        <f t="shared" si="14"/>
        <v>63.052691727272723</v>
      </c>
      <c r="L56" s="62">
        <f t="shared" si="14"/>
        <v>63.052691727272723</v>
      </c>
      <c r="M56" s="62">
        <f t="shared" si="14"/>
        <v>63.052691727272723</v>
      </c>
      <c r="N56" s="62">
        <f t="shared" si="14"/>
        <v>63.052691727272723</v>
      </c>
      <c r="O56" s="62">
        <f t="shared" si="14"/>
        <v>63.052691727272723</v>
      </c>
      <c r="P56" s="62">
        <f t="shared" si="14"/>
        <v>63.052691727272723</v>
      </c>
      <c r="Q56" s="62">
        <f t="shared" si="14"/>
        <v>63.052691727272723</v>
      </c>
      <c r="R56" s="62">
        <f t="shared" si="14"/>
        <v>63.052691727272723</v>
      </c>
      <c r="S56" s="62"/>
      <c r="T56" s="62"/>
      <c r="U56" s="57"/>
      <c r="V56" s="96"/>
      <c r="W56" s="97"/>
      <c r="Y56" s="57"/>
    </row>
    <row r="57" spans="2:25" x14ac:dyDescent="0.35">
      <c r="E57" s="2" t="s">
        <v>408</v>
      </c>
      <c r="F57" s="57">
        <f t="shared" si="9"/>
        <v>264</v>
      </c>
      <c r="G57" s="62">
        <f>'Điểm hòa vốn'!G42</f>
        <v>22</v>
      </c>
      <c r="H57" s="62">
        <f t="shared" ref="H57:R59" si="15">$G57</f>
        <v>22</v>
      </c>
      <c r="I57" s="62">
        <f t="shared" si="15"/>
        <v>22</v>
      </c>
      <c r="J57" s="62">
        <f t="shared" si="15"/>
        <v>22</v>
      </c>
      <c r="K57" s="62">
        <f t="shared" si="15"/>
        <v>22</v>
      </c>
      <c r="L57" s="62">
        <f t="shared" si="15"/>
        <v>22</v>
      </c>
      <c r="M57" s="62">
        <f t="shared" si="15"/>
        <v>22</v>
      </c>
      <c r="N57" s="62">
        <f t="shared" si="15"/>
        <v>22</v>
      </c>
      <c r="O57" s="62">
        <f t="shared" si="15"/>
        <v>22</v>
      </c>
      <c r="P57" s="62">
        <f t="shared" si="15"/>
        <v>22</v>
      </c>
      <c r="Q57" s="62">
        <f t="shared" si="15"/>
        <v>22</v>
      </c>
      <c r="R57" s="62">
        <f t="shared" si="15"/>
        <v>22</v>
      </c>
      <c r="S57" s="62"/>
      <c r="T57" s="62"/>
      <c r="U57" s="57"/>
      <c r="V57" s="96"/>
      <c r="W57" s="97"/>
      <c r="Y57" s="57"/>
    </row>
    <row r="58" spans="2:25" x14ac:dyDescent="0.35">
      <c r="E58" s="2" t="s">
        <v>420</v>
      </c>
      <c r="F58" s="57">
        <f t="shared" si="9"/>
        <v>555.28706945454553</v>
      </c>
      <c r="G58" s="62">
        <f>SUM('Điểm hòa vốn'!G44,'Điểm hòa vốn'!G54)</f>
        <v>46.273922454545456</v>
      </c>
      <c r="H58" s="62">
        <f t="shared" si="15"/>
        <v>46.273922454545456</v>
      </c>
      <c r="I58" s="62">
        <f t="shared" si="15"/>
        <v>46.273922454545456</v>
      </c>
      <c r="J58" s="62">
        <f t="shared" si="15"/>
        <v>46.273922454545456</v>
      </c>
      <c r="K58" s="62">
        <f t="shared" si="15"/>
        <v>46.273922454545456</v>
      </c>
      <c r="L58" s="62">
        <f t="shared" si="15"/>
        <v>46.273922454545456</v>
      </c>
      <c r="M58" s="62">
        <f t="shared" si="15"/>
        <v>46.273922454545456</v>
      </c>
      <c r="N58" s="62">
        <f t="shared" si="15"/>
        <v>46.273922454545456</v>
      </c>
      <c r="O58" s="62">
        <f t="shared" si="15"/>
        <v>46.273922454545456</v>
      </c>
      <c r="P58" s="62">
        <f t="shared" si="15"/>
        <v>46.273922454545456</v>
      </c>
      <c r="Q58" s="62">
        <f t="shared" si="15"/>
        <v>46.273922454545456</v>
      </c>
      <c r="R58" s="62">
        <f t="shared" si="15"/>
        <v>46.273922454545456</v>
      </c>
      <c r="S58" s="62"/>
      <c r="T58" s="62"/>
      <c r="U58" s="57"/>
      <c r="V58" s="96"/>
      <c r="W58" s="97"/>
      <c r="Y58" s="57"/>
    </row>
    <row r="59" spans="2:25" x14ac:dyDescent="0.35">
      <c r="E59" s="2" t="s">
        <v>421</v>
      </c>
      <c r="F59" s="57">
        <f t="shared" si="9"/>
        <v>783</v>
      </c>
      <c r="G59" s="62">
        <f>10%*G49</f>
        <v>65.25</v>
      </c>
      <c r="H59" s="62">
        <f t="shared" si="15"/>
        <v>65.25</v>
      </c>
      <c r="I59" s="62">
        <f t="shared" si="15"/>
        <v>65.25</v>
      </c>
      <c r="J59" s="62">
        <f t="shared" si="15"/>
        <v>65.25</v>
      </c>
      <c r="K59" s="62">
        <f t="shared" si="15"/>
        <v>65.25</v>
      </c>
      <c r="L59" s="62">
        <f t="shared" si="15"/>
        <v>65.25</v>
      </c>
      <c r="M59" s="62">
        <f t="shared" si="15"/>
        <v>65.25</v>
      </c>
      <c r="N59" s="62">
        <f t="shared" si="15"/>
        <v>65.25</v>
      </c>
      <c r="O59" s="62">
        <f t="shared" si="15"/>
        <v>65.25</v>
      </c>
      <c r="P59" s="62">
        <f t="shared" si="15"/>
        <v>65.25</v>
      </c>
      <c r="Q59" s="62">
        <f t="shared" si="15"/>
        <v>65.25</v>
      </c>
      <c r="R59" s="62">
        <f t="shared" si="15"/>
        <v>65.25</v>
      </c>
      <c r="S59" s="62"/>
      <c r="T59" s="62"/>
      <c r="U59" s="57"/>
      <c r="V59" s="96"/>
      <c r="W59" s="97"/>
      <c r="Y59" s="57"/>
    </row>
    <row r="60" spans="2:25" x14ac:dyDescent="0.35">
      <c r="E60" s="2" t="s">
        <v>693</v>
      </c>
      <c r="F60" s="57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57"/>
      <c r="V60" s="96"/>
      <c r="W60" s="97"/>
      <c r="Y60" s="57"/>
    </row>
    <row r="61" spans="2:25" ht="13.15" thickBot="1" x14ac:dyDescent="0.4">
      <c r="C61" s="223" t="s">
        <v>308</v>
      </c>
      <c r="D61" s="100"/>
      <c r="E61" s="100"/>
      <c r="F61" s="243">
        <f t="shared" ref="F61" si="16">SUM(F51:F59)</f>
        <v>4885.7863657373737</v>
      </c>
      <c r="G61" s="243">
        <f>SUM(G51:G60)</f>
        <v>382.03081745959599</v>
      </c>
      <c r="H61" s="243">
        <f t="shared" ref="H61:R61" si="17">SUM(H51:H60)</f>
        <v>347.33626257070705</v>
      </c>
      <c r="I61" s="243">
        <f t="shared" si="17"/>
        <v>415.64192857070708</v>
      </c>
      <c r="J61" s="243">
        <f t="shared" si="17"/>
        <v>415.64192857070708</v>
      </c>
      <c r="K61" s="243">
        <f t="shared" si="17"/>
        <v>415.64192857070708</v>
      </c>
      <c r="L61" s="243">
        <f t="shared" si="17"/>
        <v>415.64192857070708</v>
      </c>
      <c r="M61" s="243">
        <f t="shared" si="17"/>
        <v>415.64192857070708</v>
      </c>
      <c r="N61" s="243">
        <f t="shared" si="17"/>
        <v>415.64192857070708</v>
      </c>
      <c r="O61" s="243">
        <f t="shared" si="17"/>
        <v>415.64192857070708</v>
      </c>
      <c r="P61" s="243">
        <f t="shared" si="17"/>
        <v>415.64192857070708</v>
      </c>
      <c r="Q61" s="243">
        <f t="shared" si="17"/>
        <v>415.64192857070708</v>
      </c>
      <c r="R61" s="243">
        <f t="shared" si="17"/>
        <v>415.64192857070708</v>
      </c>
      <c r="S61" s="62"/>
      <c r="T61" s="62"/>
      <c r="U61" s="57"/>
      <c r="V61" s="96"/>
      <c r="W61" s="97"/>
      <c r="Y61" s="57"/>
    </row>
    <row r="62" spans="2:25" x14ac:dyDescent="0.35">
      <c r="B62" s="89" t="s">
        <v>190</v>
      </c>
      <c r="C62" s="90"/>
      <c r="D62" s="90"/>
      <c r="E62" s="91"/>
      <c r="F62" s="92">
        <f t="shared" ref="F62:R62" si="18">F49-F61</f>
        <v>2619.7136342626263</v>
      </c>
      <c r="G62" s="92">
        <f t="shared" si="18"/>
        <v>270.46918254040401</v>
      </c>
      <c r="H62" s="92">
        <f t="shared" si="18"/>
        <v>-19.336262570707049</v>
      </c>
      <c r="I62" s="92">
        <f t="shared" si="18"/>
        <v>236.85807142929292</v>
      </c>
      <c r="J62" s="92">
        <f t="shared" si="18"/>
        <v>236.85807142929292</v>
      </c>
      <c r="K62" s="92">
        <f t="shared" si="18"/>
        <v>236.85807142929292</v>
      </c>
      <c r="L62" s="92">
        <f t="shared" si="18"/>
        <v>236.85807142929292</v>
      </c>
      <c r="M62" s="92">
        <f t="shared" si="18"/>
        <v>236.85807142929292</v>
      </c>
      <c r="N62" s="92">
        <f t="shared" si="18"/>
        <v>236.85807142929292</v>
      </c>
      <c r="O62" s="92">
        <f t="shared" si="18"/>
        <v>236.85807142929292</v>
      </c>
      <c r="P62" s="92">
        <f t="shared" si="18"/>
        <v>236.85807142929292</v>
      </c>
      <c r="Q62" s="92">
        <f t="shared" si="18"/>
        <v>236.85807142929292</v>
      </c>
      <c r="R62" s="92">
        <f t="shared" si="18"/>
        <v>236.85807142929292</v>
      </c>
      <c r="S62" s="92"/>
      <c r="T62" s="92"/>
      <c r="U62" s="92"/>
      <c r="V62" s="104"/>
      <c r="W62" s="92"/>
      <c r="X62" s="92"/>
      <c r="Y62" s="92"/>
    </row>
    <row r="63" spans="2:25" x14ac:dyDescent="0.35">
      <c r="E63" s="2" t="s">
        <v>45</v>
      </c>
      <c r="F63" s="62">
        <f>SUM(G63:R63)</f>
        <v>-1069.173</v>
      </c>
      <c r="G63" s="84">
        <f>-'Điểm hòa vốn'!K46</f>
        <v>-89.097750000000005</v>
      </c>
      <c r="H63" s="84">
        <f>$G$63</f>
        <v>-89.097750000000005</v>
      </c>
      <c r="I63" s="84">
        <f t="shared" ref="I63:R63" si="19">$G$63</f>
        <v>-89.097750000000005</v>
      </c>
      <c r="J63" s="84">
        <f t="shared" si="19"/>
        <v>-89.097750000000005</v>
      </c>
      <c r="K63" s="84">
        <f t="shared" si="19"/>
        <v>-89.097750000000005</v>
      </c>
      <c r="L63" s="84">
        <f t="shared" si="19"/>
        <v>-89.097750000000005</v>
      </c>
      <c r="M63" s="84">
        <f t="shared" si="19"/>
        <v>-89.097750000000005</v>
      </c>
      <c r="N63" s="84">
        <f t="shared" si="19"/>
        <v>-89.097750000000005</v>
      </c>
      <c r="O63" s="84">
        <f t="shared" si="19"/>
        <v>-89.097750000000005</v>
      </c>
      <c r="P63" s="84">
        <f t="shared" si="19"/>
        <v>-89.097750000000005</v>
      </c>
      <c r="Q63" s="84">
        <f t="shared" si="19"/>
        <v>-89.097750000000005</v>
      </c>
      <c r="R63" s="84">
        <f t="shared" si="19"/>
        <v>-89.097750000000005</v>
      </c>
    </row>
    <row r="64" spans="2:25" x14ac:dyDescent="0.35">
      <c r="E64" s="2" t="s">
        <v>41</v>
      </c>
      <c r="F64" s="62">
        <f>SUM(G64:R64)</f>
        <v>-3322.2378959999992</v>
      </c>
      <c r="G64" s="62">
        <f>-'Điểm hòa vốn'!K47</f>
        <v>-276.85315800000001</v>
      </c>
      <c r="H64" s="62">
        <f>$G64</f>
        <v>-276.85315800000001</v>
      </c>
      <c r="I64" s="62">
        <f t="shared" ref="I64:R64" si="20">$G64</f>
        <v>-276.85315800000001</v>
      </c>
      <c r="J64" s="62">
        <f t="shared" si="20"/>
        <v>-276.85315800000001</v>
      </c>
      <c r="K64" s="62">
        <f t="shared" si="20"/>
        <v>-276.85315800000001</v>
      </c>
      <c r="L64" s="62">
        <f t="shared" si="20"/>
        <v>-276.85315800000001</v>
      </c>
      <c r="M64" s="62">
        <f t="shared" si="20"/>
        <v>-276.85315800000001</v>
      </c>
      <c r="N64" s="62">
        <f t="shared" si="20"/>
        <v>-276.85315800000001</v>
      </c>
      <c r="O64" s="62">
        <f t="shared" si="20"/>
        <v>-276.85315800000001</v>
      </c>
      <c r="P64" s="62">
        <f t="shared" si="20"/>
        <v>-276.85315800000001</v>
      </c>
      <c r="Q64" s="62">
        <f t="shared" si="20"/>
        <v>-276.85315800000001</v>
      </c>
      <c r="R64" s="62">
        <f t="shared" si="20"/>
        <v>-276.85315800000001</v>
      </c>
    </row>
    <row r="65" spans="2:18" x14ac:dyDescent="0.35">
      <c r="B65" s="6" t="s">
        <v>422</v>
      </c>
      <c r="F65" s="218">
        <f t="shared" ref="F65:R65" si="21">SUM(F62:F64)</f>
        <v>-1771.6972617373729</v>
      </c>
      <c r="G65" s="218">
        <f t="shared" si="21"/>
        <v>-95.481725459596021</v>
      </c>
      <c r="H65" s="218">
        <f t="shared" si="21"/>
        <v>-385.28717057070708</v>
      </c>
      <c r="I65" s="218">
        <f t="shared" si="21"/>
        <v>-129.09283657070711</v>
      </c>
      <c r="J65" s="218">
        <f t="shared" si="21"/>
        <v>-129.09283657070711</v>
      </c>
      <c r="K65" s="218">
        <f t="shared" si="21"/>
        <v>-129.09283657070711</v>
      </c>
      <c r="L65" s="218">
        <f t="shared" si="21"/>
        <v>-129.09283657070711</v>
      </c>
      <c r="M65" s="218">
        <f t="shared" si="21"/>
        <v>-129.09283657070711</v>
      </c>
      <c r="N65" s="218">
        <f t="shared" si="21"/>
        <v>-129.09283657070711</v>
      </c>
      <c r="O65" s="218">
        <f t="shared" si="21"/>
        <v>-129.09283657070711</v>
      </c>
      <c r="P65" s="218">
        <f t="shared" si="21"/>
        <v>-129.09283657070711</v>
      </c>
      <c r="Q65" s="218">
        <f t="shared" si="21"/>
        <v>-129.09283657070711</v>
      </c>
      <c r="R65" s="218">
        <f t="shared" si="21"/>
        <v>-129.09283657070711</v>
      </c>
    </row>
    <row r="66" spans="2:18" x14ac:dyDescent="0.35">
      <c r="B66" s="6"/>
      <c r="F66" s="62"/>
    </row>
    <row r="67" spans="2:18" x14ac:dyDescent="0.35">
      <c r="E67" s="2" t="s">
        <v>354</v>
      </c>
      <c r="F67" s="62">
        <f>'VTB_YẾT KIÊU'!C27</f>
        <v>-3066</v>
      </c>
    </row>
    <row r="68" spans="2:18" x14ac:dyDescent="0.35">
      <c r="F68" s="57"/>
    </row>
    <row r="69" spans="2:18" x14ac:dyDescent="0.35">
      <c r="B69" s="6" t="s">
        <v>440</v>
      </c>
    </row>
    <row r="70" spans="2:18" x14ac:dyDescent="0.35">
      <c r="E70" s="2" t="s">
        <v>6</v>
      </c>
      <c r="F70" s="60">
        <f>SUM(G70:R70)</f>
        <v>9720</v>
      </c>
      <c r="G70" s="2">
        <f>30*9*60/20</f>
        <v>810</v>
      </c>
      <c r="H70" s="2">
        <f>$G70</f>
        <v>810</v>
      </c>
      <c r="I70" s="2">
        <f t="shared" ref="I70:R70" si="22">$G70</f>
        <v>810</v>
      </c>
      <c r="J70" s="2">
        <f t="shared" si="22"/>
        <v>810</v>
      </c>
      <c r="K70" s="2">
        <f t="shared" si="22"/>
        <v>810</v>
      </c>
      <c r="L70" s="2">
        <f t="shared" si="22"/>
        <v>810</v>
      </c>
      <c r="M70" s="2">
        <f t="shared" si="22"/>
        <v>810</v>
      </c>
      <c r="N70" s="2">
        <f t="shared" si="22"/>
        <v>810</v>
      </c>
      <c r="O70" s="2">
        <f t="shared" si="22"/>
        <v>810</v>
      </c>
      <c r="P70" s="2">
        <f t="shared" si="22"/>
        <v>810</v>
      </c>
      <c r="Q70" s="2">
        <f t="shared" si="22"/>
        <v>810</v>
      </c>
      <c r="R70" s="2">
        <f t="shared" si="22"/>
        <v>810</v>
      </c>
    </row>
    <row r="71" spans="2:18" x14ac:dyDescent="0.35">
      <c r="E71" s="2" t="s">
        <v>8</v>
      </c>
      <c r="F71" s="60">
        <f>SUM(G71:R71)</f>
        <v>12960</v>
      </c>
      <c r="G71" s="2">
        <f>30*9*60/15</f>
        <v>1080</v>
      </c>
      <c r="H71" s="2">
        <f t="shared" ref="H71:R74" si="23">$G71</f>
        <v>1080</v>
      </c>
      <c r="I71" s="2">
        <f t="shared" si="23"/>
        <v>1080</v>
      </c>
      <c r="J71" s="2">
        <f t="shared" si="23"/>
        <v>1080</v>
      </c>
      <c r="K71" s="2">
        <f t="shared" si="23"/>
        <v>1080</v>
      </c>
      <c r="L71" s="2">
        <f t="shared" si="23"/>
        <v>1080</v>
      </c>
      <c r="M71" s="2">
        <f t="shared" si="23"/>
        <v>1080</v>
      </c>
      <c r="N71" s="2">
        <f t="shared" si="23"/>
        <v>1080</v>
      </c>
      <c r="O71" s="2">
        <f t="shared" si="23"/>
        <v>1080</v>
      </c>
      <c r="P71" s="2">
        <f t="shared" si="23"/>
        <v>1080</v>
      </c>
      <c r="Q71" s="2">
        <f t="shared" si="23"/>
        <v>1080</v>
      </c>
      <c r="R71" s="2">
        <f t="shared" si="23"/>
        <v>1080</v>
      </c>
    </row>
    <row r="72" spans="2:18" x14ac:dyDescent="0.35">
      <c r="E72" s="2" t="s">
        <v>7</v>
      </c>
      <c r="F72" s="60">
        <f>SUM(G72:R72)</f>
        <v>19440</v>
      </c>
      <c r="G72" s="2">
        <f>30*9*60/10</f>
        <v>1620</v>
      </c>
      <c r="H72" s="2">
        <f t="shared" si="23"/>
        <v>1620</v>
      </c>
      <c r="I72" s="2">
        <f t="shared" si="23"/>
        <v>1620</v>
      </c>
      <c r="J72" s="2">
        <f t="shared" si="23"/>
        <v>1620</v>
      </c>
      <c r="K72" s="2">
        <f t="shared" si="23"/>
        <v>1620</v>
      </c>
      <c r="L72" s="2">
        <f t="shared" si="23"/>
        <v>1620</v>
      </c>
      <c r="M72" s="2">
        <f t="shared" si="23"/>
        <v>1620</v>
      </c>
      <c r="N72" s="2">
        <f t="shared" si="23"/>
        <v>1620</v>
      </c>
      <c r="O72" s="2">
        <f t="shared" si="23"/>
        <v>1620</v>
      </c>
      <c r="P72" s="2">
        <f t="shared" si="23"/>
        <v>1620</v>
      </c>
      <c r="Q72" s="2">
        <f t="shared" si="23"/>
        <v>1620</v>
      </c>
      <c r="R72" s="2">
        <f t="shared" si="23"/>
        <v>1620</v>
      </c>
    </row>
    <row r="73" spans="2:18" x14ac:dyDescent="0.35">
      <c r="E73" s="2" t="s">
        <v>9</v>
      </c>
      <c r="F73" s="60">
        <f>SUM(G73:R73)</f>
        <v>24300</v>
      </c>
      <c r="G73" s="2">
        <f>30*9*60/8</f>
        <v>2025</v>
      </c>
      <c r="H73" s="2">
        <f t="shared" si="23"/>
        <v>2025</v>
      </c>
      <c r="I73" s="2">
        <f t="shared" si="23"/>
        <v>2025</v>
      </c>
      <c r="J73" s="2">
        <f t="shared" si="23"/>
        <v>2025</v>
      </c>
      <c r="K73" s="2">
        <f t="shared" si="23"/>
        <v>2025</v>
      </c>
      <c r="L73" s="2">
        <f t="shared" si="23"/>
        <v>2025</v>
      </c>
      <c r="M73" s="2">
        <f t="shared" si="23"/>
        <v>2025</v>
      </c>
      <c r="N73" s="2">
        <f t="shared" si="23"/>
        <v>2025</v>
      </c>
      <c r="O73" s="2">
        <f t="shared" si="23"/>
        <v>2025</v>
      </c>
      <c r="P73" s="2">
        <f t="shared" si="23"/>
        <v>2025</v>
      </c>
      <c r="Q73" s="2">
        <f t="shared" si="23"/>
        <v>2025</v>
      </c>
      <c r="R73" s="2">
        <f t="shared" si="23"/>
        <v>2025</v>
      </c>
    </row>
    <row r="74" spans="2:18" x14ac:dyDescent="0.35">
      <c r="E74" s="2" t="s">
        <v>10</v>
      </c>
      <c r="F74" s="60">
        <f>SUM(G74:R74)</f>
        <v>19440</v>
      </c>
      <c r="G74" s="2">
        <f>30*9*60/10</f>
        <v>1620</v>
      </c>
      <c r="H74" s="2">
        <f t="shared" si="23"/>
        <v>1620</v>
      </c>
      <c r="I74" s="2">
        <f t="shared" si="23"/>
        <v>1620</v>
      </c>
      <c r="J74" s="2">
        <f t="shared" si="23"/>
        <v>1620</v>
      </c>
      <c r="K74" s="2">
        <f t="shared" si="23"/>
        <v>1620</v>
      </c>
      <c r="L74" s="2">
        <f t="shared" si="23"/>
        <v>1620</v>
      </c>
      <c r="M74" s="2">
        <f t="shared" si="23"/>
        <v>1620</v>
      </c>
      <c r="N74" s="2">
        <f t="shared" si="23"/>
        <v>1620</v>
      </c>
      <c r="O74" s="2">
        <f t="shared" si="23"/>
        <v>1620</v>
      </c>
      <c r="P74" s="2">
        <f t="shared" si="23"/>
        <v>1620</v>
      </c>
      <c r="Q74" s="2">
        <f t="shared" si="23"/>
        <v>1620</v>
      </c>
      <c r="R74" s="2">
        <f t="shared" si="23"/>
        <v>1620</v>
      </c>
    </row>
    <row r="75" spans="2:18" x14ac:dyDescent="0.35">
      <c r="B75" s="6" t="s">
        <v>439</v>
      </c>
    </row>
    <row r="76" spans="2:18" x14ac:dyDescent="0.35">
      <c r="E76" s="2" t="s">
        <v>6</v>
      </c>
      <c r="F76" s="201">
        <f>F18/F70</f>
        <v>0.37057613168724279</v>
      </c>
      <c r="G76" s="201">
        <f t="shared" ref="G76:R76" si="24">G18/G70</f>
        <v>0.38641975308641974</v>
      </c>
      <c r="H76" s="201">
        <f t="shared" si="24"/>
        <v>0.1962962962962963</v>
      </c>
      <c r="I76" s="201">
        <f t="shared" si="24"/>
        <v>0.38641975308641974</v>
      </c>
      <c r="J76" s="201">
        <f t="shared" si="24"/>
        <v>0.38641975308641974</v>
      </c>
      <c r="K76" s="201">
        <f t="shared" si="24"/>
        <v>0.38641975308641974</v>
      </c>
      <c r="L76" s="201">
        <f t="shared" si="24"/>
        <v>0.38641975308641974</v>
      </c>
      <c r="M76" s="201">
        <f t="shared" si="24"/>
        <v>0.38641975308641974</v>
      </c>
      <c r="N76" s="201">
        <f t="shared" si="24"/>
        <v>0.38641975308641974</v>
      </c>
      <c r="O76" s="201">
        <f t="shared" si="24"/>
        <v>0.38641975308641974</v>
      </c>
      <c r="P76" s="201">
        <f t="shared" si="24"/>
        <v>0.38641975308641974</v>
      </c>
      <c r="Q76" s="201">
        <f t="shared" si="24"/>
        <v>0.38641975308641974</v>
      </c>
      <c r="R76" s="201">
        <f t="shared" si="24"/>
        <v>0.38641975308641974</v>
      </c>
    </row>
    <row r="77" spans="2:18" x14ac:dyDescent="0.35">
      <c r="E77" s="2" t="s">
        <v>8</v>
      </c>
      <c r="F77" s="201">
        <f>F19/F71</f>
        <v>0</v>
      </c>
      <c r="G77" s="201">
        <f t="shared" ref="G77:R77" si="25">G19/G71</f>
        <v>0</v>
      </c>
      <c r="H77" s="201">
        <f t="shared" si="25"/>
        <v>0</v>
      </c>
      <c r="I77" s="201">
        <f t="shared" si="25"/>
        <v>0</v>
      </c>
      <c r="J77" s="201">
        <f t="shared" si="25"/>
        <v>0</v>
      </c>
      <c r="K77" s="201">
        <f t="shared" si="25"/>
        <v>0</v>
      </c>
      <c r="L77" s="201">
        <f t="shared" si="25"/>
        <v>0</v>
      </c>
      <c r="M77" s="201">
        <f t="shared" si="25"/>
        <v>0</v>
      </c>
      <c r="N77" s="201">
        <f t="shared" si="25"/>
        <v>0</v>
      </c>
      <c r="O77" s="201">
        <f t="shared" si="25"/>
        <v>0</v>
      </c>
      <c r="P77" s="201">
        <f t="shared" si="25"/>
        <v>0</v>
      </c>
      <c r="Q77" s="201">
        <f t="shared" si="25"/>
        <v>0</v>
      </c>
      <c r="R77" s="201">
        <f t="shared" si="25"/>
        <v>0</v>
      </c>
    </row>
    <row r="78" spans="2:18" x14ac:dyDescent="0.35">
      <c r="E78" s="2" t="s">
        <v>7</v>
      </c>
      <c r="F78" s="201">
        <f>F20/F72</f>
        <v>3.1018518518518518E-2</v>
      </c>
      <c r="G78" s="201">
        <f t="shared" ref="G78:R78" si="26">G20/G72</f>
        <v>3.271604938271605E-2</v>
      </c>
      <c r="H78" s="201">
        <f t="shared" si="26"/>
        <v>1.2345679012345678E-2</v>
      </c>
      <c r="I78" s="201">
        <f t="shared" si="26"/>
        <v>3.271604938271605E-2</v>
      </c>
      <c r="J78" s="201">
        <f t="shared" si="26"/>
        <v>3.271604938271605E-2</v>
      </c>
      <c r="K78" s="201">
        <f t="shared" si="26"/>
        <v>3.271604938271605E-2</v>
      </c>
      <c r="L78" s="201">
        <f t="shared" si="26"/>
        <v>3.271604938271605E-2</v>
      </c>
      <c r="M78" s="201">
        <f t="shared" si="26"/>
        <v>3.271604938271605E-2</v>
      </c>
      <c r="N78" s="201">
        <f t="shared" si="26"/>
        <v>3.271604938271605E-2</v>
      </c>
      <c r="O78" s="201">
        <f t="shared" si="26"/>
        <v>3.271604938271605E-2</v>
      </c>
      <c r="P78" s="201">
        <f t="shared" si="26"/>
        <v>3.271604938271605E-2</v>
      </c>
      <c r="Q78" s="201">
        <f t="shared" si="26"/>
        <v>3.271604938271605E-2</v>
      </c>
      <c r="R78" s="201">
        <f t="shared" si="26"/>
        <v>3.271604938271605E-2</v>
      </c>
    </row>
    <row r="79" spans="2:18" x14ac:dyDescent="0.35">
      <c r="E79" s="2" t="s">
        <v>9</v>
      </c>
      <c r="F79" s="201">
        <f>F21/F73</f>
        <v>0</v>
      </c>
      <c r="G79" s="201">
        <f t="shared" ref="G79:R79" si="27">G21/G73</f>
        <v>0</v>
      </c>
      <c r="H79" s="201">
        <f t="shared" si="27"/>
        <v>0</v>
      </c>
      <c r="I79" s="201">
        <f t="shared" si="27"/>
        <v>0</v>
      </c>
      <c r="J79" s="201">
        <f t="shared" si="27"/>
        <v>0</v>
      </c>
      <c r="K79" s="201">
        <f t="shared" si="27"/>
        <v>0</v>
      </c>
      <c r="L79" s="201">
        <f t="shared" si="27"/>
        <v>0</v>
      </c>
      <c r="M79" s="201">
        <f t="shared" si="27"/>
        <v>0</v>
      </c>
      <c r="N79" s="201">
        <f t="shared" si="27"/>
        <v>0</v>
      </c>
      <c r="O79" s="201">
        <f t="shared" si="27"/>
        <v>0</v>
      </c>
      <c r="P79" s="201">
        <f t="shared" si="27"/>
        <v>0</v>
      </c>
      <c r="Q79" s="201">
        <f t="shared" si="27"/>
        <v>0</v>
      </c>
      <c r="R79" s="201">
        <f t="shared" si="27"/>
        <v>0</v>
      </c>
    </row>
    <row r="80" spans="2:18" x14ac:dyDescent="0.35">
      <c r="E80" s="2" t="s">
        <v>10</v>
      </c>
      <c r="F80" s="201">
        <f>F22/F74</f>
        <v>0</v>
      </c>
      <c r="G80" s="201">
        <f t="shared" ref="G80:R80" si="28">G22/G74</f>
        <v>0</v>
      </c>
      <c r="H80" s="201">
        <f t="shared" si="28"/>
        <v>0</v>
      </c>
      <c r="I80" s="201">
        <f t="shared" si="28"/>
        <v>0</v>
      </c>
      <c r="J80" s="201">
        <f t="shared" si="28"/>
        <v>0</v>
      </c>
      <c r="K80" s="201">
        <f t="shared" si="28"/>
        <v>0</v>
      </c>
      <c r="L80" s="201">
        <f t="shared" si="28"/>
        <v>0</v>
      </c>
      <c r="M80" s="201">
        <f t="shared" si="28"/>
        <v>0</v>
      </c>
      <c r="N80" s="201">
        <f t="shared" si="28"/>
        <v>0</v>
      </c>
      <c r="O80" s="201">
        <f t="shared" si="28"/>
        <v>0</v>
      </c>
      <c r="P80" s="201">
        <f t="shared" si="28"/>
        <v>0</v>
      </c>
      <c r="Q80" s="201">
        <f t="shared" si="28"/>
        <v>0</v>
      </c>
      <c r="R80" s="201">
        <f t="shared" si="28"/>
        <v>0</v>
      </c>
    </row>
    <row r="81" spans="2:18" x14ac:dyDescent="0.35">
      <c r="B81" s="6" t="s">
        <v>443</v>
      </c>
    </row>
    <row r="82" spans="2:18" x14ac:dyDescent="0.35">
      <c r="E82" s="2" t="s">
        <v>6</v>
      </c>
      <c r="F82" s="60">
        <f>SUM(G82:R82)</f>
        <v>2823</v>
      </c>
      <c r="G82" s="84">
        <v>78</v>
      </c>
      <c r="H82" s="84">
        <v>141</v>
      </c>
      <c r="I82" s="84">
        <v>185</v>
      </c>
      <c r="J82" s="2">
        <v>151</v>
      </c>
      <c r="K82" s="2">
        <v>224</v>
      </c>
      <c r="L82" s="2">
        <v>287</v>
      </c>
      <c r="M82" s="2">
        <v>310</v>
      </c>
      <c r="N82" s="2">
        <v>286</v>
      </c>
      <c r="O82" s="2">
        <v>295</v>
      </c>
      <c r="P82" s="2">
        <v>299</v>
      </c>
      <c r="Q82" s="2">
        <v>255</v>
      </c>
      <c r="R82" s="2">
        <v>312</v>
      </c>
    </row>
    <row r="83" spans="2:18" x14ac:dyDescent="0.35">
      <c r="E83" s="2" t="s">
        <v>8</v>
      </c>
      <c r="F83" s="60">
        <f>SUM(G83:R83)</f>
        <v>282</v>
      </c>
      <c r="G83" s="84">
        <v>11</v>
      </c>
      <c r="H83" s="84">
        <v>20</v>
      </c>
      <c r="I83" s="2">
        <v>19</v>
      </c>
      <c r="J83" s="2">
        <v>16</v>
      </c>
      <c r="K83" s="2">
        <v>23</v>
      </c>
      <c r="L83" s="2">
        <v>28</v>
      </c>
      <c r="M83" s="2">
        <v>24</v>
      </c>
      <c r="N83" s="2">
        <v>19</v>
      </c>
      <c r="O83" s="2">
        <v>29</v>
      </c>
      <c r="P83" s="2">
        <v>30</v>
      </c>
      <c r="Q83" s="2">
        <v>32</v>
      </c>
      <c r="R83" s="2">
        <v>31</v>
      </c>
    </row>
    <row r="84" spans="2:18" x14ac:dyDescent="0.35">
      <c r="E84" s="2" t="s">
        <v>7</v>
      </c>
      <c r="F84" s="60">
        <f>SUM(G84:R84)</f>
        <v>184</v>
      </c>
      <c r="G84" s="84">
        <v>1</v>
      </c>
      <c r="H84" s="84">
        <v>4</v>
      </c>
      <c r="I84" s="2">
        <v>7</v>
      </c>
      <c r="J84" s="2">
        <v>1</v>
      </c>
      <c r="K84" s="2">
        <v>90</v>
      </c>
      <c r="L84" s="2">
        <v>11</v>
      </c>
      <c r="M84" s="2">
        <v>19</v>
      </c>
      <c r="N84" s="2">
        <v>6</v>
      </c>
      <c r="O84" s="2">
        <v>28</v>
      </c>
      <c r="P84" s="2">
        <v>4</v>
      </c>
      <c r="Q84" s="2">
        <v>8</v>
      </c>
      <c r="R84" s="2">
        <v>5</v>
      </c>
    </row>
    <row r="85" spans="2:18" x14ac:dyDescent="0.35">
      <c r="E85" s="2" t="s">
        <v>9</v>
      </c>
      <c r="F85" s="60">
        <f>SUM(G85:R85)</f>
        <v>423</v>
      </c>
      <c r="G85" s="84">
        <v>13</v>
      </c>
      <c r="H85" s="84">
        <v>26</v>
      </c>
      <c r="I85" s="84">
        <v>36</v>
      </c>
      <c r="J85" s="2">
        <v>34</v>
      </c>
      <c r="K85" s="2">
        <v>40</v>
      </c>
      <c r="L85" s="2">
        <v>56</v>
      </c>
      <c r="M85" s="2">
        <v>47</v>
      </c>
      <c r="N85" s="2">
        <v>33</v>
      </c>
      <c r="O85" s="2">
        <v>36</v>
      </c>
      <c r="P85" s="2">
        <v>60</v>
      </c>
      <c r="Q85" s="2">
        <v>24</v>
      </c>
      <c r="R85" s="2">
        <v>18</v>
      </c>
    </row>
    <row r="86" spans="2:18" x14ac:dyDescent="0.35">
      <c r="E86" s="2" t="s">
        <v>10</v>
      </c>
      <c r="F86" s="60">
        <f>SUM(G86:R86)</f>
        <v>87</v>
      </c>
      <c r="G86" s="84">
        <v>3</v>
      </c>
      <c r="H86" s="84"/>
      <c r="I86" s="84">
        <v>3</v>
      </c>
      <c r="J86" s="2">
        <v>1</v>
      </c>
      <c r="K86" s="84">
        <v>2</v>
      </c>
      <c r="L86" s="84">
        <v>1</v>
      </c>
      <c r="M86" s="84">
        <v>3</v>
      </c>
      <c r="N86" s="84"/>
      <c r="O86" s="84">
        <v>3</v>
      </c>
      <c r="P86" s="84">
        <v>20</v>
      </c>
      <c r="Q86" s="84">
        <v>33</v>
      </c>
      <c r="R86" s="2">
        <v>18</v>
      </c>
    </row>
    <row r="87" spans="2:18" x14ac:dyDescent="0.35">
      <c r="B87" s="6" t="s">
        <v>441</v>
      </c>
    </row>
    <row r="88" spans="2:18" x14ac:dyDescent="0.35">
      <c r="E88" s="2" t="s">
        <v>6</v>
      </c>
      <c r="F88" s="201">
        <f>F82/F70</f>
        <v>0.29043209876543208</v>
      </c>
      <c r="G88" s="201">
        <f t="shared" ref="G88:R88" si="29">G82/G70</f>
        <v>9.6296296296296297E-2</v>
      </c>
      <c r="H88" s="201">
        <f t="shared" si="29"/>
        <v>0.17407407407407408</v>
      </c>
      <c r="I88" s="201">
        <f t="shared" si="29"/>
        <v>0.22839506172839505</v>
      </c>
      <c r="J88" s="201">
        <f t="shared" si="29"/>
        <v>0.18641975308641975</v>
      </c>
      <c r="K88" s="201">
        <f t="shared" si="29"/>
        <v>0.27654320987654318</v>
      </c>
      <c r="L88" s="201">
        <f t="shared" si="29"/>
        <v>0.35432098765432096</v>
      </c>
      <c r="M88" s="201">
        <f t="shared" si="29"/>
        <v>0.38271604938271603</v>
      </c>
      <c r="N88" s="201">
        <f t="shared" si="29"/>
        <v>0.35308641975308641</v>
      </c>
      <c r="O88" s="201">
        <f t="shared" si="29"/>
        <v>0.36419753086419754</v>
      </c>
      <c r="P88" s="201">
        <f t="shared" si="29"/>
        <v>0.3691358024691358</v>
      </c>
      <c r="Q88" s="201">
        <f t="shared" si="29"/>
        <v>0.31481481481481483</v>
      </c>
      <c r="R88" s="201">
        <f t="shared" si="29"/>
        <v>0.38518518518518519</v>
      </c>
    </row>
    <row r="89" spans="2:18" x14ac:dyDescent="0.35">
      <c r="E89" s="2" t="s">
        <v>8</v>
      </c>
      <c r="F89" s="201">
        <f t="shared" ref="F89:R92" si="30">F83/F71</f>
        <v>2.1759259259259259E-2</v>
      </c>
      <c r="G89" s="201">
        <f t="shared" si="30"/>
        <v>1.0185185185185186E-2</v>
      </c>
      <c r="H89" s="201">
        <f t="shared" si="30"/>
        <v>1.8518518518518517E-2</v>
      </c>
      <c r="I89" s="201">
        <f t="shared" si="30"/>
        <v>1.7592592592592594E-2</v>
      </c>
      <c r="J89" s="201">
        <f t="shared" si="30"/>
        <v>1.4814814814814815E-2</v>
      </c>
      <c r="K89" s="201">
        <f t="shared" si="30"/>
        <v>2.1296296296296296E-2</v>
      </c>
      <c r="L89" s="201">
        <f t="shared" si="30"/>
        <v>2.5925925925925925E-2</v>
      </c>
      <c r="M89" s="201">
        <f t="shared" si="30"/>
        <v>2.2222222222222223E-2</v>
      </c>
      <c r="N89" s="201">
        <f t="shared" si="30"/>
        <v>1.7592592592592594E-2</v>
      </c>
      <c r="O89" s="201">
        <f t="shared" si="30"/>
        <v>2.6851851851851852E-2</v>
      </c>
      <c r="P89" s="201">
        <f t="shared" si="30"/>
        <v>2.7777777777777776E-2</v>
      </c>
      <c r="Q89" s="201">
        <f t="shared" si="30"/>
        <v>2.9629629629629631E-2</v>
      </c>
      <c r="R89" s="201">
        <f t="shared" si="30"/>
        <v>2.8703703703703703E-2</v>
      </c>
    </row>
    <row r="90" spans="2:18" x14ac:dyDescent="0.35">
      <c r="E90" s="2" t="s">
        <v>7</v>
      </c>
      <c r="F90" s="201">
        <f t="shared" si="30"/>
        <v>9.4650205761316868E-3</v>
      </c>
      <c r="G90" s="201">
        <f t="shared" si="30"/>
        <v>6.1728395061728394E-4</v>
      </c>
      <c r="H90" s="201">
        <f t="shared" si="30"/>
        <v>2.4691358024691358E-3</v>
      </c>
      <c r="I90" s="201">
        <f t="shared" si="30"/>
        <v>4.3209876543209872E-3</v>
      </c>
      <c r="J90" s="201">
        <f t="shared" si="30"/>
        <v>6.1728395061728394E-4</v>
      </c>
      <c r="K90" s="201">
        <f t="shared" si="30"/>
        <v>5.5555555555555552E-2</v>
      </c>
      <c r="L90" s="201">
        <f t="shared" si="30"/>
        <v>6.7901234567901234E-3</v>
      </c>
      <c r="M90" s="201">
        <f t="shared" si="30"/>
        <v>1.1728395061728396E-2</v>
      </c>
      <c r="N90" s="201">
        <f t="shared" si="30"/>
        <v>3.7037037037037038E-3</v>
      </c>
      <c r="O90" s="201">
        <f t="shared" si="30"/>
        <v>1.7283950617283949E-2</v>
      </c>
      <c r="P90" s="201">
        <f t="shared" si="30"/>
        <v>2.4691358024691358E-3</v>
      </c>
      <c r="Q90" s="201">
        <f t="shared" si="30"/>
        <v>4.9382716049382715E-3</v>
      </c>
      <c r="R90" s="201">
        <f t="shared" si="30"/>
        <v>3.0864197530864196E-3</v>
      </c>
    </row>
    <row r="91" spans="2:18" x14ac:dyDescent="0.35">
      <c r="E91" s="2" t="s">
        <v>9</v>
      </c>
      <c r="F91" s="201">
        <f t="shared" si="30"/>
        <v>1.7407407407407406E-2</v>
      </c>
      <c r="G91" s="201">
        <f t="shared" si="30"/>
        <v>6.4197530864197527E-3</v>
      </c>
      <c r="H91" s="201">
        <f t="shared" si="30"/>
        <v>1.2839506172839505E-2</v>
      </c>
      <c r="I91" s="201">
        <f t="shared" si="30"/>
        <v>1.7777777777777778E-2</v>
      </c>
      <c r="J91" s="201">
        <f t="shared" si="30"/>
        <v>1.6790123456790124E-2</v>
      </c>
      <c r="K91" s="201">
        <f t="shared" si="30"/>
        <v>1.9753086419753086E-2</v>
      </c>
      <c r="L91" s="201">
        <f t="shared" si="30"/>
        <v>2.7654320987654323E-2</v>
      </c>
      <c r="M91" s="201">
        <f t="shared" si="30"/>
        <v>2.3209876543209877E-2</v>
      </c>
      <c r="N91" s="201">
        <f t="shared" si="30"/>
        <v>1.6296296296296295E-2</v>
      </c>
      <c r="O91" s="201">
        <f t="shared" si="30"/>
        <v>1.7777777777777778E-2</v>
      </c>
      <c r="P91" s="201">
        <f t="shared" si="30"/>
        <v>2.9629629629629631E-2</v>
      </c>
      <c r="Q91" s="201">
        <f t="shared" si="30"/>
        <v>1.1851851851851851E-2</v>
      </c>
      <c r="R91" s="201">
        <f t="shared" si="30"/>
        <v>8.8888888888888889E-3</v>
      </c>
    </row>
    <row r="92" spans="2:18" x14ac:dyDescent="0.35">
      <c r="E92" s="2" t="s">
        <v>10</v>
      </c>
      <c r="F92" s="201">
        <f t="shared" si="30"/>
        <v>4.4753086419753087E-3</v>
      </c>
      <c r="G92" s="201">
        <f t="shared" si="30"/>
        <v>1.8518518518518519E-3</v>
      </c>
      <c r="H92" s="201">
        <f t="shared" si="30"/>
        <v>0</v>
      </c>
      <c r="I92" s="201">
        <f t="shared" si="30"/>
        <v>1.8518518518518519E-3</v>
      </c>
      <c r="J92" s="201">
        <f t="shared" si="30"/>
        <v>6.1728395061728394E-4</v>
      </c>
      <c r="K92" s="201">
        <f t="shared" si="30"/>
        <v>1.2345679012345679E-3</v>
      </c>
      <c r="L92" s="201">
        <f t="shared" si="30"/>
        <v>6.1728395061728394E-4</v>
      </c>
      <c r="M92" s="201">
        <f t="shared" si="30"/>
        <v>1.8518518518518519E-3</v>
      </c>
      <c r="N92" s="201">
        <f t="shared" si="30"/>
        <v>0</v>
      </c>
      <c r="O92" s="201">
        <f t="shared" si="30"/>
        <v>1.8518518518518519E-3</v>
      </c>
      <c r="P92" s="201">
        <f t="shared" si="30"/>
        <v>1.2345679012345678E-2</v>
      </c>
      <c r="Q92" s="201">
        <f t="shared" si="30"/>
        <v>2.0370370370370372E-2</v>
      </c>
      <c r="R92" s="201">
        <f t="shared" si="30"/>
        <v>1.1111111111111112E-2</v>
      </c>
    </row>
  </sheetData>
  <pageMargins left="0.7" right="0.7" top="0.75" bottom="0.75" header="0.3" footer="0.3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7168-E598-43B3-B9C2-CA9AC711F092}">
  <sheetPr>
    <tabColor rgb="FF2596BE"/>
  </sheetPr>
  <dimension ref="B3:Y92"/>
  <sheetViews>
    <sheetView workbookViewId="0">
      <pane xSplit="5" ySplit="9" topLeftCell="F10" activePane="bottomRight" state="frozen"/>
      <selection activeCell="B8" sqref="B8"/>
      <selection pane="topRight" activeCell="B8" sqref="B8"/>
      <selection pane="bottomLeft" activeCell="B8" sqref="B8"/>
      <selection pane="bottomRight" activeCell="H20" sqref="H20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45.1328125" style="2" customWidth="1"/>
    <col min="6" max="6" width="12.265625" style="2" customWidth="1"/>
    <col min="7" max="8" width="9.1328125" style="2" customWidth="1" outlineLevel="1"/>
    <col min="9" max="9" width="9" style="2" customWidth="1" outlineLevel="1"/>
    <col min="10" max="17" width="9.1328125" style="2" customWidth="1" outlineLevel="1"/>
    <col min="18" max="18" width="10.265625" style="2" bestFit="1" customWidth="1"/>
    <col min="19" max="19" width="12.1328125" style="2" customWidth="1"/>
    <col min="20" max="20" width="10.59765625" style="2" customWidth="1"/>
    <col min="21" max="21" width="18.59765625" style="2" customWidth="1"/>
    <col min="22" max="22" width="11.3984375" style="2" customWidth="1"/>
    <col min="23" max="23" width="12.86328125" style="2" customWidth="1"/>
    <col min="24" max="24" width="13.1328125" style="2" customWidth="1"/>
    <col min="25" max="16384" width="9.1328125" style="2"/>
  </cols>
  <sheetData>
    <row r="3" spans="2:25" x14ac:dyDescent="0.35">
      <c r="I3" s="60"/>
    </row>
    <row r="4" spans="2:25" x14ac:dyDescent="0.35">
      <c r="B4" s="2" t="s">
        <v>25</v>
      </c>
    </row>
    <row r="6" spans="2:25" x14ac:dyDescent="0.35">
      <c r="B6" s="27" t="s">
        <v>299</v>
      </c>
    </row>
    <row r="7" spans="2:25" s="6" customFormat="1" x14ac:dyDescent="0.35">
      <c r="B7" s="6" t="s">
        <v>146</v>
      </c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</row>
    <row r="8" spans="2:25" x14ac:dyDescent="0.35">
      <c r="B8" s="32" t="s">
        <v>212</v>
      </c>
      <c r="G8" s="32" t="s">
        <v>52</v>
      </c>
    </row>
    <row r="9" spans="2:25" ht="13.5" x14ac:dyDescent="0.35">
      <c r="B9" s="45" t="s">
        <v>101</v>
      </c>
      <c r="F9" s="6" t="s">
        <v>309</v>
      </c>
      <c r="G9" s="61">
        <v>1</v>
      </c>
      <c r="H9" s="61">
        <v>2</v>
      </c>
      <c r="I9" s="61">
        <v>3</v>
      </c>
      <c r="J9" s="61">
        <v>4</v>
      </c>
      <c r="K9" s="61">
        <v>5</v>
      </c>
      <c r="L9" s="61">
        <v>6</v>
      </c>
      <c r="M9" s="61">
        <v>7</v>
      </c>
      <c r="N9" s="61">
        <v>8</v>
      </c>
      <c r="O9" s="61">
        <v>9</v>
      </c>
      <c r="P9" s="61">
        <v>10</v>
      </c>
      <c r="Q9" s="61">
        <v>11</v>
      </c>
      <c r="R9" s="61">
        <v>12</v>
      </c>
      <c r="S9" s="113" t="s">
        <v>197</v>
      </c>
      <c r="T9" s="114"/>
      <c r="U9" s="114"/>
      <c r="V9" s="32"/>
      <c r="W9" s="32"/>
      <c r="X9" s="6"/>
      <c r="Y9" s="73"/>
    </row>
    <row r="10" spans="2:25" x14ac:dyDescent="0.35">
      <c r="B10" s="27" t="s">
        <v>520</v>
      </c>
      <c r="D10" s="6"/>
      <c r="R10" s="58"/>
    </row>
    <row r="11" spans="2:25" x14ac:dyDescent="0.35">
      <c r="B11" s="27" t="s">
        <v>300</v>
      </c>
      <c r="D11" s="6"/>
      <c r="R11" s="58"/>
    </row>
    <row r="12" spans="2:25" x14ac:dyDescent="0.35">
      <c r="B12" s="27"/>
      <c r="D12" s="6"/>
      <c r="E12" s="2" t="s">
        <v>6</v>
      </c>
      <c r="G12" s="311">
        <f>'Điểm hòa vốn'!H83/10^6</f>
        <v>2</v>
      </c>
      <c r="H12" s="225">
        <f>$G12</f>
        <v>2</v>
      </c>
      <c r="I12" s="225">
        <f t="shared" ref="I12:R12" si="0">$G12</f>
        <v>2</v>
      </c>
      <c r="J12" s="225">
        <f t="shared" si="0"/>
        <v>2</v>
      </c>
      <c r="K12" s="225">
        <f t="shared" si="0"/>
        <v>2</v>
      </c>
      <c r="L12" s="225">
        <f t="shared" si="0"/>
        <v>2</v>
      </c>
      <c r="M12" s="225">
        <f t="shared" si="0"/>
        <v>2</v>
      </c>
      <c r="N12" s="225">
        <f t="shared" si="0"/>
        <v>2</v>
      </c>
      <c r="O12" s="225">
        <f t="shared" si="0"/>
        <v>2</v>
      </c>
      <c r="P12" s="225">
        <f t="shared" si="0"/>
        <v>2</v>
      </c>
      <c r="Q12" s="225">
        <f t="shared" si="0"/>
        <v>2</v>
      </c>
      <c r="R12" s="225">
        <f t="shared" si="0"/>
        <v>2</v>
      </c>
    </row>
    <row r="13" spans="2:25" x14ac:dyDescent="0.35">
      <c r="B13" s="27"/>
      <c r="D13" s="6"/>
      <c r="E13" s="2" t="s">
        <v>8</v>
      </c>
      <c r="G13" s="311">
        <f>'Điểm hòa vốn'!H84/10^6</f>
        <v>1</v>
      </c>
      <c r="H13" s="225">
        <f t="shared" ref="H13:R16" si="1">$G13</f>
        <v>1</v>
      </c>
      <c r="I13" s="225">
        <f t="shared" si="1"/>
        <v>1</v>
      </c>
      <c r="J13" s="225">
        <f t="shared" si="1"/>
        <v>1</v>
      </c>
      <c r="K13" s="225">
        <f t="shared" si="1"/>
        <v>1</v>
      </c>
      <c r="L13" s="225">
        <f t="shared" si="1"/>
        <v>1</v>
      </c>
      <c r="M13" s="225">
        <f t="shared" si="1"/>
        <v>1</v>
      </c>
      <c r="N13" s="225">
        <f t="shared" si="1"/>
        <v>1</v>
      </c>
      <c r="O13" s="225">
        <f t="shared" si="1"/>
        <v>1</v>
      </c>
      <c r="P13" s="225">
        <f t="shared" si="1"/>
        <v>1</v>
      </c>
      <c r="Q13" s="225">
        <f t="shared" si="1"/>
        <v>1</v>
      </c>
      <c r="R13" s="225">
        <f t="shared" si="1"/>
        <v>1</v>
      </c>
    </row>
    <row r="14" spans="2:25" x14ac:dyDescent="0.35">
      <c r="B14" s="27"/>
      <c r="D14" s="6"/>
      <c r="E14" s="2" t="s">
        <v>7</v>
      </c>
      <c r="G14" s="311">
        <f>'Điểm hòa vốn'!H85/10^6</f>
        <v>0</v>
      </c>
      <c r="H14" s="225">
        <f t="shared" si="1"/>
        <v>0</v>
      </c>
      <c r="I14" s="225">
        <f t="shared" si="1"/>
        <v>0</v>
      </c>
      <c r="J14" s="225">
        <f t="shared" si="1"/>
        <v>0</v>
      </c>
      <c r="K14" s="225">
        <f t="shared" si="1"/>
        <v>0</v>
      </c>
      <c r="L14" s="225">
        <f t="shared" si="1"/>
        <v>0</v>
      </c>
      <c r="M14" s="225">
        <f t="shared" si="1"/>
        <v>0</v>
      </c>
      <c r="N14" s="225">
        <f t="shared" si="1"/>
        <v>0</v>
      </c>
      <c r="O14" s="225">
        <f t="shared" si="1"/>
        <v>0</v>
      </c>
      <c r="P14" s="225">
        <f t="shared" si="1"/>
        <v>0</v>
      </c>
      <c r="Q14" s="225">
        <f t="shared" si="1"/>
        <v>0</v>
      </c>
      <c r="R14" s="225">
        <f t="shared" si="1"/>
        <v>0</v>
      </c>
    </row>
    <row r="15" spans="2:25" x14ac:dyDescent="0.35">
      <c r="B15" s="27"/>
      <c r="D15" s="6"/>
      <c r="E15" s="2" t="s">
        <v>9</v>
      </c>
      <c r="G15" s="311">
        <f>'Điểm hòa vốn'!H86/10^6</f>
        <v>0</v>
      </c>
      <c r="H15" s="225">
        <f t="shared" si="1"/>
        <v>0</v>
      </c>
      <c r="I15" s="225">
        <f t="shared" si="1"/>
        <v>0</v>
      </c>
      <c r="J15" s="225">
        <f t="shared" si="1"/>
        <v>0</v>
      </c>
      <c r="K15" s="225">
        <f t="shared" si="1"/>
        <v>0</v>
      </c>
      <c r="L15" s="225">
        <f t="shared" si="1"/>
        <v>0</v>
      </c>
      <c r="M15" s="225">
        <f t="shared" si="1"/>
        <v>0</v>
      </c>
      <c r="N15" s="225">
        <f t="shared" si="1"/>
        <v>0</v>
      </c>
      <c r="O15" s="225">
        <f t="shared" si="1"/>
        <v>0</v>
      </c>
      <c r="P15" s="225">
        <f t="shared" si="1"/>
        <v>0</v>
      </c>
      <c r="Q15" s="225">
        <f t="shared" si="1"/>
        <v>0</v>
      </c>
      <c r="R15" s="225">
        <f t="shared" si="1"/>
        <v>0</v>
      </c>
    </row>
    <row r="16" spans="2:25" x14ac:dyDescent="0.35">
      <c r="B16" s="27"/>
      <c r="D16" s="6"/>
      <c r="E16" s="2" t="s">
        <v>10</v>
      </c>
      <c r="G16" s="311">
        <f>'Điểm hòa vốn'!H87/10^6</f>
        <v>0</v>
      </c>
      <c r="H16" s="225">
        <f t="shared" si="1"/>
        <v>0</v>
      </c>
      <c r="I16" s="225">
        <f t="shared" si="1"/>
        <v>0</v>
      </c>
      <c r="J16" s="225">
        <f t="shared" si="1"/>
        <v>0</v>
      </c>
      <c r="K16" s="225">
        <f t="shared" si="1"/>
        <v>0</v>
      </c>
      <c r="L16" s="225">
        <f t="shared" si="1"/>
        <v>0</v>
      </c>
      <c r="M16" s="225">
        <f t="shared" si="1"/>
        <v>0</v>
      </c>
      <c r="N16" s="225">
        <f t="shared" si="1"/>
        <v>0</v>
      </c>
      <c r="O16" s="225">
        <f t="shared" si="1"/>
        <v>0</v>
      </c>
      <c r="P16" s="225">
        <f t="shared" si="1"/>
        <v>0</v>
      </c>
      <c r="Q16" s="225">
        <f t="shared" si="1"/>
        <v>0</v>
      </c>
      <c r="R16" s="225">
        <f t="shared" si="1"/>
        <v>0</v>
      </c>
    </row>
    <row r="17" spans="2:18" x14ac:dyDescent="0.35">
      <c r="B17" s="27" t="s">
        <v>301</v>
      </c>
      <c r="D17" s="6"/>
      <c r="R17" s="58"/>
    </row>
    <row r="18" spans="2:18" x14ac:dyDescent="0.35">
      <c r="B18" s="27"/>
      <c r="D18" s="6"/>
      <c r="E18" s="2" t="s">
        <v>6</v>
      </c>
      <c r="F18" s="57">
        <f>SUM(G18:R18)</f>
        <v>4781</v>
      </c>
      <c r="G18" s="62">
        <f>'Điểm hòa vốn'!H98</f>
        <v>430</v>
      </c>
      <c r="H18" s="62">
        <v>51</v>
      </c>
      <c r="I18" s="62">
        <f t="shared" ref="I18:R18" si="2">$G18</f>
        <v>430</v>
      </c>
      <c r="J18" s="62">
        <f t="shared" si="2"/>
        <v>430</v>
      </c>
      <c r="K18" s="62">
        <f t="shared" si="2"/>
        <v>430</v>
      </c>
      <c r="L18" s="62">
        <f t="shared" si="2"/>
        <v>430</v>
      </c>
      <c r="M18" s="62">
        <f t="shared" si="2"/>
        <v>430</v>
      </c>
      <c r="N18" s="62">
        <f t="shared" si="2"/>
        <v>430</v>
      </c>
      <c r="O18" s="62">
        <f t="shared" si="2"/>
        <v>430</v>
      </c>
      <c r="P18" s="62">
        <f t="shared" si="2"/>
        <v>430</v>
      </c>
      <c r="Q18" s="62">
        <f t="shared" si="2"/>
        <v>430</v>
      </c>
      <c r="R18" s="62">
        <f t="shared" si="2"/>
        <v>430</v>
      </c>
    </row>
    <row r="19" spans="2:18" x14ac:dyDescent="0.35">
      <c r="B19" s="27"/>
      <c r="D19" s="6"/>
      <c r="E19" s="2" t="s">
        <v>8</v>
      </c>
      <c r="F19" s="57">
        <f>SUM(G19:R19)</f>
        <v>2066</v>
      </c>
      <c r="G19" s="62">
        <f>'Điểm hòa vốn'!H99</f>
        <v>185</v>
      </c>
      <c r="H19" s="62">
        <v>31</v>
      </c>
      <c r="I19" s="62">
        <f t="shared" ref="H19:R22" si="3">$G19</f>
        <v>185</v>
      </c>
      <c r="J19" s="62">
        <f t="shared" si="3"/>
        <v>185</v>
      </c>
      <c r="K19" s="62">
        <f t="shared" si="3"/>
        <v>185</v>
      </c>
      <c r="L19" s="62">
        <f t="shared" si="3"/>
        <v>185</v>
      </c>
      <c r="M19" s="62">
        <f t="shared" si="3"/>
        <v>185</v>
      </c>
      <c r="N19" s="62">
        <f t="shared" si="3"/>
        <v>185</v>
      </c>
      <c r="O19" s="62">
        <f t="shared" si="3"/>
        <v>185</v>
      </c>
      <c r="P19" s="62">
        <f t="shared" si="3"/>
        <v>185</v>
      </c>
      <c r="Q19" s="62">
        <f t="shared" si="3"/>
        <v>185</v>
      </c>
      <c r="R19" s="62">
        <f t="shared" si="3"/>
        <v>185</v>
      </c>
    </row>
    <row r="20" spans="2:18" x14ac:dyDescent="0.35">
      <c r="B20" s="27"/>
      <c r="D20" s="6"/>
      <c r="E20" s="2" t="s">
        <v>7</v>
      </c>
      <c r="F20" s="57">
        <f>SUM(G20:R20)</f>
        <v>0</v>
      </c>
      <c r="G20" s="62">
        <f>'Điểm hòa vốn'!H100</f>
        <v>0</v>
      </c>
      <c r="H20" s="62">
        <f t="shared" si="3"/>
        <v>0</v>
      </c>
      <c r="I20" s="62">
        <f t="shared" si="3"/>
        <v>0</v>
      </c>
      <c r="J20" s="62">
        <f t="shared" si="3"/>
        <v>0</v>
      </c>
      <c r="K20" s="62">
        <f t="shared" si="3"/>
        <v>0</v>
      </c>
      <c r="L20" s="62">
        <f t="shared" si="3"/>
        <v>0</v>
      </c>
      <c r="M20" s="62">
        <f t="shared" si="3"/>
        <v>0</v>
      </c>
      <c r="N20" s="62">
        <f t="shared" si="3"/>
        <v>0</v>
      </c>
      <c r="O20" s="62">
        <f t="shared" si="3"/>
        <v>0</v>
      </c>
      <c r="P20" s="62">
        <f t="shared" si="3"/>
        <v>0</v>
      </c>
      <c r="Q20" s="62">
        <f t="shared" si="3"/>
        <v>0</v>
      </c>
      <c r="R20" s="62">
        <f t="shared" si="3"/>
        <v>0</v>
      </c>
    </row>
    <row r="21" spans="2:18" x14ac:dyDescent="0.35">
      <c r="B21" s="27"/>
      <c r="D21" s="6"/>
      <c r="E21" s="2" t="s">
        <v>9</v>
      </c>
      <c r="F21" s="57">
        <f>SUM(G21:R21)</f>
        <v>0</v>
      </c>
      <c r="G21" s="62">
        <f>'Điểm hòa vốn'!H101</f>
        <v>0</v>
      </c>
      <c r="H21" s="62">
        <f t="shared" si="3"/>
        <v>0</v>
      </c>
      <c r="I21" s="62">
        <f t="shared" si="3"/>
        <v>0</v>
      </c>
      <c r="J21" s="62">
        <f t="shared" si="3"/>
        <v>0</v>
      </c>
      <c r="K21" s="62">
        <f t="shared" si="3"/>
        <v>0</v>
      </c>
      <c r="L21" s="62">
        <f t="shared" si="3"/>
        <v>0</v>
      </c>
      <c r="M21" s="62">
        <f t="shared" si="3"/>
        <v>0</v>
      </c>
      <c r="N21" s="62">
        <f t="shared" si="3"/>
        <v>0</v>
      </c>
      <c r="O21" s="62">
        <f t="shared" si="3"/>
        <v>0</v>
      </c>
      <c r="P21" s="62">
        <f t="shared" si="3"/>
        <v>0</v>
      </c>
      <c r="Q21" s="62">
        <f t="shared" si="3"/>
        <v>0</v>
      </c>
      <c r="R21" s="62">
        <f t="shared" si="3"/>
        <v>0</v>
      </c>
    </row>
    <row r="22" spans="2:18" x14ac:dyDescent="0.35">
      <c r="B22" s="27"/>
      <c r="D22" s="6"/>
      <c r="E22" s="2" t="s">
        <v>10</v>
      </c>
      <c r="F22" s="57">
        <f>SUM(G22:R22)</f>
        <v>0</v>
      </c>
      <c r="G22" s="62">
        <f>'Điểm hòa vốn'!H102</f>
        <v>0</v>
      </c>
      <c r="H22" s="62">
        <f t="shared" si="3"/>
        <v>0</v>
      </c>
      <c r="I22" s="62">
        <f t="shared" si="3"/>
        <v>0</v>
      </c>
      <c r="J22" s="62">
        <f t="shared" si="3"/>
        <v>0</v>
      </c>
      <c r="K22" s="62">
        <f t="shared" si="3"/>
        <v>0</v>
      </c>
      <c r="L22" s="62">
        <f t="shared" si="3"/>
        <v>0</v>
      </c>
      <c r="M22" s="62">
        <f t="shared" si="3"/>
        <v>0</v>
      </c>
      <c r="N22" s="62">
        <f t="shared" si="3"/>
        <v>0</v>
      </c>
      <c r="O22" s="62">
        <f t="shared" si="3"/>
        <v>0</v>
      </c>
      <c r="P22" s="62">
        <f t="shared" si="3"/>
        <v>0</v>
      </c>
      <c r="Q22" s="62">
        <f t="shared" si="3"/>
        <v>0</v>
      </c>
      <c r="R22" s="62">
        <f t="shared" si="3"/>
        <v>0</v>
      </c>
    </row>
    <row r="23" spans="2:18" x14ac:dyDescent="0.35">
      <c r="B23" s="27" t="s">
        <v>314</v>
      </c>
      <c r="D23" s="6"/>
      <c r="R23" s="58"/>
    </row>
    <row r="24" spans="2:18" x14ac:dyDescent="0.35">
      <c r="B24" s="27"/>
      <c r="C24" s="2" t="s">
        <v>23</v>
      </c>
      <c r="D24" s="6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8" x14ac:dyDescent="0.35">
      <c r="B25" s="27"/>
      <c r="D25" s="6"/>
      <c r="E25" s="2" t="s">
        <v>6</v>
      </c>
      <c r="G25" s="57">
        <f>'Điểm hòa vốn'!H58</f>
        <v>32198.546244604571</v>
      </c>
      <c r="H25" s="62">
        <f t="shared" ref="H25:R40" si="4">$G25</f>
        <v>32198.546244604571</v>
      </c>
      <c r="I25" s="62">
        <f t="shared" si="4"/>
        <v>32198.546244604571</v>
      </c>
      <c r="J25" s="62">
        <f t="shared" si="4"/>
        <v>32198.546244604571</v>
      </c>
      <c r="K25" s="62">
        <f t="shared" si="4"/>
        <v>32198.546244604571</v>
      </c>
      <c r="L25" s="62">
        <f t="shared" si="4"/>
        <v>32198.546244604571</v>
      </c>
      <c r="M25" s="62">
        <f t="shared" si="4"/>
        <v>32198.546244604571</v>
      </c>
      <c r="N25" s="62">
        <f t="shared" si="4"/>
        <v>32198.546244604571</v>
      </c>
      <c r="O25" s="62">
        <f t="shared" si="4"/>
        <v>32198.546244604571</v>
      </c>
      <c r="P25" s="62">
        <f t="shared" si="4"/>
        <v>32198.546244604571</v>
      </c>
      <c r="Q25" s="62">
        <f t="shared" si="4"/>
        <v>32198.546244604571</v>
      </c>
      <c r="R25" s="62">
        <f t="shared" si="4"/>
        <v>32198.546244604571</v>
      </c>
    </row>
    <row r="26" spans="2:18" x14ac:dyDescent="0.35">
      <c r="B26" s="27"/>
      <c r="D26" s="6"/>
      <c r="E26" s="2" t="s">
        <v>8</v>
      </c>
      <c r="G26" s="57">
        <f>'Điểm hòa vốn'!H59</f>
        <v>29418.047238254516</v>
      </c>
      <c r="H26" s="62">
        <f t="shared" si="4"/>
        <v>29418.047238254516</v>
      </c>
      <c r="I26" s="62">
        <f t="shared" si="4"/>
        <v>29418.047238254516</v>
      </c>
      <c r="J26" s="62">
        <f t="shared" si="4"/>
        <v>29418.047238254516</v>
      </c>
      <c r="K26" s="62">
        <f t="shared" si="4"/>
        <v>29418.047238254516</v>
      </c>
      <c r="L26" s="62">
        <f t="shared" si="4"/>
        <v>29418.047238254516</v>
      </c>
      <c r="M26" s="62">
        <f t="shared" si="4"/>
        <v>29418.047238254516</v>
      </c>
      <c r="N26" s="62">
        <f t="shared" si="4"/>
        <v>29418.047238254516</v>
      </c>
      <c r="O26" s="62">
        <f t="shared" si="4"/>
        <v>29418.047238254516</v>
      </c>
      <c r="P26" s="62">
        <f t="shared" si="4"/>
        <v>29418.047238254516</v>
      </c>
      <c r="Q26" s="62">
        <f t="shared" si="4"/>
        <v>29418.047238254516</v>
      </c>
      <c r="R26" s="62">
        <f t="shared" si="4"/>
        <v>29418.047238254516</v>
      </c>
    </row>
    <row r="27" spans="2:18" x14ac:dyDescent="0.35">
      <c r="B27" s="27"/>
      <c r="D27" s="6"/>
      <c r="E27" s="2" t="s">
        <v>7</v>
      </c>
      <c r="G27" s="57">
        <f>'Điểm hòa vốn'!H60</f>
        <v>0</v>
      </c>
      <c r="H27" s="62">
        <f t="shared" si="4"/>
        <v>0</v>
      </c>
      <c r="I27" s="62">
        <f t="shared" si="4"/>
        <v>0</v>
      </c>
      <c r="J27" s="62">
        <f t="shared" si="4"/>
        <v>0</v>
      </c>
      <c r="K27" s="62">
        <f t="shared" si="4"/>
        <v>0</v>
      </c>
      <c r="L27" s="62">
        <f t="shared" si="4"/>
        <v>0</v>
      </c>
      <c r="M27" s="62">
        <f t="shared" si="4"/>
        <v>0</v>
      </c>
      <c r="N27" s="62">
        <f t="shared" si="4"/>
        <v>0</v>
      </c>
      <c r="O27" s="62">
        <f t="shared" si="4"/>
        <v>0</v>
      </c>
      <c r="P27" s="62">
        <f t="shared" si="4"/>
        <v>0</v>
      </c>
      <c r="Q27" s="62">
        <f t="shared" si="4"/>
        <v>0</v>
      </c>
      <c r="R27" s="62">
        <f t="shared" si="4"/>
        <v>0</v>
      </c>
    </row>
    <row r="28" spans="2:18" x14ac:dyDescent="0.35">
      <c r="B28" s="27"/>
      <c r="D28" s="6"/>
      <c r="E28" s="2" t="s">
        <v>9</v>
      </c>
      <c r="G28" s="57">
        <f>'Điểm hòa vốn'!H61</f>
        <v>0</v>
      </c>
      <c r="H28" s="62">
        <f t="shared" si="4"/>
        <v>0</v>
      </c>
      <c r="I28" s="62">
        <f t="shared" si="4"/>
        <v>0</v>
      </c>
      <c r="J28" s="62">
        <f t="shared" si="4"/>
        <v>0</v>
      </c>
      <c r="K28" s="62">
        <f t="shared" si="4"/>
        <v>0</v>
      </c>
      <c r="L28" s="62">
        <f t="shared" si="4"/>
        <v>0</v>
      </c>
      <c r="M28" s="62">
        <f t="shared" si="4"/>
        <v>0</v>
      </c>
      <c r="N28" s="62">
        <f t="shared" si="4"/>
        <v>0</v>
      </c>
      <c r="O28" s="62">
        <f t="shared" si="4"/>
        <v>0</v>
      </c>
      <c r="P28" s="62">
        <f t="shared" si="4"/>
        <v>0</v>
      </c>
      <c r="Q28" s="62">
        <f t="shared" si="4"/>
        <v>0</v>
      </c>
      <c r="R28" s="62">
        <f t="shared" si="4"/>
        <v>0</v>
      </c>
    </row>
    <row r="29" spans="2:18" x14ac:dyDescent="0.35">
      <c r="B29" s="27"/>
      <c r="D29" s="6"/>
      <c r="E29" s="2" t="s">
        <v>10</v>
      </c>
      <c r="G29" s="57">
        <f>'Điểm hòa vốn'!H62</f>
        <v>0</v>
      </c>
      <c r="H29" s="62">
        <f t="shared" si="4"/>
        <v>0</v>
      </c>
      <c r="I29" s="62">
        <f t="shared" si="4"/>
        <v>0</v>
      </c>
      <c r="J29" s="62">
        <f t="shared" si="4"/>
        <v>0</v>
      </c>
      <c r="K29" s="62">
        <f t="shared" si="4"/>
        <v>0</v>
      </c>
      <c r="L29" s="62">
        <f t="shared" si="4"/>
        <v>0</v>
      </c>
      <c r="M29" s="62">
        <f t="shared" si="4"/>
        <v>0</v>
      </c>
      <c r="N29" s="62">
        <f t="shared" si="4"/>
        <v>0</v>
      </c>
      <c r="O29" s="62">
        <f t="shared" si="4"/>
        <v>0</v>
      </c>
      <c r="P29" s="62">
        <f t="shared" si="4"/>
        <v>0</v>
      </c>
      <c r="Q29" s="62">
        <f t="shared" si="4"/>
        <v>0</v>
      </c>
      <c r="R29" s="62">
        <f t="shared" si="4"/>
        <v>0</v>
      </c>
    </row>
    <row r="30" spans="2:18" x14ac:dyDescent="0.35">
      <c r="B30" s="27"/>
      <c r="C30" s="2" t="s">
        <v>417</v>
      </c>
      <c r="D30" s="6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</row>
    <row r="31" spans="2:18" x14ac:dyDescent="0.35">
      <c r="B31" s="27"/>
      <c r="D31" s="6"/>
      <c r="E31" s="2" t="s">
        <v>6</v>
      </c>
      <c r="G31" s="57">
        <f>'Điểm hòa vốn'!H67</f>
        <v>90000</v>
      </c>
      <c r="H31" s="62">
        <f t="shared" si="4"/>
        <v>90000</v>
      </c>
      <c r="I31" s="62">
        <f t="shared" si="4"/>
        <v>90000</v>
      </c>
      <c r="J31" s="62">
        <f t="shared" si="4"/>
        <v>90000</v>
      </c>
      <c r="K31" s="62">
        <f t="shared" si="4"/>
        <v>90000</v>
      </c>
      <c r="L31" s="62">
        <f t="shared" si="4"/>
        <v>90000</v>
      </c>
      <c r="M31" s="62">
        <f t="shared" si="4"/>
        <v>90000</v>
      </c>
      <c r="N31" s="62">
        <f t="shared" si="4"/>
        <v>90000</v>
      </c>
      <c r="O31" s="62">
        <f t="shared" si="4"/>
        <v>90000</v>
      </c>
      <c r="P31" s="62">
        <f t="shared" si="4"/>
        <v>90000</v>
      </c>
      <c r="Q31" s="62">
        <f t="shared" si="4"/>
        <v>90000</v>
      </c>
      <c r="R31" s="62">
        <f t="shared" si="4"/>
        <v>90000</v>
      </c>
    </row>
    <row r="32" spans="2:18" x14ac:dyDescent="0.35">
      <c r="B32" s="27"/>
      <c r="D32" s="6"/>
      <c r="E32" s="2" t="s">
        <v>8</v>
      </c>
      <c r="G32" s="57">
        <f>'Điểm hòa vốn'!H68</f>
        <v>50000</v>
      </c>
      <c r="H32" s="62">
        <f t="shared" si="4"/>
        <v>50000</v>
      </c>
      <c r="I32" s="62">
        <f t="shared" si="4"/>
        <v>50000</v>
      </c>
      <c r="J32" s="62">
        <f t="shared" si="4"/>
        <v>50000</v>
      </c>
      <c r="K32" s="62">
        <f t="shared" si="4"/>
        <v>50000</v>
      </c>
      <c r="L32" s="62">
        <f t="shared" si="4"/>
        <v>50000</v>
      </c>
      <c r="M32" s="62">
        <f t="shared" si="4"/>
        <v>50000</v>
      </c>
      <c r="N32" s="62">
        <f t="shared" si="4"/>
        <v>50000</v>
      </c>
      <c r="O32" s="62">
        <f t="shared" si="4"/>
        <v>50000</v>
      </c>
      <c r="P32" s="62">
        <f t="shared" si="4"/>
        <v>50000</v>
      </c>
      <c r="Q32" s="62">
        <f t="shared" si="4"/>
        <v>50000</v>
      </c>
      <c r="R32" s="62">
        <f t="shared" si="4"/>
        <v>50000</v>
      </c>
    </row>
    <row r="33" spans="2:25" x14ac:dyDescent="0.35">
      <c r="B33" s="27"/>
      <c r="D33" s="6"/>
      <c r="E33" s="2" t="s">
        <v>7</v>
      </c>
      <c r="G33" s="57">
        <f>'Điểm hòa vốn'!H69</f>
        <v>0</v>
      </c>
      <c r="H33" s="62">
        <f t="shared" si="4"/>
        <v>0</v>
      </c>
      <c r="I33" s="62">
        <f t="shared" si="4"/>
        <v>0</v>
      </c>
      <c r="J33" s="62">
        <f t="shared" si="4"/>
        <v>0</v>
      </c>
      <c r="K33" s="62">
        <f t="shared" si="4"/>
        <v>0</v>
      </c>
      <c r="L33" s="62">
        <f t="shared" si="4"/>
        <v>0</v>
      </c>
      <c r="M33" s="62">
        <f t="shared" si="4"/>
        <v>0</v>
      </c>
      <c r="N33" s="62">
        <f t="shared" si="4"/>
        <v>0</v>
      </c>
      <c r="O33" s="62">
        <f t="shared" si="4"/>
        <v>0</v>
      </c>
      <c r="P33" s="62">
        <f t="shared" si="4"/>
        <v>0</v>
      </c>
      <c r="Q33" s="62">
        <f t="shared" si="4"/>
        <v>0</v>
      </c>
      <c r="R33" s="62">
        <f t="shared" si="4"/>
        <v>0</v>
      </c>
    </row>
    <row r="34" spans="2:25" x14ac:dyDescent="0.35">
      <c r="B34" s="27"/>
      <c r="C34" s="2" t="s">
        <v>612</v>
      </c>
      <c r="D34" s="6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</row>
    <row r="35" spans="2:25" x14ac:dyDescent="0.35">
      <c r="B35" s="27"/>
      <c r="D35" s="6"/>
      <c r="E35" s="2" t="s">
        <v>6</v>
      </c>
      <c r="G35" s="57">
        <f>'Điểm hòa vốn'!H71</f>
        <v>300000</v>
      </c>
      <c r="H35" s="62">
        <f t="shared" si="4"/>
        <v>300000</v>
      </c>
      <c r="I35" s="62">
        <f t="shared" si="4"/>
        <v>300000</v>
      </c>
      <c r="J35" s="62">
        <f t="shared" si="4"/>
        <v>300000</v>
      </c>
      <c r="K35" s="62">
        <f t="shared" si="4"/>
        <v>300000</v>
      </c>
      <c r="L35" s="62">
        <f t="shared" si="4"/>
        <v>300000</v>
      </c>
      <c r="M35" s="62">
        <f t="shared" si="4"/>
        <v>300000</v>
      </c>
      <c r="N35" s="62">
        <f t="shared" si="4"/>
        <v>300000</v>
      </c>
      <c r="O35" s="62">
        <f t="shared" si="4"/>
        <v>300000</v>
      </c>
      <c r="P35" s="62">
        <f t="shared" si="4"/>
        <v>300000</v>
      </c>
      <c r="Q35" s="62">
        <f t="shared" si="4"/>
        <v>300000</v>
      </c>
      <c r="R35" s="62">
        <f t="shared" si="4"/>
        <v>300000</v>
      </c>
    </row>
    <row r="36" spans="2:25" x14ac:dyDescent="0.35">
      <c r="B36" s="27"/>
      <c r="D36" s="6"/>
      <c r="E36" s="2" t="s">
        <v>8</v>
      </c>
      <c r="G36" s="57">
        <f>'Điểm hòa vốn'!H72</f>
        <v>200000</v>
      </c>
      <c r="H36" s="62">
        <f t="shared" si="4"/>
        <v>200000</v>
      </c>
      <c r="I36" s="62">
        <f t="shared" si="4"/>
        <v>200000</v>
      </c>
      <c r="J36" s="62">
        <f t="shared" si="4"/>
        <v>200000</v>
      </c>
      <c r="K36" s="62">
        <f t="shared" si="4"/>
        <v>200000</v>
      </c>
      <c r="L36" s="62">
        <f t="shared" si="4"/>
        <v>200000</v>
      </c>
      <c r="M36" s="62">
        <f t="shared" si="4"/>
        <v>200000</v>
      </c>
      <c r="N36" s="62">
        <f t="shared" si="4"/>
        <v>200000</v>
      </c>
      <c r="O36" s="62">
        <f t="shared" si="4"/>
        <v>200000</v>
      </c>
      <c r="P36" s="62">
        <f t="shared" si="4"/>
        <v>200000</v>
      </c>
      <c r="Q36" s="62">
        <f t="shared" si="4"/>
        <v>200000</v>
      </c>
      <c r="R36" s="62">
        <f t="shared" si="4"/>
        <v>200000</v>
      </c>
    </row>
    <row r="37" spans="2:25" x14ac:dyDescent="0.35">
      <c r="B37" s="27"/>
      <c r="D37" s="6"/>
      <c r="E37" s="2" t="s">
        <v>7</v>
      </c>
      <c r="G37" s="57">
        <f>'Điểm hòa vốn'!H73</f>
        <v>0</v>
      </c>
      <c r="H37" s="62">
        <f t="shared" si="4"/>
        <v>0</v>
      </c>
      <c r="I37" s="62">
        <f t="shared" si="4"/>
        <v>0</v>
      </c>
      <c r="J37" s="62">
        <f t="shared" si="4"/>
        <v>0</v>
      </c>
      <c r="K37" s="62">
        <f t="shared" si="4"/>
        <v>0</v>
      </c>
      <c r="L37" s="62">
        <f t="shared" si="4"/>
        <v>0</v>
      </c>
      <c r="M37" s="62">
        <f t="shared" si="4"/>
        <v>0</v>
      </c>
      <c r="N37" s="62">
        <f t="shared" si="4"/>
        <v>0</v>
      </c>
      <c r="O37" s="62">
        <f t="shared" si="4"/>
        <v>0</v>
      </c>
      <c r="P37" s="62">
        <f t="shared" si="4"/>
        <v>0</v>
      </c>
      <c r="Q37" s="62">
        <f t="shared" si="4"/>
        <v>0</v>
      </c>
      <c r="R37" s="62">
        <f t="shared" si="4"/>
        <v>0</v>
      </c>
    </row>
    <row r="38" spans="2:25" x14ac:dyDescent="0.35">
      <c r="B38" s="27"/>
      <c r="C38" s="2" t="s">
        <v>28</v>
      </c>
      <c r="D38" s="6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</row>
    <row r="39" spans="2:25" x14ac:dyDescent="0.35">
      <c r="B39" s="27"/>
      <c r="D39" s="6"/>
      <c r="E39" s="2" t="s">
        <v>6</v>
      </c>
      <c r="G39" s="57">
        <f>'Điểm hòa vốn'!H75</f>
        <v>115000</v>
      </c>
      <c r="H39" s="62">
        <f t="shared" si="4"/>
        <v>115000</v>
      </c>
      <c r="I39" s="62">
        <f t="shared" si="4"/>
        <v>115000</v>
      </c>
      <c r="J39" s="62">
        <f t="shared" si="4"/>
        <v>115000</v>
      </c>
      <c r="K39" s="62">
        <f t="shared" si="4"/>
        <v>115000</v>
      </c>
      <c r="L39" s="62">
        <f t="shared" si="4"/>
        <v>115000</v>
      </c>
      <c r="M39" s="62">
        <f t="shared" si="4"/>
        <v>115000</v>
      </c>
      <c r="N39" s="62">
        <f t="shared" si="4"/>
        <v>115000</v>
      </c>
      <c r="O39" s="62">
        <f t="shared" si="4"/>
        <v>115000</v>
      </c>
      <c r="P39" s="62">
        <f t="shared" si="4"/>
        <v>115000</v>
      </c>
      <c r="Q39" s="62">
        <f t="shared" si="4"/>
        <v>115000</v>
      </c>
      <c r="R39" s="62">
        <f t="shared" si="4"/>
        <v>115000</v>
      </c>
    </row>
    <row r="40" spans="2:25" x14ac:dyDescent="0.35">
      <c r="B40" s="27"/>
      <c r="D40" s="6"/>
      <c r="E40" s="2" t="s">
        <v>8</v>
      </c>
      <c r="G40" s="57">
        <f>'Điểm hòa vốn'!H76</f>
        <v>115000</v>
      </c>
      <c r="H40" s="62">
        <f t="shared" si="4"/>
        <v>115000</v>
      </c>
      <c r="I40" s="62">
        <f t="shared" si="4"/>
        <v>115000</v>
      </c>
      <c r="J40" s="62">
        <f t="shared" si="4"/>
        <v>115000</v>
      </c>
      <c r="K40" s="62">
        <f t="shared" si="4"/>
        <v>115000</v>
      </c>
      <c r="L40" s="62">
        <f t="shared" si="4"/>
        <v>115000</v>
      </c>
      <c r="M40" s="62">
        <f t="shared" si="4"/>
        <v>115000</v>
      </c>
      <c r="N40" s="62">
        <f t="shared" si="4"/>
        <v>115000</v>
      </c>
      <c r="O40" s="62">
        <f t="shared" si="4"/>
        <v>115000</v>
      </c>
      <c r="P40" s="62">
        <f t="shared" si="4"/>
        <v>115000</v>
      </c>
      <c r="Q40" s="62">
        <f t="shared" si="4"/>
        <v>115000</v>
      </c>
      <c r="R40" s="62">
        <f t="shared" si="4"/>
        <v>115000</v>
      </c>
    </row>
    <row r="41" spans="2:25" x14ac:dyDescent="0.35">
      <c r="B41" s="27"/>
      <c r="D41" s="6"/>
      <c r="E41" s="2" t="s">
        <v>7</v>
      </c>
      <c r="G41" s="57">
        <f>'Điểm hòa vốn'!H77</f>
        <v>0</v>
      </c>
      <c r="H41" s="62">
        <f t="shared" ref="H41:R42" si="5">$G41</f>
        <v>0</v>
      </c>
      <c r="I41" s="62">
        <f t="shared" si="5"/>
        <v>0</v>
      </c>
      <c r="J41" s="62">
        <f t="shared" si="5"/>
        <v>0</v>
      </c>
      <c r="K41" s="62">
        <f t="shared" si="5"/>
        <v>0</v>
      </c>
      <c r="L41" s="62">
        <f t="shared" si="5"/>
        <v>0</v>
      </c>
      <c r="M41" s="62">
        <f t="shared" si="5"/>
        <v>0</v>
      </c>
      <c r="N41" s="62">
        <f t="shared" si="5"/>
        <v>0</v>
      </c>
      <c r="O41" s="62">
        <f t="shared" si="5"/>
        <v>0</v>
      </c>
      <c r="P41" s="62">
        <f t="shared" si="5"/>
        <v>0</v>
      </c>
      <c r="Q41" s="62">
        <f t="shared" si="5"/>
        <v>0</v>
      </c>
      <c r="R41" s="62">
        <f t="shared" si="5"/>
        <v>0</v>
      </c>
    </row>
    <row r="42" spans="2:25" x14ac:dyDescent="0.35">
      <c r="B42" s="27"/>
      <c r="D42" s="6"/>
      <c r="E42" s="2" t="s">
        <v>9</v>
      </c>
      <c r="G42" s="57">
        <f>'Điểm hòa vốn'!H78</f>
        <v>0</v>
      </c>
      <c r="H42" s="62">
        <f t="shared" si="5"/>
        <v>0</v>
      </c>
      <c r="I42" s="62">
        <f t="shared" si="5"/>
        <v>0</v>
      </c>
      <c r="J42" s="62">
        <f t="shared" si="5"/>
        <v>0</v>
      </c>
      <c r="K42" s="62">
        <f t="shared" si="5"/>
        <v>0</v>
      </c>
      <c r="L42" s="62">
        <f t="shared" si="5"/>
        <v>0</v>
      </c>
      <c r="M42" s="62">
        <f t="shared" si="5"/>
        <v>0</v>
      </c>
      <c r="N42" s="62">
        <f t="shared" si="5"/>
        <v>0</v>
      </c>
      <c r="O42" s="62">
        <f t="shared" si="5"/>
        <v>0</v>
      </c>
      <c r="P42" s="62">
        <f t="shared" si="5"/>
        <v>0</v>
      </c>
      <c r="Q42" s="62">
        <f t="shared" si="5"/>
        <v>0</v>
      </c>
      <c r="R42" s="62">
        <f t="shared" si="5"/>
        <v>0</v>
      </c>
    </row>
    <row r="43" spans="2:25" x14ac:dyDescent="0.35">
      <c r="B43" s="27" t="s">
        <v>11</v>
      </c>
      <c r="D43" s="6"/>
      <c r="R43" s="58"/>
    </row>
    <row r="44" spans="2:25" outlineLevel="1" x14ac:dyDescent="0.35">
      <c r="E44" s="2" t="s">
        <v>6</v>
      </c>
      <c r="F44" s="57">
        <f>SUM(G44:R44)</f>
        <v>9562</v>
      </c>
      <c r="G44" s="62">
        <f t="shared" ref="G44:R45" si="6">G12*G18</f>
        <v>860</v>
      </c>
      <c r="H44" s="62">
        <f t="shared" si="6"/>
        <v>102</v>
      </c>
      <c r="I44" s="62">
        <f t="shared" si="6"/>
        <v>860</v>
      </c>
      <c r="J44" s="62">
        <f t="shared" si="6"/>
        <v>860</v>
      </c>
      <c r="K44" s="62">
        <f t="shared" si="6"/>
        <v>860</v>
      </c>
      <c r="L44" s="62">
        <f t="shared" si="6"/>
        <v>860</v>
      </c>
      <c r="M44" s="62">
        <f t="shared" si="6"/>
        <v>860</v>
      </c>
      <c r="N44" s="62">
        <f t="shared" si="6"/>
        <v>860</v>
      </c>
      <c r="O44" s="62">
        <f t="shared" si="6"/>
        <v>860</v>
      </c>
      <c r="P44" s="62">
        <f t="shared" si="6"/>
        <v>860</v>
      </c>
      <c r="Q44" s="62">
        <f t="shared" si="6"/>
        <v>860</v>
      </c>
      <c r="R44" s="62">
        <f t="shared" si="6"/>
        <v>860</v>
      </c>
      <c r="S44" s="62"/>
      <c r="T44" s="62"/>
      <c r="U44" s="57"/>
      <c r="V44" s="96"/>
      <c r="W44" s="97"/>
      <c r="Y44" s="57"/>
    </row>
    <row r="45" spans="2:25" outlineLevel="1" x14ac:dyDescent="0.35">
      <c r="E45" s="2" t="s">
        <v>8</v>
      </c>
      <c r="F45" s="57">
        <f>SUM(G45:R45)</f>
        <v>2066</v>
      </c>
      <c r="G45" s="62">
        <f>G13*G19</f>
        <v>185</v>
      </c>
      <c r="H45" s="62">
        <f t="shared" si="6"/>
        <v>31</v>
      </c>
      <c r="I45" s="62">
        <f t="shared" si="6"/>
        <v>185</v>
      </c>
      <c r="J45" s="62">
        <f t="shared" si="6"/>
        <v>185</v>
      </c>
      <c r="K45" s="62">
        <f t="shared" si="6"/>
        <v>185</v>
      </c>
      <c r="L45" s="62">
        <f t="shared" si="6"/>
        <v>185</v>
      </c>
      <c r="M45" s="62">
        <f t="shared" si="6"/>
        <v>185</v>
      </c>
      <c r="N45" s="62">
        <f t="shared" si="6"/>
        <v>185</v>
      </c>
      <c r="O45" s="62">
        <f t="shared" si="6"/>
        <v>185</v>
      </c>
      <c r="P45" s="62">
        <f t="shared" si="6"/>
        <v>185</v>
      </c>
      <c r="Q45" s="62">
        <f t="shared" si="6"/>
        <v>185</v>
      </c>
      <c r="R45" s="62">
        <f t="shared" si="6"/>
        <v>185</v>
      </c>
      <c r="S45" s="62"/>
      <c r="T45" s="62"/>
      <c r="U45" s="57"/>
      <c r="V45" s="96"/>
      <c r="W45" s="97"/>
      <c r="Y45" s="57"/>
    </row>
    <row r="46" spans="2:25" outlineLevel="1" x14ac:dyDescent="0.35">
      <c r="E46" s="2" t="s">
        <v>7</v>
      </c>
      <c r="F46" s="57">
        <f>SUM(G46:R46)</f>
        <v>0</v>
      </c>
      <c r="G46" s="62">
        <f t="shared" ref="G46:R48" si="7">G14*G20</f>
        <v>0</v>
      </c>
      <c r="H46" s="62">
        <f t="shared" si="7"/>
        <v>0</v>
      </c>
      <c r="I46" s="62">
        <f t="shared" si="7"/>
        <v>0</v>
      </c>
      <c r="J46" s="62">
        <f t="shared" si="7"/>
        <v>0</v>
      </c>
      <c r="K46" s="62">
        <f t="shared" si="7"/>
        <v>0</v>
      </c>
      <c r="L46" s="62">
        <f t="shared" si="7"/>
        <v>0</v>
      </c>
      <c r="M46" s="62">
        <f t="shared" si="7"/>
        <v>0</v>
      </c>
      <c r="N46" s="62">
        <f t="shared" si="7"/>
        <v>0</v>
      </c>
      <c r="O46" s="62">
        <f t="shared" si="7"/>
        <v>0</v>
      </c>
      <c r="P46" s="62">
        <f t="shared" si="7"/>
        <v>0</v>
      </c>
      <c r="Q46" s="62">
        <f t="shared" si="7"/>
        <v>0</v>
      </c>
      <c r="R46" s="62">
        <f t="shared" si="7"/>
        <v>0</v>
      </c>
      <c r="S46" s="62"/>
      <c r="T46" s="62"/>
      <c r="U46" s="57"/>
      <c r="V46" s="96"/>
      <c r="W46" s="97"/>
      <c r="Y46" s="57"/>
    </row>
    <row r="47" spans="2:25" outlineLevel="1" x14ac:dyDescent="0.35">
      <c r="E47" s="2" t="s">
        <v>9</v>
      </c>
      <c r="F47" s="57">
        <f>SUM(G47:R47)</f>
        <v>0</v>
      </c>
      <c r="G47" s="62">
        <f t="shared" si="7"/>
        <v>0</v>
      </c>
      <c r="H47" s="62">
        <f t="shared" si="7"/>
        <v>0</v>
      </c>
      <c r="I47" s="62">
        <f t="shared" si="7"/>
        <v>0</v>
      </c>
      <c r="J47" s="62">
        <f t="shared" si="7"/>
        <v>0</v>
      </c>
      <c r="K47" s="62">
        <f t="shared" si="7"/>
        <v>0</v>
      </c>
      <c r="L47" s="62">
        <f t="shared" si="7"/>
        <v>0</v>
      </c>
      <c r="M47" s="62">
        <f t="shared" si="7"/>
        <v>0</v>
      </c>
      <c r="N47" s="62">
        <f t="shared" si="7"/>
        <v>0</v>
      </c>
      <c r="O47" s="62">
        <f t="shared" si="7"/>
        <v>0</v>
      </c>
      <c r="P47" s="62">
        <f t="shared" si="7"/>
        <v>0</v>
      </c>
      <c r="Q47" s="62">
        <f t="shared" si="7"/>
        <v>0</v>
      </c>
      <c r="R47" s="62">
        <f t="shared" si="7"/>
        <v>0</v>
      </c>
      <c r="S47" s="62"/>
      <c r="T47" s="62"/>
      <c r="U47" s="57"/>
      <c r="V47" s="96"/>
      <c r="W47" s="97"/>
      <c r="Y47" s="57"/>
    </row>
    <row r="48" spans="2:25" outlineLevel="1" x14ac:dyDescent="0.35">
      <c r="E48" s="2" t="s">
        <v>10</v>
      </c>
      <c r="F48" s="57">
        <f>SUM(G48:R48)</f>
        <v>0</v>
      </c>
      <c r="G48" s="62">
        <f t="shared" si="7"/>
        <v>0</v>
      </c>
      <c r="H48" s="62">
        <f t="shared" si="7"/>
        <v>0</v>
      </c>
      <c r="I48" s="62">
        <f t="shared" si="7"/>
        <v>0</v>
      </c>
      <c r="J48" s="62">
        <f t="shared" si="7"/>
        <v>0</v>
      </c>
      <c r="K48" s="62">
        <f t="shared" si="7"/>
        <v>0</v>
      </c>
      <c r="L48" s="62">
        <f t="shared" si="7"/>
        <v>0</v>
      </c>
      <c r="M48" s="62">
        <f t="shared" si="7"/>
        <v>0</v>
      </c>
      <c r="N48" s="62">
        <f t="shared" si="7"/>
        <v>0</v>
      </c>
      <c r="O48" s="62">
        <f t="shared" si="7"/>
        <v>0</v>
      </c>
      <c r="P48" s="62">
        <f t="shared" si="7"/>
        <v>0</v>
      </c>
      <c r="Q48" s="62">
        <f t="shared" si="7"/>
        <v>0</v>
      </c>
      <c r="R48" s="62">
        <f t="shared" si="7"/>
        <v>0</v>
      </c>
      <c r="S48" s="62"/>
      <c r="T48" s="62"/>
      <c r="U48" s="57"/>
      <c r="V48" s="96"/>
      <c r="W48" s="97"/>
      <c r="Y48" s="57"/>
    </row>
    <row r="49" spans="2:25" outlineLevel="1" x14ac:dyDescent="0.35">
      <c r="C49" s="309" t="s">
        <v>353</v>
      </c>
      <c r="D49" s="308"/>
      <c r="E49" s="308"/>
      <c r="F49" s="310">
        <f>SUM(F44:F48)</f>
        <v>11628</v>
      </c>
      <c r="G49" s="310">
        <f t="shared" ref="G49:R49" si="8">SUM(G44:G48)</f>
        <v>1045</v>
      </c>
      <c r="H49" s="310">
        <f t="shared" si="8"/>
        <v>133</v>
      </c>
      <c r="I49" s="310">
        <f t="shared" si="8"/>
        <v>1045</v>
      </c>
      <c r="J49" s="310">
        <f t="shared" si="8"/>
        <v>1045</v>
      </c>
      <c r="K49" s="310">
        <f t="shared" si="8"/>
        <v>1045</v>
      </c>
      <c r="L49" s="310">
        <f t="shared" si="8"/>
        <v>1045</v>
      </c>
      <c r="M49" s="310">
        <f t="shared" si="8"/>
        <v>1045</v>
      </c>
      <c r="N49" s="310">
        <f t="shared" si="8"/>
        <v>1045</v>
      </c>
      <c r="O49" s="310">
        <f t="shared" si="8"/>
        <v>1045</v>
      </c>
      <c r="P49" s="310">
        <f t="shared" si="8"/>
        <v>1045</v>
      </c>
      <c r="Q49" s="310">
        <f t="shared" si="8"/>
        <v>1045</v>
      </c>
      <c r="R49" s="310">
        <f t="shared" si="8"/>
        <v>1045</v>
      </c>
      <c r="S49" s="62"/>
      <c r="T49" s="62"/>
      <c r="U49" s="57"/>
      <c r="V49" s="96"/>
      <c r="W49" s="97"/>
      <c r="Y49" s="57"/>
    </row>
    <row r="50" spans="2:25" x14ac:dyDescent="0.35">
      <c r="B50" s="27" t="s">
        <v>307</v>
      </c>
      <c r="D50" s="55"/>
      <c r="F50" s="58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59"/>
      <c r="S50" s="59"/>
      <c r="T50" s="59"/>
      <c r="U50" s="59"/>
      <c r="V50" s="118"/>
      <c r="Y50" s="59"/>
    </row>
    <row r="51" spans="2:25" x14ac:dyDescent="0.35">
      <c r="B51" s="27"/>
      <c r="D51" s="55"/>
      <c r="E51" s="2" t="s">
        <v>23</v>
      </c>
      <c r="F51" s="57">
        <f t="shared" ref="F51:F59" si="9">SUM(G51:R51)</f>
        <v>214.71893518968824</v>
      </c>
      <c r="G51" s="195">
        <f>SUMPRODUCT(G25:G29,G18:G22)/10^6</f>
        <v>19.287713624257051</v>
      </c>
      <c r="H51" s="195">
        <f t="shared" ref="H51:R51" si="10">SUMPRODUCT(H25:H29,H18:H22)/10^6</f>
        <v>2.5540853228607232</v>
      </c>
      <c r="I51" s="195">
        <f t="shared" si="10"/>
        <v>19.287713624257051</v>
      </c>
      <c r="J51" s="195">
        <f t="shared" si="10"/>
        <v>19.287713624257051</v>
      </c>
      <c r="K51" s="195">
        <f t="shared" si="10"/>
        <v>19.287713624257051</v>
      </c>
      <c r="L51" s="195">
        <f t="shared" si="10"/>
        <v>19.287713624257051</v>
      </c>
      <c r="M51" s="195">
        <f t="shared" si="10"/>
        <v>19.287713624257051</v>
      </c>
      <c r="N51" s="195">
        <f t="shared" si="10"/>
        <v>19.287713624257051</v>
      </c>
      <c r="O51" s="195">
        <f t="shared" si="10"/>
        <v>19.287713624257051</v>
      </c>
      <c r="P51" s="195">
        <f t="shared" si="10"/>
        <v>19.287713624257051</v>
      </c>
      <c r="Q51" s="195">
        <f t="shared" si="10"/>
        <v>19.287713624257051</v>
      </c>
      <c r="R51" s="195">
        <f t="shared" si="10"/>
        <v>19.287713624257051</v>
      </c>
      <c r="S51" s="59"/>
      <c r="T51" s="59"/>
      <c r="U51" s="59"/>
      <c r="V51" s="118"/>
      <c r="Y51" s="59"/>
    </row>
    <row r="52" spans="2:25" x14ac:dyDescent="0.35">
      <c r="C52" s="6"/>
      <c r="D52" s="6"/>
      <c r="E52" s="2" t="s">
        <v>179</v>
      </c>
      <c r="F52" s="57">
        <f t="shared" si="9"/>
        <v>533.58999999999992</v>
      </c>
      <c r="G52" s="195">
        <f>SUMPRODUCT(G31:G33,G18:G20)/10^6</f>
        <v>47.95</v>
      </c>
      <c r="H52" s="195">
        <f t="shared" ref="H52:R52" si="11">SUMPRODUCT(H31:H33,H18:H20)/10^6</f>
        <v>6.14</v>
      </c>
      <c r="I52" s="195">
        <f t="shared" si="11"/>
        <v>47.95</v>
      </c>
      <c r="J52" s="195">
        <f t="shared" si="11"/>
        <v>47.95</v>
      </c>
      <c r="K52" s="195">
        <f t="shared" si="11"/>
        <v>47.95</v>
      </c>
      <c r="L52" s="195">
        <f t="shared" si="11"/>
        <v>47.95</v>
      </c>
      <c r="M52" s="195">
        <f t="shared" si="11"/>
        <v>47.95</v>
      </c>
      <c r="N52" s="195">
        <f t="shared" si="11"/>
        <v>47.95</v>
      </c>
      <c r="O52" s="195">
        <f t="shared" si="11"/>
        <v>47.95</v>
      </c>
      <c r="P52" s="195">
        <f t="shared" si="11"/>
        <v>47.95</v>
      </c>
      <c r="Q52" s="195">
        <f t="shared" si="11"/>
        <v>47.95</v>
      </c>
      <c r="R52" s="195">
        <f t="shared" si="11"/>
        <v>47.95</v>
      </c>
      <c r="S52" s="85"/>
      <c r="T52" s="85"/>
      <c r="U52" s="85"/>
      <c r="V52" s="85"/>
      <c r="W52" s="85"/>
      <c r="X52" s="85"/>
      <c r="Y52" s="85"/>
    </row>
    <row r="53" spans="2:25" x14ac:dyDescent="0.35">
      <c r="C53" s="6"/>
      <c r="D53" s="6"/>
      <c r="E53" s="2" t="s">
        <v>312</v>
      </c>
      <c r="F53" s="57">
        <f t="shared" si="9"/>
        <v>1847.5</v>
      </c>
      <c r="G53" s="195">
        <f>SUMPRODUCT(G35:G37,G18:G20)/10^6</f>
        <v>166</v>
      </c>
      <c r="H53" s="195">
        <f t="shared" ref="H53:R53" si="12">SUMPRODUCT(H35:H37,H18:H20)/10^6</f>
        <v>21.5</v>
      </c>
      <c r="I53" s="195">
        <f t="shared" si="12"/>
        <v>166</v>
      </c>
      <c r="J53" s="195">
        <f t="shared" si="12"/>
        <v>166</v>
      </c>
      <c r="K53" s="195">
        <f t="shared" si="12"/>
        <v>166</v>
      </c>
      <c r="L53" s="195">
        <f t="shared" si="12"/>
        <v>166</v>
      </c>
      <c r="M53" s="195">
        <f t="shared" si="12"/>
        <v>166</v>
      </c>
      <c r="N53" s="195">
        <f t="shared" si="12"/>
        <v>166</v>
      </c>
      <c r="O53" s="195">
        <f t="shared" si="12"/>
        <v>166</v>
      </c>
      <c r="P53" s="195">
        <f t="shared" si="12"/>
        <v>166</v>
      </c>
      <c r="Q53" s="195">
        <f t="shared" si="12"/>
        <v>166</v>
      </c>
      <c r="R53" s="195">
        <f t="shared" si="12"/>
        <v>166</v>
      </c>
      <c r="S53" s="85"/>
      <c r="T53" s="85"/>
      <c r="U53" s="85"/>
      <c r="V53" s="85"/>
      <c r="W53" s="85"/>
      <c r="X53" s="85"/>
      <c r="Y53" s="85"/>
    </row>
    <row r="54" spans="2:25" x14ac:dyDescent="0.35">
      <c r="E54" s="2" t="s">
        <v>28</v>
      </c>
      <c r="F54" s="57">
        <f t="shared" si="9"/>
        <v>787.40500000000009</v>
      </c>
      <c r="G54" s="195">
        <f>SUMPRODUCT(G39:G41,G18:G20)/10^6</f>
        <v>70.724999999999994</v>
      </c>
      <c r="H54" s="195">
        <f t="shared" ref="H54:R54" si="13">SUMPRODUCT(H39:H41,H18:H20)/10^6</f>
        <v>9.43</v>
      </c>
      <c r="I54" s="195">
        <f t="shared" si="13"/>
        <v>70.724999999999994</v>
      </c>
      <c r="J54" s="195">
        <f t="shared" si="13"/>
        <v>70.724999999999994</v>
      </c>
      <c r="K54" s="195">
        <f t="shared" si="13"/>
        <v>70.724999999999994</v>
      </c>
      <c r="L54" s="195">
        <f t="shared" si="13"/>
        <v>70.724999999999994</v>
      </c>
      <c r="M54" s="195">
        <f t="shared" si="13"/>
        <v>70.724999999999994</v>
      </c>
      <c r="N54" s="195">
        <f t="shared" si="13"/>
        <v>70.724999999999994</v>
      </c>
      <c r="O54" s="195">
        <f t="shared" si="13"/>
        <v>70.724999999999994</v>
      </c>
      <c r="P54" s="195">
        <f t="shared" si="13"/>
        <v>70.724999999999994</v>
      </c>
      <c r="Q54" s="195">
        <f t="shared" si="13"/>
        <v>70.724999999999994</v>
      </c>
      <c r="R54" s="195">
        <f t="shared" si="13"/>
        <v>70.724999999999994</v>
      </c>
      <c r="S54" s="62"/>
      <c r="T54" s="62"/>
      <c r="U54" s="57"/>
      <c r="V54" s="96"/>
      <c r="W54" s="97"/>
      <c r="Y54" s="57"/>
    </row>
    <row r="55" spans="2:25" x14ac:dyDescent="0.35">
      <c r="E55" s="2" t="s">
        <v>182</v>
      </c>
      <c r="F55" s="62">
        <f t="shared" si="9"/>
        <v>986.96791666666638</v>
      </c>
      <c r="G55" s="62">
        <f>'Điểm hòa vốn'!H45</f>
        <v>82.247326388888879</v>
      </c>
      <c r="H55" s="62">
        <f>'Điểm hòa vốn'!$L45</f>
        <v>82.247326388888879</v>
      </c>
      <c r="I55" s="62">
        <f>'Điểm hòa vốn'!$L45</f>
        <v>82.247326388888879</v>
      </c>
      <c r="J55" s="62">
        <f>'Điểm hòa vốn'!$L45</f>
        <v>82.247326388888879</v>
      </c>
      <c r="K55" s="62">
        <f>'Điểm hòa vốn'!$L45</f>
        <v>82.247326388888879</v>
      </c>
      <c r="L55" s="62">
        <f>'Điểm hòa vốn'!$L45</f>
        <v>82.247326388888879</v>
      </c>
      <c r="M55" s="62">
        <f>'Điểm hòa vốn'!$L45</f>
        <v>82.247326388888879</v>
      </c>
      <c r="N55" s="62">
        <f>'Điểm hòa vốn'!$L45</f>
        <v>82.247326388888879</v>
      </c>
      <c r="O55" s="62">
        <f>'Điểm hòa vốn'!$L45</f>
        <v>82.247326388888879</v>
      </c>
      <c r="P55" s="62">
        <f>'Điểm hòa vốn'!$L45</f>
        <v>82.247326388888879</v>
      </c>
      <c r="Q55" s="62">
        <f>'Điểm hòa vốn'!$L45</f>
        <v>82.247326388888879</v>
      </c>
      <c r="R55" s="62">
        <f>'Điểm hòa vốn'!$L45</f>
        <v>82.247326388888879</v>
      </c>
      <c r="S55" s="62"/>
      <c r="T55" s="62"/>
      <c r="U55" s="57"/>
      <c r="V55" s="96"/>
      <c r="W55" s="97"/>
      <c r="Y55" s="57"/>
    </row>
    <row r="56" spans="2:25" x14ac:dyDescent="0.35">
      <c r="E56" s="2" t="s">
        <v>310</v>
      </c>
      <c r="F56" s="57">
        <f t="shared" si="9"/>
        <v>1082.1600000000003</v>
      </c>
      <c r="G56" s="62">
        <f>'Điểm hòa vốn'!H43</f>
        <v>90.18</v>
      </c>
      <c r="H56" s="62">
        <f>$G56</f>
        <v>90.18</v>
      </c>
      <c r="I56" s="62">
        <f t="shared" ref="I56:R56" si="14">$G56</f>
        <v>90.18</v>
      </c>
      <c r="J56" s="62">
        <f t="shared" si="14"/>
        <v>90.18</v>
      </c>
      <c r="K56" s="62">
        <f t="shared" si="14"/>
        <v>90.18</v>
      </c>
      <c r="L56" s="62">
        <f t="shared" si="14"/>
        <v>90.18</v>
      </c>
      <c r="M56" s="62">
        <f t="shared" si="14"/>
        <v>90.18</v>
      </c>
      <c r="N56" s="62">
        <f t="shared" si="14"/>
        <v>90.18</v>
      </c>
      <c r="O56" s="62">
        <f t="shared" si="14"/>
        <v>90.18</v>
      </c>
      <c r="P56" s="62">
        <f t="shared" si="14"/>
        <v>90.18</v>
      </c>
      <c r="Q56" s="62">
        <f t="shared" si="14"/>
        <v>90.18</v>
      </c>
      <c r="R56" s="62">
        <f t="shared" si="14"/>
        <v>90.18</v>
      </c>
      <c r="S56" s="62"/>
      <c r="T56" s="62"/>
      <c r="U56" s="57"/>
      <c r="V56" s="96"/>
      <c r="W56" s="97"/>
      <c r="Y56" s="57"/>
    </row>
    <row r="57" spans="2:25" x14ac:dyDescent="0.35">
      <c r="E57" s="2" t="s">
        <v>408</v>
      </c>
      <c r="F57" s="57">
        <f t="shared" si="9"/>
        <v>900</v>
      </c>
      <c r="G57" s="62">
        <f>'Điểm hòa vốn'!H42</f>
        <v>75</v>
      </c>
      <c r="H57" s="62">
        <f t="shared" ref="H57:R59" si="15">$G57</f>
        <v>75</v>
      </c>
      <c r="I57" s="62">
        <f t="shared" si="15"/>
        <v>75</v>
      </c>
      <c r="J57" s="62">
        <f t="shared" si="15"/>
        <v>75</v>
      </c>
      <c r="K57" s="62">
        <f t="shared" si="15"/>
        <v>75</v>
      </c>
      <c r="L57" s="62">
        <f t="shared" si="15"/>
        <v>75</v>
      </c>
      <c r="M57" s="62">
        <f t="shared" si="15"/>
        <v>75</v>
      </c>
      <c r="N57" s="62">
        <f t="shared" si="15"/>
        <v>75</v>
      </c>
      <c r="O57" s="62">
        <f t="shared" si="15"/>
        <v>75</v>
      </c>
      <c r="P57" s="62">
        <f t="shared" si="15"/>
        <v>75</v>
      </c>
      <c r="Q57" s="62">
        <f t="shared" si="15"/>
        <v>75</v>
      </c>
      <c r="R57" s="62">
        <f t="shared" si="15"/>
        <v>75</v>
      </c>
      <c r="S57" s="62"/>
      <c r="T57" s="62"/>
      <c r="U57" s="57"/>
      <c r="V57" s="96"/>
      <c r="W57" s="97"/>
      <c r="Y57" s="57"/>
    </row>
    <row r="58" spans="2:25" x14ac:dyDescent="0.35">
      <c r="E58" s="2" t="s">
        <v>420</v>
      </c>
      <c r="F58" s="57">
        <f t="shared" si="9"/>
        <v>488.51400545454538</v>
      </c>
      <c r="G58" s="62">
        <f>SUM('Điểm hòa vốn'!H44,'Điểm hòa vốn'!H54)</f>
        <v>40.709500454545456</v>
      </c>
      <c r="H58" s="62">
        <f t="shared" si="15"/>
        <v>40.709500454545456</v>
      </c>
      <c r="I58" s="62">
        <f t="shared" si="15"/>
        <v>40.709500454545456</v>
      </c>
      <c r="J58" s="62">
        <f t="shared" si="15"/>
        <v>40.709500454545456</v>
      </c>
      <c r="K58" s="62">
        <f t="shared" si="15"/>
        <v>40.709500454545456</v>
      </c>
      <c r="L58" s="62">
        <f t="shared" si="15"/>
        <v>40.709500454545456</v>
      </c>
      <c r="M58" s="62">
        <f t="shared" si="15"/>
        <v>40.709500454545456</v>
      </c>
      <c r="N58" s="62">
        <f t="shared" si="15"/>
        <v>40.709500454545456</v>
      </c>
      <c r="O58" s="62">
        <f t="shared" si="15"/>
        <v>40.709500454545456</v>
      </c>
      <c r="P58" s="62">
        <f t="shared" si="15"/>
        <v>40.709500454545456</v>
      </c>
      <c r="Q58" s="62">
        <f t="shared" si="15"/>
        <v>40.709500454545456</v>
      </c>
      <c r="R58" s="62">
        <f t="shared" si="15"/>
        <v>40.709500454545456</v>
      </c>
      <c r="S58" s="62"/>
      <c r="T58" s="62"/>
      <c r="U58" s="57"/>
      <c r="V58" s="96"/>
      <c r="W58" s="97"/>
      <c r="Y58" s="57"/>
    </row>
    <row r="59" spans="2:25" x14ac:dyDescent="0.35">
      <c r="E59" s="2" t="s">
        <v>421</v>
      </c>
      <c r="F59" s="57">
        <f t="shared" si="9"/>
        <v>1254</v>
      </c>
      <c r="G59" s="62">
        <f>G49*10%</f>
        <v>104.5</v>
      </c>
      <c r="H59" s="62">
        <f t="shared" si="15"/>
        <v>104.5</v>
      </c>
      <c r="I59" s="62">
        <f t="shared" si="15"/>
        <v>104.5</v>
      </c>
      <c r="J59" s="62">
        <f t="shared" si="15"/>
        <v>104.5</v>
      </c>
      <c r="K59" s="62">
        <f t="shared" si="15"/>
        <v>104.5</v>
      </c>
      <c r="L59" s="62">
        <f t="shared" si="15"/>
        <v>104.5</v>
      </c>
      <c r="M59" s="62">
        <f t="shared" si="15"/>
        <v>104.5</v>
      </c>
      <c r="N59" s="62">
        <f t="shared" si="15"/>
        <v>104.5</v>
      </c>
      <c r="O59" s="62">
        <f t="shared" si="15"/>
        <v>104.5</v>
      </c>
      <c r="P59" s="62">
        <f t="shared" si="15"/>
        <v>104.5</v>
      </c>
      <c r="Q59" s="62">
        <f t="shared" si="15"/>
        <v>104.5</v>
      </c>
      <c r="R59" s="62">
        <f t="shared" si="15"/>
        <v>104.5</v>
      </c>
      <c r="S59" s="62"/>
      <c r="T59" s="62"/>
      <c r="U59" s="57"/>
      <c r="V59" s="96"/>
      <c r="W59" s="97"/>
      <c r="Y59" s="57"/>
    </row>
    <row r="60" spans="2:25" x14ac:dyDescent="0.35">
      <c r="E60" s="2" t="s">
        <v>691</v>
      </c>
      <c r="F60" s="57"/>
      <c r="G60" s="62">
        <f>5%*G49</f>
        <v>52.25</v>
      </c>
      <c r="H60" s="62">
        <f t="shared" ref="H60:R60" si="16">5%*H49</f>
        <v>6.65</v>
      </c>
      <c r="I60" s="62">
        <f t="shared" si="16"/>
        <v>52.25</v>
      </c>
      <c r="J60" s="62">
        <f t="shared" si="16"/>
        <v>52.25</v>
      </c>
      <c r="K60" s="62">
        <f t="shared" si="16"/>
        <v>52.25</v>
      </c>
      <c r="L60" s="62">
        <f t="shared" si="16"/>
        <v>52.25</v>
      </c>
      <c r="M60" s="62">
        <f t="shared" si="16"/>
        <v>52.25</v>
      </c>
      <c r="N60" s="62">
        <f t="shared" si="16"/>
        <v>52.25</v>
      </c>
      <c r="O60" s="62">
        <f t="shared" si="16"/>
        <v>52.25</v>
      </c>
      <c r="P60" s="62">
        <f t="shared" si="16"/>
        <v>52.25</v>
      </c>
      <c r="Q60" s="62">
        <f t="shared" si="16"/>
        <v>52.25</v>
      </c>
      <c r="R60" s="62">
        <f t="shared" si="16"/>
        <v>52.25</v>
      </c>
      <c r="S60" s="62"/>
      <c r="T60" s="62"/>
      <c r="U60" s="57"/>
      <c r="V60" s="96"/>
      <c r="W60" s="97"/>
      <c r="Y60" s="57"/>
    </row>
    <row r="61" spans="2:25" ht="13.15" thickBot="1" x14ac:dyDescent="0.4">
      <c r="C61" s="223" t="s">
        <v>308</v>
      </c>
      <c r="D61" s="100"/>
      <c r="E61" s="100"/>
      <c r="F61" s="243">
        <f t="shared" ref="F61" si="17">SUM(F51:F59)</f>
        <v>8094.8558573108994</v>
      </c>
      <c r="G61" s="243">
        <f>SUM(G51:G60)</f>
        <v>748.84954046769144</v>
      </c>
      <c r="H61" s="243">
        <f t="shared" ref="H61:R61" si="18">SUM(H51:H60)</f>
        <v>438.91091216629502</v>
      </c>
      <c r="I61" s="243">
        <f t="shared" si="18"/>
        <v>748.84954046769144</v>
      </c>
      <c r="J61" s="243">
        <f t="shared" si="18"/>
        <v>748.84954046769144</v>
      </c>
      <c r="K61" s="243">
        <f t="shared" si="18"/>
        <v>748.84954046769144</v>
      </c>
      <c r="L61" s="243">
        <f t="shared" si="18"/>
        <v>748.84954046769144</v>
      </c>
      <c r="M61" s="243">
        <f t="shared" si="18"/>
        <v>748.84954046769144</v>
      </c>
      <c r="N61" s="243">
        <f t="shared" si="18"/>
        <v>748.84954046769144</v>
      </c>
      <c r="O61" s="243">
        <f t="shared" si="18"/>
        <v>748.84954046769144</v>
      </c>
      <c r="P61" s="243">
        <f t="shared" si="18"/>
        <v>748.84954046769144</v>
      </c>
      <c r="Q61" s="243">
        <f t="shared" si="18"/>
        <v>748.84954046769144</v>
      </c>
      <c r="R61" s="243">
        <f t="shared" si="18"/>
        <v>748.84954046769144</v>
      </c>
      <c r="S61" s="62"/>
      <c r="T61" s="62"/>
      <c r="U61" s="57"/>
      <c r="V61" s="96"/>
      <c r="W61" s="97"/>
      <c r="Y61" s="57"/>
    </row>
    <row r="62" spans="2:25" x14ac:dyDescent="0.35">
      <c r="B62" s="89" t="s">
        <v>190</v>
      </c>
      <c r="C62" s="90"/>
      <c r="D62" s="90"/>
      <c r="E62" s="91"/>
      <c r="F62" s="92">
        <f t="shared" ref="F62:R62" si="19">F49-F61</f>
        <v>3533.1441426891006</v>
      </c>
      <c r="G62" s="92">
        <f t="shared" si="19"/>
        <v>296.15045953230856</v>
      </c>
      <c r="H62" s="92">
        <f t="shared" si="19"/>
        <v>-305.91091216629502</v>
      </c>
      <c r="I62" s="92">
        <f t="shared" si="19"/>
        <v>296.15045953230856</v>
      </c>
      <c r="J62" s="92">
        <f t="shared" si="19"/>
        <v>296.15045953230856</v>
      </c>
      <c r="K62" s="92">
        <f t="shared" si="19"/>
        <v>296.15045953230856</v>
      </c>
      <c r="L62" s="92">
        <f t="shared" si="19"/>
        <v>296.15045953230856</v>
      </c>
      <c r="M62" s="92">
        <f t="shared" si="19"/>
        <v>296.15045953230856</v>
      </c>
      <c r="N62" s="92">
        <f t="shared" si="19"/>
        <v>296.15045953230856</v>
      </c>
      <c r="O62" s="92">
        <f t="shared" si="19"/>
        <v>296.15045953230856</v>
      </c>
      <c r="P62" s="92">
        <f t="shared" si="19"/>
        <v>296.15045953230856</v>
      </c>
      <c r="Q62" s="92">
        <f t="shared" si="19"/>
        <v>296.15045953230856</v>
      </c>
      <c r="R62" s="92">
        <f t="shared" si="19"/>
        <v>296.15045953230856</v>
      </c>
      <c r="S62" s="92"/>
      <c r="T62" s="92"/>
      <c r="U62" s="92"/>
      <c r="V62" s="104"/>
      <c r="W62" s="92"/>
      <c r="X62" s="92"/>
      <c r="Y62" s="92"/>
    </row>
    <row r="63" spans="2:25" x14ac:dyDescent="0.35">
      <c r="E63" s="2" t="s">
        <v>45</v>
      </c>
      <c r="F63" s="62">
        <f>SUM(G63:R63)</f>
        <v>-814.07402191780818</v>
      </c>
      <c r="G63" s="84">
        <f>-'Điểm hòa vốn'!H46</f>
        <v>-67.83950182648401</v>
      </c>
      <c r="H63" s="84">
        <f>$G$63</f>
        <v>-67.83950182648401</v>
      </c>
      <c r="I63" s="84">
        <f t="shared" ref="I63:R63" si="20">$G$63</f>
        <v>-67.83950182648401</v>
      </c>
      <c r="J63" s="84">
        <f t="shared" si="20"/>
        <v>-67.83950182648401</v>
      </c>
      <c r="K63" s="84">
        <f t="shared" si="20"/>
        <v>-67.83950182648401</v>
      </c>
      <c r="L63" s="84">
        <f t="shared" si="20"/>
        <v>-67.83950182648401</v>
      </c>
      <c r="M63" s="84">
        <f t="shared" si="20"/>
        <v>-67.83950182648401</v>
      </c>
      <c r="N63" s="84">
        <f t="shared" si="20"/>
        <v>-67.83950182648401</v>
      </c>
      <c r="O63" s="84">
        <f t="shared" si="20"/>
        <v>-67.83950182648401</v>
      </c>
      <c r="P63" s="84">
        <f t="shared" si="20"/>
        <v>-67.83950182648401</v>
      </c>
      <c r="Q63" s="84">
        <f t="shared" si="20"/>
        <v>-67.83950182648401</v>
      </c>
      <c r="R63" s="84">
        <f t="shared" si="20"/>
        <v>-67.83950182648401</v>
      </c>
    </row>
    <row r="64" spans="2:25" x14ac:dyDescent="0.35">
      <c r="E64" s="2" t="s">
        <v>41</v>
      </c>
      <c r="F64" s="62">
        <f>SUM(G64:R64)</f>
        <v>-2733.4173269999997</v>
      </c>
      <c r="G64" s="62">
        <f>-'Điểm hòa vốn'!H47</f>
        <v>-227.78477724999999</v>
      </c>
      <c r="H64" s="62">
        <f>$G64</f>
        <v>-227.78477724999999</v>
      </c>
      <c r="I64" s="62">
        <f t="shared" ref="I64:R64" si="21">$G64</f>
        <v>-227.78477724999999</v>
      </c>
      <c r="J64" s="62">
        <f t="shared" si="21"/>
        <v>-227.78477724999999</v>
      </c>
      <c r="K64" s="62">
        <f t="shared" si="21"/>
        <v>-227.78477724999999</v>
      </c>
      <c r="L64" s="62">
        <f t="shared" si="21"/>
        <v>-227.78477724999999</v>
      </c>
      <c r="M64" s="62">
        <f t="shared" si="21"/>
        <v>-227.78477724999999</v>
      </c>
      <c r="N64" s="62">
        <f t="shared" si="21"/>
        <v>-227.78477724999999</v>
      </c>
      <c r="O64" s="62">
        <f t="shared" si="21"/>
        <v>-227.78477724999999</v>
      </c>
      <c r="P64" s="62">
        <f t="shared" si="21"/>
        <v>-227.78477724999999</v>
      </c>
      <c r="Q64" s="62">
        <f t="shared" si="21"/>
        <v>-227.78477724999999</v>
      </c>
      <c r="R64" s="62">
        <f t="shared" si="21"/>
        <v>-227.78477724999999</v>
      </c>
    </row>
    <row r="65" spans="2:18" x14ac:dyDescent="0.35">
      <c r="B65" s="6" t="s">
        <v>422</v>
      </c>
      <c r="F65" s="218">
        <f t="shared" ref="F65:R65" si="22">SUM(F62:F64)</f>
        <v>-14.347206228707364</v>
      </c>
      <c r="G65" s="218">
        <f t="shared" si="22"/>
        <v>0.52618045582454442</v>
      </c>
      <c r="H65" s="218">
        <f t="shared" si="22"/>
        <v>-601.53519124277909</v>
      </c>
      <c r="I65" s="218">
        <f t="shared" si="22"/>
        <v>0.52618045582454442</v>
      </c>
      <c r="J65" s="218">
        <f t="shared" si="22"/>
        <v>0.52618045582454442</v>
      </c>
      <c r="K65" s="218">
        <f t="shared" si="22"/>
        <v>0.52618045582454442</v>
      </c>
      <c r="L65" s="218">
        <f t="shared" si="22"/>
        <v>0.52618045582454442</v>
      </c>
      <c r="M65" s="218">
        <f t="shared" si="22"/>
        <v>0.52618045582454442</v>
      </c>
      <c r="N65" s="218">
        <f t="shared" si="22"/>
        <v>0.52618045582454442</v>
      </c>
      <c r="O65" s="218">
        <f t="shared" si="22"/>
        <v>0.52618045582454442</v>
      </c>
      <c r="P65" s="218">
        <f t="shared" si="22"/>
        <v>0.52618045582454442</v>
      </c>
      <c r="Q65" s="218">
        <f t="shared" si="22"/>
        <v>0.52618045582454442</v>
      </c>
      <c r="R65" s="218">
        <f t="shared" si="22"/>
        <v>0.52618045582454442</v>
      </c>
    </row>
    <row r="66" spans="2:18" x14ac:dyDescent="0.35">
      <c r="B66" s="6"/>
      <c r="F66" s="62"/>
    </row>
    <row r="67" spans="2:18" x14ac:dyDescent="0.35">
      <c r="E67" s="2" t="s">
        <v>354</v>
      </c>
      <c r="F67" s="62">
        <f>'VTB_YẾT KIÊU'!C27</f>
        <v>-3066</v>
      </c>
    </row>
    <row r="68" spans="2:18" x14ac:dyDescent="0.35">
      <c r="F68" s="57"/>
    </row>
    <row r="69" spans="2:18" x14ac:dyDescent="0.35">
      <c r="B69" s="6" t="s">
        <v>440</v>
      </c>
    </row>
    <row r="70" spans="2:18" x14ac:dyDescent="0.35">
      <c r="E70" s="2" t="s">
        <v>6</v>
      </c>
      <c r="F70" s="60">
        <f>SUM(G70:R70)</f>
        <v>9720</v>
      </c>
      <c r="G70" s="2">
        <f>30*9*60/20</f>
        <v>810</v>
      </c>
      <c r="H70" s="2">
        <f>$G70</f>
        <v>810</v>
      </c>
      <c r="I70" s="2">
        <f t="shared" ref="I70:R70" si="23">$G70</f>
        <v>810</v>
      </c>
      <c r="J70" s="2">
        <f t="shared" si="23"/>
        <v>810</v>
      </c>
      <c r="K70" s="2">
        <f t="shared" si="23"/>
        <v>810</v>
      </c>
      <c r="L70" s="2">
        <f t="shared" si="23"/>
        <v>810</v>
      </c>
      <c r="M70" s="2">
        <f t="shared" si="23"/>
        <v>810</v>
      </c>
      <c r="N70" s="2">
        <f t="shared" si="23"/>
        <v>810</v>
      </c>
      <c r="O70" s="2">
        <f t="shared" si="23"/>
        <v>810</v>
      </c>
      <c r="P70" s="2">
        <f t="shared" si="23"/>
        <v>810</v>
      </c>
      <c r="Q70" s="2">
        <f t="shared" si="23"/>
        <v>810</v>
      </c>
      <c r="R70" s="2">
        <f t="shared" si="23"/>
        <v>810</v>
      </c>
    </row>
    <row r="71" spans="2:18" x14ac:dyDescent="0.35">
      <c r="E71" s="2" t="s">
        <v>8</v>
      </c>
      <c r="F71" s="60">
        <f>SUM(G71:R71)</f>
        <v>12960</v>
      </c>
      <c r="G71" s="2">
        <f>30*9*60/15</f>
        <v>1080</v>
      </c>
      <c r="H71" s="2">
        <f t="shared" ref="H71:R74" si="24">$G71</f>
        <v>1080</v>
      </c>
      <c r="I71" s="2">
        <f t="shared" si="24"/>
        <v>1080</v>
      </c>
      <c r="J71" s="2">
        <f t="shared" si="24"/>
        <v>1080</v>
      </c>
      <c r="K71" s="2">
        <f t="shared" si="24"/>
        <v>1080</v>
      </c>
      <c r="L71" s="2">
        <f t="shared" si="24"/>
        <v>1080</v>
      </c>
      <c r="M71" s="2">
        <f t="shared" si="24"/>
        <v>1080</v>
      </c>
      <c r="N71" s="2">
        <f t="shared" si="24"/>
        <v>1080</v>
      </c>
      <c r="O71" s="2">
        <f t="shared" si="24"/>
        <v>1080</v>
      </c>
      <c r="P71" s="2">
        <f t="shared" si="24"/>
        <v>1080</v>
      </c>
      <c r="Q71" s="2">
        <f t="shared" si="24"/>
        <v>1080</v>
      </c>
      <c r="R71" s="2">
        <f t="shared" si="24"/>
        <v>1080</v>
      </c>
    </row>
    <row r="72" spans="2:18" x14ac:dyDescent="0.35">
      <c r="E72" s="2" t="s">
        <v>7</v>
      </c>
      <c r="F72" s="60">
        <f>SUM(G72:R72)</f>
        <v>19440</v>
      </c>
      <c r="G72" s="2">
        <f>30*9*60/10</f>
        <v>1620</v>
      </c>
      <c r="H72" s="2">
        <f t="shared" si="24"/>
        <v>1620</v>
      </c>
      <c r="I72" s="2">
        <f t="shared" si="24"/>
        <v>1620</v>
      </c>
      <c r="J72" s="2">
        <f t="shared" si="24"/>
        <v>1620</v>
      </c>
      <c r="K72" s="2">
        <f t="shared" si="24"/>
        <v>1620</v>
      </c>
      <c r="L72" s="2">
        <f t="shared" si="24"/>
        <v>1620</v>
      </c>
      <c r="M72" s="2">
        <f t="shared" si="24"/>
        <v>1620</v>
      </c>
      <c r="N72" s="2">
        <f t="shared" si="24"/>
        <v>1620</v>
      </c>
      <c r="O72" s="2">
        <f t="shared" si="24"/>
        <v>1620</v>
      </c>
      <c r="P72" s="2">
        <f t="shared" si="24"/>
        <v>1620</v>
      </c>
      <c r="Q72" s="2">
        <f t="shared" si="24"/>
        <v>1620</v>
      </c>
      <c r="R72" s="2">
        <f t="shared" si="24"/>
        <v>1620</v>
      </c>
    </row>
    <row r="73" spans="2:18" x14ac:dyDescent="0.35">
      <c r="E73" s="2" t="s">
        <v>9</v>
      </c>
      <c r="F73" s="60">
        <f>SUM(G73:R73)</f>
        <v>24300</v>
      </c>
      <c r="G73" s="2">
        <f>30*9*60/8</f>
        <v>2025</v>
      </c>
      <c r="H73" s="2">
        <f t="shared" si="24"/>
        <v>2025</v>
      </c>
      <c r="I73" s="2">
        <f t="shared" si="24"/>
        <v>2025</v>
      </c>
      <c r="J73" s="2">
        <f t="shared" si="24"/>
        <v>2025</v>
      </c>
      <c r="K73" s="2">
        <f t="shared" si="24"/>
        <v>2025</v>
      </c>
      <c r="L73" s="2">
        <f t="shared" si="24"/>
        <v>2025</v>
      </c>
      <c r="M73" s="2">
        <f t="shared" si="24"/>
        <v>2025</v>
      </c>
      <c r="N73" s="2">
        <f t="shared" si="24"/>
        <v>2025</v>
      </c>
      <c r="O73" s="2">
        <f t="shared" si="24"/>
        <v>2025</v>
      </c>
      <c r="P73" s="2">
        <f t="shared" si="24"/>
        <v>2025</v>
      </c>
      <c r="Q73" s="2">
        <f t="shared" si="24"/>
        <v>2025</v>
      </c>
      <c r="R73" s="2">
        <f t="shared" si="24"/>
        <v>2025</v>
      </c>
    </row>
    <row r="74" spans="2:18" x14ac:dyDescent="0.35">
      <c r="E74" s="2" t="s">
        <v>10</v>
      </c>
      <c r="F74" s="60">
        <f>SUM(G74:R74)</f>
        <v>19440</v>
      </c>
      <c r="G74" s="2">
        <f>30*9*60/10</f>
        <v>1620</v>
      </c>
      <c r="H74" s="2">
        <f t="shared" si="24"/>
        <v>1620</v>
      </c>
      <c r="I74" s="2">
        <f t="shared" si="24"/>
        <v>1620</v>
      </c>
      <c r="J74" s="2">
        <f t="shared" si="24"/>
        <v>1620</v>
      </c>
      <c r="K74" s="2">
        <f t="shared" si="24"/>
        <v>1620</v>
      </c>
      <c r="L74" s="2">
        <f t="shared" si="24"/>
        <v>1620</v>
      </c>
      <c r="M74" s="2">
        <f t="shared" si="24"/>
        <v>1620</v>
      </c>
      <c r="N74" s="2">
        <f t="shared" si="24"/>
        <v>1620</v>
      </c>
      <c r="O74" s="2">
        <f t="shared" si="24"/>
        <v>1620</v>
      </c>
      <c r="P74" s="2">
        <f t="shared" si="24"/>
        <v>1620</v>
      </c>
      <c r="Q74" s="2">
        <f t="shared" si="24"/>
        <v>1620</v>
      </c>
      <c r="R74" s="2">
        <f t="shared" si="24"/>
        <v>1620</v>
      </c>
    </row>
    <row r="75" spans="2:18" x14ac:dyDescent="0.35">
      <c r="B75" s="6" t="s">
        <v>439</v>
      </c>
    </row>
    <row r="76" spans="2:18" x14ac:dyDescent="0.35">
      <c r="E76" s="2" t="s">
        <v>6</v>
      </c>
      <c r="F76" s="201">
        <f>F18/F70</f>
        <v>0.49187242798353908</v>
      </c>
      <c r="G76" s="201">
        <f t="shared" ref="G76:R76" si="25">G18/G70</f>
        <v>0.53086419753086422</v>
      </c>
      <c r="H76" s="201">
        <f t="shared" si="25"/>
        <v>6.2962962962962957E-2</v>
      </c>
      <c r="I76" s="201">
        <f t="shared" si="25"/>
        <v>0.53086419753086422</v>
      </c>
      <c r="J76" s="201">
        <f t="shared" si="25"/>
        <v>0.53086419753086422</v>
      </c>
      <c r="K76" s="201">
        <f t="shared" si="25"/>
        <v>0.53086419753086422</v>
      </c>
      <c r="L76" s="201">
        <f t="shared" si="25"/>
        <v>0.53086419753086422</v>
      </c>
      <c r="M76" s="201">
        <f t="shared" si="25"/>
        <v>0.53086419753086422</v>
      </c>
      <c r="N76" s="201">
        <f t="shared" si="25"/>
        <v>0.53086419753086422</v>
      </c>
      <c r="O76" s="201">
        <f t="shared" si="25"/>
        <v>0.53086419753086422</v>
      </c>
      <c r="P76" s="201">
        <f t="shared" si="25"/>
        <v>0.53086419753086422</v>
      </c>
      <c r="Q76" s="201">
        <f t="shared" si="25"/>
        <v>0.53086419753086422</v>
      </c>
      <c r="R76" s="201">
        <f t="shared" si="25"/>
        <v>0.53086419753086422</v>
      </c>
    </row>
    <row r="77" spans="2:18" x14ac:dyDescent="0.35">
      <c r="E77" s="2" t="s">
        <v>8</v>
      </c>
      <c r="F77" s="201">
        <f>F19/F71</f>
        <v>0.15941358024691357</v>
      </c>
      <c r="G77" s="201">
        <f t="shared" ref="G77:R77" si="26">G19/G71</f>
        <v>0.17129629629629631</v>
      </c>
      <c r="H77" s="201">
        <f t="shared" si="26"/>
        <v>2.8703703703703703E-2</v>
      </c>
      <c r="I77" s="201">
        <f t="shared" si="26"/>
        <v>0.17129629629629631</v>
      </c>
      <c r="J77" s="201">
        <f t="shared" si="26"/>
        <v>0.17129629629629631</v>
      </c>
      <c r="K77" s="201">
        <f t="shared" si="26"/>
        <v>0.17129629629629631</v>
      </c>
      <c r="L77" s="201">
        <f t="shared" si="26"/>
        <v>0.17129629629629631</v>
      </c>
      <c r="M77" s="201">
        <f t="shared" si="26"/>
        <v>0.17129629629629631</v>
      </c>
      <c r="N77" s="201">
        <f t="shared" si="26"/>
        <v>0.17129629629629631</v>
      </c>
      <c r="O77" s="201">
        <f t="shared" si="26"/>
        <v>0.17129629629629631</v>
      </c>
      <c r="P77" s="201">
        <f t="shared" si="26"/>
        <v>0.17129629629629631</v>
      </c>
      <c r="Q77" s="201">
        <f t="shared" si="26"/>
        <v>0.17129629629629631</v>
      </c>
      <c r="R77" s="201">
        <f t="shared" si="26"/>
        <v>0.17129629629629631</v>
      </c>
    </row>
    <row r="78" spans="2:18" x14ac:dyDescent="0.35">
      <c r="E78" s="2" t="s">
        <v>7</v>
      </c>
      <c r="F78" s="201">
        <f>F20/F72</f>
        <v>0</v>
      </c>
      <c r="G78" s="201">
        <f t="shared" ref="G78:R78" si="27">G20/G72</f>
        <v>0</v>
      </c>
      <c r="H78" s="201">
        <f t="shared" si="27"/>
        <v>0</v>
      </c>
      <c r="I78" s="201">
        <f t="shared" si="27"/>
        <v>0</v>
      </c>
      <c r="J78" s="201">
        <f t="shared" si="27"/>
        <v>0</v>
      </c>
      <c r="K78" s="201">
        <f t="shared" si="27"/>
        <v>0</v>
      </c>
      <c r="L78" s="201">
        <f t="shared" si="27"/>
        <v>0</v>
      </c>
      <c r="M78" s="201">
        <f t="shared" si="27"/>
        <v>0</v>
      </c>
      <c r="N78" s="201">
        <f t="shared" si="27"/>
        <v>0</v>
      </c>
      <c r="O78" s="201">
        <f t="shared" si="27"/>
        <v>0</v>
      </c>
      <c r="P78" s="201">
        <f t="shared" si="27"/>
        <v>0</v>
      </c>
      <c r="Q78" s="201">
        <f t="shared" si="27"/>
        <v>0</v>
      </c>
      <c r="R78" s="201">
        <f t="shared" si="27"/>
        <v>0</v>
      </c>
    </row>
    <row r="79" spans="2:18" x14ac:dyDescent="0.35">
      <c r="E79" s="2" t="s">
        <v>9</v>
      </c>
      <c r="F79" s="201">
        <f>F21/F73</f>
        <v>0</v>
      </c>
      <c r="G79" s="201">
        <f t="shared" ref="G79:R79" si="28">G21/G73</f>
        <v>0</v>
      </c>
      <c r="H79" s="201">
        <f t="shared" si="28"/>
        <v>0</v>
      </c>
      <c r="I79" s="201">
        <f t="shared" si="28"/>
        <v>0</v>
      </c>
      <c r="J79" s="201">
        <f t="shared" si="28"/>
        <v>0</v>
      </c>
      <c r="K79" s="201">
        <f t="shared" si="28"/>
        <v>0</v>
      </c>
      <c r="L79" s="201">
        <f t="shared" si="28"/>
        <v>0</v>
      </c>
      <c r="M79" s="201">
        <f t="shared" si="28"/>
        <v>0</v>
      </c>
      <c r="N79" s="201">
        <f t="shared" si="28"/>
        <v>0</v>
      </c>
      <c r="O79" s="201">
        <f t="shared" si="28"/>
        <v>0</v>
      </c>
      <c r="P79" s="201">
        <f t="shared" si="28"/>
        <v>0</v>
      </c>
      <c r="Q79" s="201">
        <f t="shared" si="28"/>
        <v>0</v>
      </c>
      <c r="R79" s="201">
        <f t="shared" si="28"/>
        <v>0</v>
      </c>
    </row>
    <row r="80" spans="2:18" x14ac:dyDescent="0.35">
      <c r="E80" s="2" t="s">
        <v>10</v>
      </c>
      <c r="F80" s="201">
        <f>F22/F74</f>
        <v>0</v>
      </c>
      <c r="G80" s="201">
        <f t="shared" ref="G80:R80" si="29">G22/G74</f>
        <v>0</v>
      </c>
      <c r="H80" s="201">
        <f t="shared" si="29"/>
        <v>0</v>
      </c>
      <c r="I80" s="201">
        <f t="shared" si="29"/>
        <v>0</v>
      </c>
      <c r="J80" s="201">
        <f t="shared" si="29"/>
        <v>0</v>
      </c>
      <c r="K80" s="201">
        <f t="shared" si="29"/>
        <v>0</v>
      </c>
      <c r="L80" s="201">
        <f t="shared" si="29"/>
        <v>0</v>
      </c>
      <c r="M80" s="201">
        <f t="shared" si="29"/>
        <v>0</v>
      </c>
      <c r="N80" s="201">
        <f t="shared" si="29"/>
        <v>0</v>
      </c>
      <c r="O80" s="201">
        <f t="shared" si="29"/>
        <v>0</v>
      </c>
      <c r="P80" s="201">
        <f t="shared" si="29"/>
        <v>0</v>
      </c>
      <c r="Q80" s="201">
        <f t="shared" si="29"/>
        <v>0</v>
      </c>
      <c r="R80" s="201">
        <f t="shared" si="29"/>
        <v>0</v>
      </c>
    </row>
    <row r="81" spans="2:18" x14ac:dyDescent="0.35">
      <c r="B81" s="6" t="s">
        <v>443</v>
      </c>
    </row>
    <row r="82" spans="2:18" x14ac:dyDescent="0.35">
      <c r="E82" s="2" t="s">
        <v>6</v>
      </c>
      <c r="F82" s="60">
        <f>SUM(G82:R82)</f>
        <v>2823</v>
      </c>
      <c r="G82" s="84">
        <v>78</v>
      </c>
      <c r="H82" s="84">
        <v>141</v>
      </c>
      <c r="I82" s="84">
        <v>185</v>
      </c>
      <c r="J82" s="2">
        <v>151</v>
      </c>
      <c r="K82" s="2">
        <v>224</v>
      </c>
      <c r="L82" s="2">
        <v>287</v>
      </c>
      <c r="M82" s="2">
        <v>310</v>
      </c>
      <c r="N82" s="2">
        <v>286</v>
      </c>
      <c r="O82" s="2">
        <v>295</v>
      </c>
      <c r="P82" s="2">
        <v>299</v>
      </c>
      <c r="Q82" s="2">
        <v>255</v>
      </c>
      <c r="R82" s="2">
        <v>312</v>
      </c>
    </row>
    <row r="83" spans="2:18" x14ac:dyDescent="0.35">
      <c r="E83" s="2" t="s">
        <v>8</v>
      </c>
      <c r="F83" s="60">
        <f>SUM(G83:R83)</f>
        <v>282</v>
      </c>
      <c r="G83" s="84">
        <v>11</v>
      </c>
      <c r="H83" s="84">
        <v>20</v>
      </c>
      <c r="I83" s="2">
        <v>19</v>
      </c>
      <c r="J83" s="2">
        <v>16</v>
      </c>
      <c r="K83" s="2">
        <v>23</v>
      </c>
      <c r="L83" s="2">
        <v>28</v>
      </c>
      <c r="M83" s="2">
        <v>24</v>
      </c>
      <c r="N83" s="2">
        <v>19</v>
      </c>
      <c r="O83" s="2">
        <v>29</v>
      </c>
      <c r="P83" s="2">
        <v>30</v>
      </c>
      <c r="Q83" s="2">
        <v>32</v>
      </c>
      <c r="R83" s="2">
        <v>31</v>
      </c>
    </row>
    <row r="84" spans="2:18" x14ac:dyDescent="0.35">
      <c r="E84" s="2" t="s">
        <v>7</v>
      </c>
      <c r="F84" s="60">
        <f>SUM(G84:R84)</f>
        <v>184</v>
      </c>
      <c r="G84" s="84">
        <v>1</v>
      </c>
      <c r="H84" s="84">
        <v>4</v>
      </c>
      <c r="I84" s="2">
        <v>7</v>
      </c>
      <c r="J84" s="2">
        <v>1</v>
      </c>
      <c r="K84" s="2">
        <v>90</v>
      </c>
      <c r="L84" s="2">
        <v>11</v>
      </c>
      <c r="M84" s="2">
        <v>19</v>
      </c>
      <c r="N84" s="2">
        <v>6</v>
      </c>
      <c r="O84" s="2">
        <v>28</v>
      </c>
      <c r="P84" s="2">
        <v>4</v>
      </c>
      <c r="Q84" s="2">
        <v>8</v>
      </c>
      <c r="R84" s="2">
        <v>5</v>
      </c>
    </row>
    <row r="85" spans="2:18" x14ac:dyDescent="0.35">
      <c r="E85" s="2" t="s">
        <v>9</v>
      </c>
      <c r="F85" s="60">
        <f>SUM(G85:R85)</f>
        <v>423</v>
      </c>
      <c r="G85" s="84">
        <v>13</v>
      </c>
      <c r="H85" s="84">
        <v>26</v>
      </c>
      <c r="I85" s="84">
        <v>36</v>
      </c>
      <c r="J85" s="2">
        <v>34</v>
      </c>
      <c r="K85" s="2">
        <v>40</v>
      </c>
      <c r="L85" s="2">
        <v>56</v>
      </c>
      <c r="M85" s="2">
        <v>47</v>
      </c>
      <c r="N85" s="2">
        <v>33</v>
      </c>
      <c r="O85" s="2">
        <v>36</v>
      </c>
      <c r="P85" s="2">
        <v>60</v>
      </c>
      <c r="Q85" s="2">
        <v>24</v>
      </c>
      <c r="R85" s="2">
        <v>18</v>
      </c>
    </row>
    <row r="86" spans="2:18" x14ac:dyDescent="0.35">
      <c r="E86" s="2" t="s">
        <v>10</v>
      </c>
      <c r="F86" s="60">
        <f>SUM(G86:R86)</f>
        <v>87</v>
      </c>
      <c r="G86" s="84">
        <v>3</v>
      </c>
      <c r="H86" s="84"/>
      <c r="I86" s="84">
        <v>3</v>
      </c>
      <c r="J86" s="2">
        <v>1</v>
      </c>
      <c r="K86" s="84">
        <v>2</v>
      </c>
      <c r="L86" s="84">
        <v>1</v>
      </c>
      <c r="M86" s="84">
        <v>3</v>
      </c>
      <c r="N86" s="84"/>
      <c r="O86" s="84">
        <v>3</v>
      </c>
      <c r="P86" s="84">
        <v>20</v>
      </c>
      <c r="Q86" s="84">
        <v>33</v>
      </c>
      <c r="R86" s="2">
        <v>18</v>
      </c>
    </row>
    <row r="87" spans="2:18" x14ac:dyDescent="0.35">
      <c r="B87" s="6" t="s">
        <v>441</v>
      </c>
    </row>
    <row r="88" spans="2:18" x14ac:dyDescent="0.35">
      <c r="E88" s="2" t="s">
        <v>6</v>
      </c>
      <c r="F88" s="201">
        <f>F82/F70</f>
        <v>0.29043209876543208</v>
      </c>
      <c r="G88" s="201">
        <f t="shared" ref="G88:R88" si="30">G82/G70</f>
        <v>9.6296296296296297E-2</v>
      </c>
      <c r="H88" s="201">
        <f t="shared" si="30"/>
        <v>0.17407407407407408</v>
      </c>
      <c r="I88" s="201">
        <f t="shared" si="30"/>
        <v>0.22839506172839505</v>
      </c>
      <c r="J88" s="201">
        <f t="shared" si="30"/>
        <v>0.18641975308641975</v>
      </c>
      <c r="K88" s="201">
        <f t="shared" si="30"/>
        <v>0.27654320987654318</v>
      </c>
      <c r="L88" s="201">
        <f t="shared" si="30"/>
        <v>0.35432098765432096</v>
      </c>
      <c r="M88" s="201">
        <f t="shared" si="30"/>
        <v>0.38271604938271603</v>
      </c>
      <c r="N88" s="201">
        <f t="shared" si="30"/>
        <v>0.35308641975308641</v>
      </c>
      <c r="O88" s="201">
        <f t="shared" si="30"/>
        <v>0.36419753086419754</v>
      </c>
      <c r="P88" s="201">
        <f t="shared" si="30"/>
        <v>0.3691358024691358</v>
      </c>
      <c r="Q88" s="201">
        <f t="shared" si="30"/>
        <v>0.31481481481481483</v>
      </c>
      <c r="R88" s="201">
        <f t="shared" si="30"/>
        <v>0.38518518518518519</v>
      </c>
    </row>
    <row r="89" spans="2:18" x14ac:dyDescent="0.35">
      <c r="E89" s="2" t="s">
        <v>8</v>
      </c>
      <c r="F89" s="201">
        <f t="shared" ref="F89:R92" si="31">F83/F71</f>
        <v>2.1759259259259259E-2</v>
      </c>
      <c r="G89" s="201">
        <f t="shared" si="31"/>
        <v>1.0185185185185186E-2</v>
      </c>
      <c r="H89" s="201">
        <f t="shared" si="31"/>
        <v>1.8518518518518517E-2</v>
      </c>
      <c r="I89" s="201">
        <f t="shared" si="31"/>
        <v>1.7592592592592594E-2</v>
      </c>
      <c r="J89" s="201">
        <f t="shared" si="31"/>
        <v>1.4814814814814815E-2</v>
      </c>
      <c r="K89" s="201">
        <f t="shared" si="31"/>
        <v>2.1296296296296296E-2</v>
      </c>
      <c r="L89" s="201">
        <f t="shared" si="31"/>
        <v>2.5925925925925925E-2</v>
      </c>
      <c r="M89" s="201">
        <f t="shared" si="31"/>
        <v>2.2222222222222223E-2</v>
      </c>
      <c r="N89" s="201">
        <f t="shared" si="31"/>
        <v>1.7592592592592594E-2</v>
      </c>
      <c r="O89" s="201">
        <f t="shared" si="31"/>
        <v>2.6851851851851852E-2</v>
      </c>
      <c r="P89" s="201">
        <f t="shared" si="31"/>
        <v>2.7777777777777776E-2</v>
      </c>
      <c r="Q89" s="201">
        <f t="shared" si="31"/>
        <v>2.9629629629629631E-2</v>
      </c>
      <c r="R89" s="201">
        <f t="shared" si="31"/>
        <v>2.8703703703703703E-2</v>
      </c>
    </row>
    <row r="90" spans="2:18" x14ac:dyDescent="0.35">
      <c r="E90" s="2" t="s">
        <v>7</v>
      </c>
      <c r="F90" s="201">
        <f t="shared" si="31"/>
        <v>9.4650205761316868E-3</v>
      </c>
      <c r="G90" s="201">
        <f t="shared" si="31"/>
        <v>6.1728395061728394E-4</v>
      </c>
      <c r="H90" s="201">
        <f t="shared" si="31"/>
        <v>2.4691358024691358E-3</v>
      </c>
      <c r="I90" s="201">
        <f t="shared" si="31"/>
        <v>4.3209876543209872E-3</v>
      </c>
      <c r="J90" s="201">
        <f t="shared" si="31"/>
        <v>6.1728395061728394E-4</v>
      </c>
      <c r="K90" s="201">
        <f t="shared" si="31"/>
        <v>5.5555555555555552E-2</v>
      </c>
      <c r="L90" s="201">
        <f t="shared" si="31"/>
        <v>6.7901234567901234E-3</v>
      </c>
      <c r="M90" s="201">
        <f t="shared" si="31"/>
        <v>1.1728395061728396E-2</v>
      </c>
      <c r="N90" s="201">
        <f t="shared" si="31"/>
        <v>3.7037037037037038E-3</v>
      </c>
      <c r="O90" s="201">
        <f t="shared" si="31"/>
        <v>1.7283950617283949E-2</v>
      </c>
      <c r="P90" s="201">
        <f t="shared" si="31"/>
        <v>2.4691358024691358E-3</v>
      </c>
      <c r="Q90" s="201">
        <f t="shared" si="31"/>
        <v>4.9382716049382715E-3</v>
      </c>
      <c r="R90" s="201">
        <f t="shared" si="31"/>
        <v>3.0864197530864196E-3</v>
      </c>
    </row>
    <row r="91" spans="2:18" x14ac:dyDescent="0.35">
      <c r="E91" s="2" t="s">
        <v>9</v>
      </c>
      <c r="F91" s="201">
        <f t="shared" si="31"/>
        <v>1.7407407407407406E-2</v>
      </c>
      <c r="G91" s="201">
        <f t="shared" si="31"/>
        <v>6.4197530864197527E-3</v>
      </c>
      <c r="H91" s="201">
        <f t="shared" si="31"/>
        <v>1.2839506172839505E-2</v>
      </c>
      <c r="I91" s="201">
        <f t="shared" si="31"/>
        <v>1.7777777777777778E-2</v>
      </c>
      <c r="J91" s="201">
        <f t="shared" si="31"/>
        <v>1.6790123456790124E-2</v>
      </c>
      <c r="K91" s="201">
        <f t="shared" si="31"/>
        <v>1.9753086419753086E-2</v>
      </c>
      <c r="L91" s="201">
        <f t="shared" si="31"/>
        <v>2.7654320987654323E-2</v>
      </c>
      <c r="M91" s="201">
        <f t="shared" si="31"/>
        <v>2.3209876543209877E-2</v>
      </c>
      <c r="N91" s="201">
        <f t="shared" si="31"/>
        <v>1.6296296296296295E-2</v>
      </c>
      <c r="O91" s="201">
        <f t="shared" si="31"/>
        <v>1.7777777777777778E-2</v>
      </c>
      <c r="P91" s="201">
        <f t="shared" si="31"/>
        <v>2.9629629629629631E-2</v>
      </c>
      <c r="Q91" s="201">
        <f t="shared" si="31"/>
        <v>1.1851851851851851E-2</v>
      </c>
      <c r="R91" s="201">
        <f t="shared" si="31"/>
        <v>8.8888888888888889E-3</v>
      </c>
    </row>
    <row r="92" spans="2:18" x14ac:dyDescent="0.35">
      <c r="E92" s="2" t="s">
        <v>10</v>
      </c>
      <c r="F92" s="201">
        <f t="shared" si="31"/>
        <v>4.4753086419753087E-3</v>
      </c>
      <c r="G92" s="201">
        <f t="shared" si="31"/>
        <v>1.8518518518518519E-3</v>
      </c>
      <c r="H92" s="201">
        <f t="shared" si="31"/>
        <v>0</v>
      </c>
      <c r="I92" s="201">
        <f t="shared" si="31"/>
        <v>1.8518518518518519E-3</v>
      </c>
      <c r="J92" s="201">
        <f t="shared" si="31"/>
        <v>6.1728395061728394E-4</v>
      </c>
      <c r="K92" s="201">
        <f t="shared" si="31"/>
        <v>1.2345679012345679E-3</v>
      </c>
      <c r="L92" s="201">
        <f t="shared" si="31"/>
        <v>6.1728395061728394E-4</v>
      </c>
      <c r="M92" s="201">
        <f t="shared" si="31"/>
        <v>1.8518518518518519E-3</v>
      </c>
      <c r="N92" s="201">
        <f t="shared" si="31"/>
        <v>0</v>
      </c>
      <c r="O92" s="201">
        <f t="shared" si="31"/>
        <v>1.8518518518518519E-3</v>
      </c>
      <c r="P92" s="201">
        <f t="shared" si="31"/>
        <v>1.2345679012345678E-2</v>
      </c>
      <c r="Q92" s="201">
        <f t="shared" si="31"/>
        <v>2.0370370370370372E-2</v>
      </c>
      <c r="R92" s="201">
        <f t="shared" si="31"/>
        <v>1.1111111111111112E-2</v>
      </c>
    </row>
  </sheetData>
  <pageMargins left="0.7" right="0.7" top="0.75" bottom="0.75" header="0.3" footer="0.3"/>
  <pageSetup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0767-FF70-4A5F-86B1-907E47E7778E}">
  <sheetPr>
    <tabColor rgb="FF2596BE"/>
  </sheetPr>
  <dimension ref="B3:Y59"/>
  <sheetViews>
    <sheetView zoomScale="110" zoomScaleNormal="110" workbookViewId="0">
      <pane xSplit="5" ySplit="9" topLeftCell="F10" activePane="bottomRight" state="frozen"/>
      <selection pane="topRight" activeCell="E1" sqref="E1"/>
      <selection pane="bottomLeft" activeCell="A4" sqref="A4"/>
      <selection pane="bottomRight" activeCell="H17" sqref="H17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45.1328125" style="2" customWidth="1"/>
    <col min="6" max="6" width="12.265625" style="2" customWidth="1"/>
    <col min="7" max="7" width="9.3984375" style="2" customWidth="1" outlineLevel="1"/>
    <col min="8" max="8" width="9.1328125" style="2" customWidth="1" outlineLevel="1"/>
    <col min="9" max="9" width="9" style="2" customWidth="1" outlineLevel="1"/>
    <col min="10" max="17" width="9.1328125" style="2" customWidth="1" outlineLevel="1"/>
    <col min="18" max="18" width="10.265625" style="2" bestFit="1" customWidth="1"/>
    <col min="19" max="19" width="12.1328125" style="2" customWidth="1"/>
    <col min="20" max="20" width="10.59765625" style="2" customWidth="1"/>
    <col min="21" max="21" width="18.59765625" style="2" customWidth="1"/>
    <col min="22" max="22" width="11.3984375" style="2" customWidth="1"/>
    <col min="23" max="23" width="12.86328125" style="2" customWidth="1"/>
    <col min="24" max="24" width="13.1328125" style="2" customWidth="1"/>
    <col min="25" max="16384" width="9.1328125" style="2"/>
  </cols>
  <sheetData>
    <row r="3" spans="2:25" x14ac:dyDescent="0.35">
      <c r="I3" s="60"/>
    </row>
    <row r="4" spans="2:25" x14ac:dyDescent="0.35">
      <c r="B4" s="2" t="s">
        <v>25</v>
      </c>
    </row>
    <row r="6" spans="2:25" x14ac:dyDescent="0.35">
      <c r="B6" s="27" t="s">
        <v>299</v>
      </c>
    </row>
    <row r="7" spans="2:25" s="6" customFormat="1" x14ac:dyDescent="0.35">
      <c r="B7" s="6" t="s">
        <v>219</v>
      </c>
      <c r="G7" s="74" t="s">
        <v>142</v>
      </c>
      <c r="H7" s="74" t="s">
        <v>142</v>
      </c>
      <c r="I7" s="74" t="s">
        <v>142</v>
      </c>
      <c r="J7" s="74" t="s">
        <v>142</v>
      </c>
      <c r="K7" s="74" t="s">
        <v>142</v>
      </c>
      <c r="L7" s="74" t="s">
        <v>142</v>
      </c>
      <c r="M7" s="74" t="s">
        <v>142</v>
      </c>
      <c r="N7" s="74" t="s">
        <v>142</v>
      </c>
      <c r="O7" s="74" t="s">
        <v>142</v>
      </c>
      <c r="P7" s="74" t="s">
        <v>142</v>
      </c>
      <c r="Q7" s="74" t="s">
        <v>142</v>
      </c>
      <c r="R7" s="74" t="s">
        <v>142</v>
      </c>
    </row>
    <row r="8" spans="2:25" x14ac:dyDescent="0.35">
      <c r="B8" s="32" t="s">
        <v>212</v>
      </c>
      <c r="G8" s="32" t="s">
        <v>52</v>
      </c>
    </row>
    <row r="9" spans="2:25" ht="13.5" x14ac:dyDescent="0.35">
      <c r="B9" s="45" t="s">
        <v>101</v>
      </c>
      <c r="F9" s="6" t="s">
        <v>309</v>
      </c>
      <c r="G9" s="61">
        <v>1</v>
      </c>
      <c r="H9" s="61">
        <v>2</v>
      </c>
      <c r="I9" s="61">
        <v>3</v>
      </c>
      <c r="J9" s="61">
        <v>4</v>
      </c>
      <c r="K9" s="61">
        <v>5</v>
      </c>
      <c r="L9" s="61">
        <v>6</v>
      </c>
      <c r="M9" s="61">
        <v>7</v>
      </c>
      <c r="N9" s="61">
        <v>8</v>
      </c>
      <c r="O9" s="61">
        <v>9</v>
      </c>
      <c r="P9" s="61">
        <v>10</v>
      </c>
      <c r="Q9" s="61">
        <v>11</v>
      </c>
      <c r="R9" s="61">
        <v>12</v>
      </c>
      <c r="S9" s="113" t="s">
        <v>197</v>
      </c>
      <c r="T9" s="114"/>
      <c r="U9" s="114"/>
      <c r="V9" s="32"/>
      <c r="W9" s="32"/>
      <c r="X9" s="6"/>
      <c r="Y9" s="73"/>
    </row>
    <row r="10" spans="2:25" x14ac:dyDescent="0.35">
      <c r="B10" s="27"/>
      <c r="D10" s="6"/>
      <c r="R10" s="58"/>
    </row>
    <row r="11" spans="2:25" x14ac:dyDescent="0.35">
      <c r="B11" s="27" t="s">
        <v>300</v>
      </c>
      <c r="D11" s="6"/>
      <c r="R11" s="58"/>
    </row>
    <row r="12" spans="2:25" x14ac:dyDescent="0.35">
      <c r="B12" s="27"/>
      <c r="D12" s="6"/>
      <c r="E12" s="2" t="s">
        <v>6</v>
      </c>
      <c r="G12" s="239">
        <f>'Điểm hòa vốn'!I83/10^6</f>
        <v>2</v>
      </c>
      <c r="H12" s="225">
        <f>$G$12</f>
        <v>2</v>
      </c>
      <c r="I12" s="225">
        <f t="shared" ref="I12:R12" si="0">$G$12</f>
        <v>2</v>
      </c>
      <c r="J12" s="225">
        <f t="shared" si="0"/>
        <v>2</v>
      </c>
      <c r="K12" s="225">
        <f t="shared" si="0"/>
        <v>2</v>
      </c>
      <c r="L12" s="225">
        <f t="shared" si="0"/>
        <v>2</v>
      </c>
      <c r="M12" s="225">
        <f t="shared" si="0"/>
        <v>2</v>
      </c>
      <c r="N12" s="225">
        <f t="shared" si="0"/>
        <v>2</v>
      </c>
      <c r="O12" s="225">
        <f t="shared" si="0"/>
        <v>2</v>
      </c>
      <c r="P12" s="225">
        <f t="shared" si="0"/>
        <v>2</v>
      </c>
      <c r="Q12" s="225">
        <f t="shared" si="0"/>
        <v>2</v>
      </c>
      <c r="R12" s="225">
        <f t="shared" si="0"/>
        <v>2</v>
      </c>
      <c r="S12" s="2" t="s">
        <v>336</v>
      </c>
    </row>
    <row r="13" spans="2:25" x14ac:dyDescent="0.35">
      <c r="B13" s="27"/>
      <c r="D13" s="6"/>
      <c r="E13" s="2" t="s">
        <v>8</v>
      </c>
      <c r="G13" s="225">
        <f>'Điểm hòa vốn'!I84/10^6</f>
        <v>1</v>
      </c>
      <c r="H13" s="225">
        <f>$G$13</f>
        <v>1</v>
      </c>
      <c r="I13" s="225">
        <f t="shared" ref="I13:R13" si="1">$G$13</f>
        <v>1</v>
      </c>
      <c r="J13" s="225">
        <f t="shared" si="1"/>
        <v>1</v>
      </c>
      <c r="K13" s="225">
        <f t="shared" si="1"/>
        <v>1</v>
      </c>
      <c r="L13" s="225">
        <f t="shared" si="1"/>
        <v>1</v>
      </c>
      <c r="M13" s="225">
        <f t="shared" si="1"/>
        <v>1</v>
      </c>
      <c r="N13" s="225">
        <f t="shared" si="1"/>
        <v>1</v>
      </c>
      <c r="O13" s="225">
        <f t="shared" si="1"/>
        <v>1</v>
      </c>
      <c r="P13" s="225">
        <f t="shared" si="1"/>
        <v>1</v>
      </c>
      <c r="Q13" s="225">
        <f t="shared" si="1"/>
        <v>1</v>
      </c>
      <c r="R13" s="225">
        <f t="shared" si="1"/>
        <v>1</v>
      </c>
      <c r="S13" s="2" t="s">
        <v>336</v>
      </c>
    </row>
    <row r="14" spans="2:25" x14ac:dyDescent="0.35">
      <c r="B14" s="27" t="s">
        <v>301</v>
      </c>
      <c r="D14" s="6"/>
      <c r="R14" s="58"/>
    </row>
    <row r="15" spans="2:25" x14ac:dyDescent="0.35">
      <c r="B15" s="27"/>
      <c r="D15" s="6"/>
      <c r="E15" s="2" t="s">
        <v>6</v>
      </c>
      <c r="F15" s="57">
        <f>SUM(G15:R15)</f>
        <v>4957</v>
      </c>
      <c r="G15" s="238">
        <f>'Điểm hòa vốn'!$I$98</f>
        <v>439</v>
      </c>
      <c r="H15" s="238">
        <v>128</v>
      </c>
      <c r="I15" s="238">
        <f t="shared" ref="I15:R15" si="2">$G$15</f>
        <v>439</v>
      </c>
      <c r="J15" s="238">
        <f t="shared" si="2"/>
        <v>439</v>
      </c>
      <c r="K15" s="238">
        <f t="shared" si="2"/>
        <v>439</v>
      </c>
      <c r="L15" s="238">
        <f t="shared" si="2"/>
        <v>439</v>
      </c>
      <c r="M15" s="238">
        <f>$G$15</f>
        <v>439</v>
      </c>
      <c r="N15" s="238">
        <f t="shared" si="2"/>
        <v>439</v>
      </c>
      <c r="O15" s="238">
        <f t="shared" si="2"/>
        <v>439</v>
      </c>
      <c r="P15" s="238">
        <f t="shared" si="2"/>
        <v>439</v>
      </c>
      <c r="Q15" s="238">
        <f t="shared" si="2"/>
        <v>439</v>
      </c>
      <c r="R15" s="238">
        <f t="shared" si="2"/>
        <v>439</v>
      </c>
      <c r="S15" s="2" t="s">
        <v>429</v>
      </c>
    </row>
    <row r="16" spans="2:25" x14ac:dyDescent="0.35">
      <c r="B16" s="27"/>
      <c r="D16" s="6"/>
      <c r="E16" s="2" t="s">
        <v>8</v>
      </c>
      <c r="F16" s="57">
        <f>SUM(G16:R16)</f>
        <v>621</v>
      </c>
      <c r="G16" s="238">
        <f>'Điểm hòa vốn'!$I$99</f>
        <v>55</v>
      </c>
      <c r="H16" s="238">
        <v>16</v>
      </c>
      <c r="I16" s="238">
        <f t="shared" ref="I16:R16" si="3">$G$16</f>
        <v>55</v>
      </c>
      <c r="J16" s="238">
        <f t="shared" si="3"/>
        <v>55</v>
      </c>
      <c r="K16" s="238">
        <f t="shared" si="3"/>
        <v>55</v>
      </c>
      <c r="L16" s="238">
        <f t="shared" si="3"/>
        <v>55</v>
      </c>
      <c r="M16" s="238">
        <f t="shared" si="3"/>
        <v>55</v>
      </c>
      <c r="N16" s="238">
        <f t="shared" si="3"/>
        <v>55</v>
      </c>
      <c r="O16" s="238">
        <f t="shared" si="3"/>
        <v>55</v>
      </c>
      <c r="P16" s="238">
        <f t="shared" si="3"/>
        <v>55</v>
      </c>
      <c r="Q16" s="238">
        <f t="shared" si="3"/>
        <v>55</v>
      </c>
      <c r="R16" s="238">
        <f t="shared" si="3"/>
        <v>55</v>
      </c>
      <c r="S16" s="2" t="s">
        <v>429</v>
      </c>
    </row>
    <row r="17" spans="2:19" x14ac:dyDescent="0.35">
      <c r="B17" s="27" t="s">
        <v>314</v>
      </c>
      <c r="D17" s="6"/>
      <c r="R17" s="58"/>
    </row>
    <row r="18" spans="2:19" x14ac:dyDescent="0.35">
      <c r="B18" s="27"/>
      <c r="D18" s="2" t="s">
        <v>6</v>
      </c>
      <c r="R18" s="58"/>
    </row>
    <row r="19" spans="2:19" x14ac:dyDescent="0.35">
      <c r="B19" s="27"/>
      <c r="D19" s="6"/>
      <c r="E19" s="2" t="s">
        <v>302</v>
      </c>
      <c r="G19" s="238">
        <f>'Điểm hòa vốn'!I58</f>
        <v>62063.346205059919</v>
      </c>
      <c r="H19" s="238">
        <f>$G19</f>
        <v>62063.346205059919</v>
      </c>
      <c r="I19" s="238">
        <f t="shared" ref="I19:R20" si="4">$G19</f>
        <v>62063.346205059919</v>
      </c>
      <c r="J19" s="238">
        <f t="shared" si="4"/>
        <v>62063.346205059919</v>
      </c>
      <c r="K19" s="238">
        <f t="shared" si="4"/>
        <v>62063.346205059919</v>
      </c>
      <c r="L19" s="238">
        <f t="shared" si="4"/>
        <v>62063.346205059919</v>
      </c>
      <c r="M19" s="238">
        <f t="shared" si="4"/>
        <v>62063.346205059919</v>
      </c>
      <c r="N19" s="238">
        <f t="shared" si="4"/>
        <v>62063.346205059919</v>
      </c>
      <c r="O19" s="238">
        <f t="shared" si="4"/>
        <v>62063.346205059919</v>
      </c>
      <c r="P19" s="238">
        <f t="shared" si="4"/>
        <v>62063.346205059919</v>
      </c>
      <c r="Q19" s="238">
        <f t="shared" si="4"/>
        <v>62063.346205059919</v>
      </c>
      <c r="R19" s="238">
        <f t="shared" si="4"/>
        <v>62063.346205059919</v>
      </c>
      <c r="S19" s="2" t="s">
        <v>419</v>
      </c>
    </row>
    <row r="20" spans="2:19" x14ac:dyDescent="0.35">
      <c r="B20" s="27"/>
      <c r="D20" s="6"/>
      <c r="E20" s="2" t="s">
        <v>303</v>
      </c>
      <c r="G20" s="57">
        <f>'Điểm hòa vốn'!I64</f>
        <v>0</v>
      </c>
      <c r="H20" s="238">
        <f>$G20</f>
        <v>0</v>
      </c>
      <c r="I20" s="238">
        <f t="shared" si="4"/>
        <v>0</v>
      </c>
      <c r="J20" s="238">
        <f t="shared" si="4"/>
        <v>0</v>
      </c>
      <c r="K20" s="238">
        <f t="shared" si="4"/>
        <v>0</v>
      </c>
      <c r="L20" s="238">
        <f t="shared" si="4"/>
        <v>0</v>
      </c>
      <c r="M20" s="238">
        <f t="shared" si="4"/>
        <v>0</v>
      </c>
      <c r="N20" s="238">
        <f t="shared" si="4"/>
        <v>0</v>
      </c>
      <c r="O20" s="238">
        <f t="shared" si="4"/>
        <v>0</v>
      </c>
      <c r="P20" s="238">
        <f t="shared" si="4"/>
        <v>0</v>
      </c>
      <c r="Q20" s="238">
        <f t="shared" si="4"/>
        <v>0</v>
      </c>
      <c r="R20" s="238">
        <f t="shared" si="4"/>
        <v>0</v>
      </c>
      <c r="S20" s="2" t="s">
        <v>419</v>
      </c>
    </row>
    <row r="21" spans="2:19" x14ac:dyDescent="0.35">
      <c r="B21" s="27"/>
      <c r="D21" s="6"/>
      <c r="E21" s="2" t="s">
        <v>430</v>
      </c>
      <c r="G21" s="57">
        <f>'Điểm hòa vốn'!I67</f>
        <v>90000</v>
      </c>
      <c r="H21" s="57">
        <f>$G21</f>
        <v>90000</v>
      </c>
      <c r="I21" s="57">
        <f t="shared" ref="I21:R23" si="5">$G21</f>
        <v>90000</v>
      </c>
      <c r="J21" s="57">
        <f t="shared" si="5"/>
        <v>90000</v>
      </c>
      <c r="K21" s="57">
        <f t="shared" si="5"/>
        <v>90000</v>
      </c>
      <c r="L21" s="57">
        <f t="shared" si="5"/>
        <v>90000</v>
      </c>
      <c r="M21" s="57">
        <f t="shared" si="5"/>
        <v>90000</v>
      </c>
      <c r="N21" s="57">
        <f t="shared" si="5"/>
        <v>90000</v>
      </c>
      <c r="O21" s="57">
        <f t="shared" si="5"/>
        <v>90000</v>
      </c>
      <c r="P21" s="57">
        <f t="shared" si="5"/>
        <v>90000</v>
      </c>
      <c r="Q21" s="57">
        <f t="shared" si="5"/>
        <v>90000</v>
      </c>
      <c r="R21" s="57">
        <f t="shared" si="5"/>
        <v>90000</v>
      </c>
    </row>
    <row r="22" spans="2:19" x14ac:dyDescent="0.35">
      <c r="B22" s="27"/>
      <c r="D22" s="6"/>
      <c r="E22" s="2" t="s">
        <v>432</v>
      </c>
      <c r="G22" s="57">
        <f>'Điểm hòa vốn'!I75</f>
        <v>115000</v>
      </c>
      <c r="H22" s="57">
        <f>$G22</f>
        <v>115000</v>
      </c>
      <c r="I22" s="57">
        <f t="shared" si="5"/>
        <v>115000</v>
      </c>
      <c r="J22" s="57">
        <f t="shared" si="5"/>
        <v>115000</v>
      </c>
      <c r="K22" s="57">
        <f t="shared" si="5"/>
        <v>115000</v>
      </c>
      <c r="L22" s="57">
        <f t="shared" si="5"/>
        <v>115000</v>
      </c>
      <c r="M22" s="57">
        <f t="shared" si="5"/>
        <v>115000</v>
      </c>
      <c r="N22" s="57">
        <f t="shared" si="5"/>
        <v>115000</v>
      </c>
      <c r="O22" s="57">
        <f t="shared" si="5"/>
        <v>115000</v>
      </c>
      <c r="P22" s="57">
        <f t="shared" si="5"/>
        <v>115000</v>
      </c>
      <c r="Q22" s="57">
        <f t="shared" si="5"/>
        <v>115000</v>
      </c>
      <c r="R22" s="57">
        <f t="shared" si="5"/>
        <v>115000</v>
      </c>
    </row>
    <row r="23" spans="2:19" x14ac:dyDescent="0.35">
      <c r="B23" s="27"/>
      <c r="D23" s="6"/>
      <c r="E23" s="2" t="s">
        <v>659</v>
      </c>
      <c r="G23" s="57">
        <f>'Điểm hòa vốn'!I71</f>
        <v>300000</v>
      </c>
      <c r="H23" s="57">
        <f>$G23</f>
        <v>300000</v>
      </c>
      <c r="I23" s="57">
        <f t="shared" si="5"/>
        <v>300000</v>
      </c>
      <c r="J23" s="57">
        <f t="shared" si="5"/>
        <v>300000</v>
      </c>
      <c r="K23" s="57">
        <f t="shared" si="5"/>
        <v>300000</v>
      </c>
      <c r="L23" s="57">
        <f t="shared" si="5"/>
        <v>300000</v>
      </c>
      <c r="M23" s="57">
        <f t="shared" si="5"/>
        <v>300000</v>
      </c>
      <c r="N23" s="57">
        <f t="shared" si="5"/>
        <v>300000</v>
      </c>
      <c r="O23" s="57">
        <f t="shared" si="5"/>
        <v>300000</v>
      </c>
      <c r="P23" s="57">
        <f t="shared" si="5"/>
        <v>300000</v>
      </c>
      <c r="Q23" s="57">
        <f t="shared" si="5"/>
        <v>300000</v>
      </c>
      <c r="R23" s="57">
        <f t="shared" si="5"/>
        <v>300000</v>
      </c>
    </row>
    <row r="24" spans="2:19" x14ac:dyDescent="0.35">
      <c r="B24" s="27"/>
      <c r="D24" s="6" t="s">
        <v>8</v>
      </c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</row>
    <row r="25" spans="2:19" x14ac:dyDescent="0.35">
      <c r="B25" s="27"/>
      <c r="D25" s="6"/>
      <c r="E25" s="2" t="s">
        <v>427</v>
      </c>
      <c r="G25" s="57">
        <f>'Điểm hòa vốn'!I59</f>
        <v>29418.047238254516</v>
      </c>
      <c r="H25" s="57">
        <f>$G25</f>
        <v>29418.047238254516</v>
      </c>
      <c r="I25" s="57">
        <f t="shared" ref="H25:R29" si="6">$G25</f>
        <v>29418.047238254516</v>
      </c>
      <c r="J25" s="57">
        <f t="shared" si="6"/>
        <v>29418.047238254516</v>
      </c>
      <c r="K25" s="57">
        <f t="shared" si="6"/>
        <v>29418.047238254516</v>
      </c>
      <c r="L25" s="57">
        <f t="shared" si="6"/>
        <v>29418.047238254516</v>
      </c>
      <c r="M25" s="57">
        <f t="shared" si="6"/>
        <v>29418.047238254516</v>
      </c>
      <c r="N25" s="57">
        <f t="shared" si="6"/>
        <v>29418.047238254516</v>
      </c>
      <c r="O25" s="57">
        <f t="shared" si="6"/>
        <v>29418.047238254516</v>
      </c>
      <c r="P25" s="57">
        <f t="shared" si="6"/>
        <v>29418.047238254516</v>
      </c>
      <c r="Q25" s="57">
        <f t="shared" si="6"/>
        <v>29418.047238254516</v>
      </c>
      <c r="R25" s="57">
        <f t="shared" si="6"/>
        <v>29418.047238254516</v>
      </c>
      <c r="S25" s="2" t="s">
        <v>419</v>
      </c>
    </row>
    <row r="26" spans="2:19" x14ac:dyDescent="0.35">
      <c r="B26" s="27"/>
      <c r="D26" s="6"/>
      <c r="E26" s="2" t="s">
        <v>428</v>
      </c>
      <c r="G26" s="57">
        <v>0</v>
      </c>
      <c r="H26" s="57">
        <v>0</v>
      </c>
      <c r="I26" s="57">
        <v>0</v>
      </c>
      <c r="J26" s="57">
        <v>0</v>
      </c>
      <c r="K26" s="57">
        <v>0</v>
      </c>
      <c r="L26" s="57">
        <v>0</v>
      </c>
      <c r="M26" s="57">
        <v>0</v>
      </c>
      <c r="N26" s="57">
        <v>0</v>
      </c>
      <c r="O26" s="57">
        <v>0</v>
      </c>
      <c r="P26" s="57">
        <v>0</v>
      </c>
      <c r="Q26" s="57">
        <v>0</v>
      </c>
      <c r="R26" s="57">
        <v>0</v>
      </c>
    </row>
    <row r="27" spans="2:19" x14ac:dyDescent="0.35">
      <c r="B27" s="27"/>
      <c r="D27" s="6"/>
      <c r="E27" s="2" t="s">
        <v>431</v>
      </c>
      <c r="G27" s="57">
        <f>'Điểm hòa vốn'!I68</f>
        <v>50000</v>
      </c>
      <c r="H27" s="57">
        <f t="shared" si="6"/>
        <v>50000</v>
      </c>
      <c r="I27" s="57">
        <f t="shared" si="6"/>
        <v>50000</v>
      </c>
      <c r="J27" s="57">
        <f t="shared" si="6"/>
        <v>50000</v>
      </c>
      <c r="K27" s="57">
        <f t="shared" si="6"/>
        <v>50000</v>
      </c>
      <c r="L27" s="57">
        <f t="shared" si="6"/>
        <v>50000</v>
      </c>
      <c r="M27" s="57">
        <f t="shared" si="6"/>
        <v>50000</v>
      </c>
      <c r="N27" s="57">
        <f t="shared" si="6"/>
        <v>50000</v>
      </c>
      <c r="O27" s="57">
        <f t="shared" si="6"/>
        <v>50000</v>
      </c>
      <c r="P27" s="57">
        <f t="shared" si="6"/>
        <v>50000</v>
      </c>
      <c r="Q27" s="57">
        <f t="shared" si="6"/>
        <v>50000</v>
      </c>
      <c r="R27" s="57">
        <f t="shared" si="6"/>
        <v>50000</v>
      </c>
    </row>
    <row r="28" spans="2:19" x14ac:dyDescent="0.35">
      <c r="B28" s="27"/>
      <c r="D28" s="6"/>
      <c r="E28" s="2" t="s">
        <v>660</v>
      </c>
      <c r="G28" s="57">
        <f>'Điểm hòa vốn'!I72</f>
        <v>150000</v>
      </c>
      <c r="H28" s="57">
        <f t="shared" si="6"/>
        <v>150000</v>
      </c>
      <c r="I28" s="57">
        <f t="shared" si="6"/>
        <v>150000</v>
      </c>
      <c r="J28" s="57">
        <f t="shared" si="6"/>
        <v>150000</v>
      </c>
      <c r="K28" s="57">
        <f t="shared" si="6"/>
        <v>150000</v>
      </c>
      <c r="L28" s="57">
        <f t="shared" si="6"/>
        <v>150000</v>
      </c>
      <c r="M28" s="57">
        <f t="shared" si="6"/>
        <v>150000</v>
      </c>
      <c r="N28" s="57">
        <f t="shared" si="6"/>
        <v>150000</v>
      </c>
      <c r="O28" s="57">
        <f t="shared" si="6"/>
        <v>150000</v>
      </c>
      <c r="P28" s="57">
        <f t="shared" si="6"/>
        <v>150000</v>
      </c>
      <c r="Q28" s="57">
        <f t="shared" si="6"/>
        <v>150000</v>
      </c>
      <c r="R28" s="57">
        <f t="shared" si="6"/>
        <v>150000</v>
      </c>
    </row>
    <row r="29" spans="2:19" x14ac:dyDescent="0.35">
      <c r="B29" s="6"/>
      <c r="D29" s="6"/>
      <c r="E29" s="2" t="s">
        <v>433</v>
      </c>
      <c r="G29" s="57">
        <f>'Điểm hòa vốn'!I76</f>
        <v>115000</v>
      </c>
      <c r="H29" s="57">
        <f t="shared" si="6"/>
        <v>115000</v>
      </c>
      <c r="I29" s="57">
        <f t="shared" si="6"/>
        <v>115000</v>
      </c>
      <c r="J29" s="57">
        <f t="shared" si="6"/>
        <v>115000</v>
      </c>
      <c r="K29" s="57">
        <f t="shared" si="6"/>
        <v>115000</v>
      </c>
      <c r="L29" s="57">
        <f t="shared" si="6"/>
        <v>115000</v>
      </c>
      <c r="M29" s="57">
        <f t="shared" si="6"/>
        <v>115000</v>
      </c>
      <c r="N29" s="57">
        <f t="shared" si="6"/>
        <v>115000</v>
      </c>
      <c r="O29" s="57">
        <f t="shared" si="6"/>
        <v>115000</v>
      </c>
      <c r="P29" s="57">
        <f t="shared" si="6"/>
        <v>115000</v>
      </c>
      <c r="Q29" s="57">
        <f t="shared" si="6"/>
        <v>115000</v>
      </c>
      <c r="R29" s="57">
        <f t="shared" si="6"/>
        <v>115000</v>
      </c>
    </row>
    <row r="30" spans="2:19" x14ac:dyDescent="0.35">
      <c r="B30" s="6" t="s">
        <v>658</v>
      </c>
      <c r="D30" s="6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</row>
    <row r="31" spans="2:19" x14ac:dyDescent="0.35">
      <c r="B31" s="6"/>
      <c r="D31" s="6" t="s">
        <v>6</v>
      </c>
      <c r="F31" s="201">
        <f>G31/10^6/G12</f>
        <v>0.71646832689747009</v>
      </c>
      <c r="G31" s="57">
        <f>G12*10^6-SUM(G19:G23)</f>
        <v>1432936.6537949401</v>
      </c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</row>
    <row r="32" spans="2:19" x14ac:dyDescent="0.35">
      <c r="B32" s="6"/>
      <c r="D32" s="6" t="s">
        <v>8</v>
      </c>
      <c r="F32" s="201">
        <f>G32/10^6/G13</f>
        <v>0.65558195276174558</v>
      </c>
      <c r="G32" s="57">
        <f>G13*10^6-SUM(G25:G29)</f>
        <v>655581.95276174555</v>
      </c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</row>
    <row r="33" spans="2:25" x14ac:dyDescent="0.35">
      <c r="B33" s="27" t="s">
        <v>11</v>
      </c>
      <c r="D33" s="6"/>
      <c r="R33" s="58"/>
    </row>
    <row r="34" spans="2:25" outlineLevel="1" x14ac:dyDescent="0.35">
      <c r="E34" s="2" t="s">
        <v>6</v>
      </c>
      <c r="F34" s="57">
        <f>SUM(G34:R34)</f>
        <v>9914</v>
      </c>
      <c r="G34" s="62">
        <f t="shared" ref="G34:R34" si="7">G12*G15</f>
        <v>878</v>
      </c>
      <c r="H34" s="62">
        <f t="shared" si="7"/>
        <v>256</v>
      </c>
      <c r="I34" s="62">
        <f t="shared" si="7"/>
        <v>878</v>
      </c>
      <c r="J34" s="62">
        <f t="shared" si="7"/>
        <v>878</v>
      </c>
      <c r="K34" s="62">
        <f t="shared" si="7"/>
        <v>878</v>
      </c>
      <c r="L34" s="62">
        <f t="shared" si="7"/>
        <v>878</v>
      </c>
      <c r="M34" s="62">
        <f t="shared" si="7"/>
        <v>878</v>
      </c>
      <c r="N34" s="62">
        <f t="shared" si="7"/>
        <v>878</v>
      </c>
      <c r="O34" s="62">
        <f t="shared" si="7"/>
        <v>878</v>
      </c>
      <c r="P34" s="62">
        <f t="shared" si="7"/>
        <v>878</v>
      </c>
      <c r="Q34" s="62">
        <f t="shared" si="7"/>
        <v>878</v>
      </c>
      <c r="R34" s="62">
        <f t="shared" si="7"/>
        <v>878</v>
      </c>
      <c r="S34" s="62"/>
      <c r="T34" s="62"/>
      <c r="U34" s="57"/>
      <c r="V34" s="96"/>
      <c r="W34" s="97"/>
      <c r="Y34" s="57"/>
    </row>
    <row r="35" spans="2:25" outlineLevel="1" x14ac:dyDescent="0.35">
      <c r="E35" s="2" t="s">
        <v>8</v>
      </c>
      <c r="F35" s="57">
        <f>SUM(G35:R35)</f>
        <v>621</v>
      </c>
      <c r="G35" s="62">
        <f t="shared" ref="G35:R35" si="8">G13*G16</f>
        <v>55</v>
      </c>
      <c r="H35" s="62">
        <f t="shared" si="8"/>
        <v>16</v>
      </c>
      <c r="I35" s="62">
        <f t="shared" si="8"/>
        <v>55</v>
      </c>
      <c r="J35" s="62">
        <f t="shared" si="8"/>
        <v>55</v>
      </c>
      <c r="K35" s="62">
        <f t="shared" si="8"/>
        <v>55</v>
      </c>
      <c r="L35" s="62">
        <f t="shared" si="8"/>
        <v>55</v>
      </c>
      <c r="M35" s="62">
        <f t="shared" si="8"/>
        <v>55</v>
      </c>
      <c r="N35" s="62">
        <f t="shared" si="8"/>
        <v>55</v>
      </c>
      <c r="O35" s="62">
        <f t="shared" si="8"/>
        <v>55</v>
      </c>
      <c r="P35" s="62">
        <f t="shared" si="8"/>
        <v>55</v>
      </c>
      <c r="Q35" s="62">
        <f t="shared" si="8"/>
        <v>55</v>
      </c>
      <c r="R35" s="62">
        <f t="shared" si="8"/>
        <v>55</v>
      </c>
      <c r="S35" s="62"/>
      <c r="T35" s="62"/>
      <c r="U35" s="57"/>
      <c r="V35" s="96"/>
      <c r="W35" s="97"/>
      <c r="Y35" s="57"/>
    </row>
    <row r="36" spans="2:25" outlineLevel="1" x14ac:dyDescent="0.35">
      <c r="C36" s="259" t="s">
        <v>353</v>
      </c>
      <c r="D36" s="66"/>
      <c r="E36" s="66"/>
      <c r="F36" s="260">
        <f>SUM(F34:F35)</f>
        <v>10535</v>
      </c>
      <c r="G36" s="260">
        <f>SUM(G34:G35)</f>
        <v>933</v>
      </c>
      <c r="H36" s="260">
        <f t="shared" ref="H36:R36" si="9">SUM(H34:H35)</f>
        <v>272</v>
      </c>
      <c r="I36" s="260">
        <f t="shared" si="9"/>
        <v>933</v>
      </c>
      <c r="J36" s="260">
        <f t="shared" si="9"/>
        <v>933</v>
      </c>
      <c r="K36" s="260">
        <f t="shared" si="9"/>
        <v>933</v>
      </c>
      <c r="L36" s="260">
        <f t="shared" si="9"/>
        <v>933</v>
      </c>
      <c r="M36" s="260">
        <f t="shared" si="9"/>
        <v>933</v>
      </c>
      <c r="N36" s="260">
        <f t="shared" si="9"/>
        <v>933</v>
      </c>
      <c r="O36" s="260">
        <f t="shared" si="9"/>
        <v>933</v>
      </c>
      <c r="P36" s="260">
        <f t="shared" si="9"/>
        <v>933</v>
      </c>
      <c r="Q36" s="260">
        <f t="shared" si="9"/>
        <v>933</v>
      </c>
      <c r="R36" s="260">
        <f t="shared" si="9"/>
        <v>933</v>
      </c>
      <c r="S36" s="62"/>
      <c r="T36" s="62"/>
      <c r="U36" s="57"/>
      <c r="V36" s="96"/>
      <c r="W36" s="97"/>
      <c r="Y36" s="57"/>
    </row>
    <row r="37" spans="2:25" x14ac:dyDescent="0.35">
      <c r="B37" s="27" t="s">
        <v>307</v>
      </c>
      <c r="D37" s="55"/>
      <c r="F37" s="58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59"/>
      <c r="S37" s="59"/>
      <c r="T37" s="59"/>
      <c r="U37" s="59"/>
      <c r="V37" s="118"/>
      <c r="Y37" s="59"/>
    </row>
    <row r="38" spans="2:25" x14ac:dyDescent="0.35">
      <c r="B38" s="27"/>
      <c r="D38" s="55"/>
      <c r="E38" s="2" t="s">
        <v>23</v>
      </c>
      <c r="F38" s="57">
        <f t="shared" ref="F38:F48" si="10">SUM(G38:R38)</f>
        <v>325.91661447343802</v>
      </c>
      <c r="G38" s="195">
        <f t="shared" ref="G38:R38" si="11">(G19*G15+G25*G16)/10^6</f>
        <v>28.863801582125305</v>
      </c>
      <c r="H38" s="195">
        <f t="shared" si="11"/>
        <v>8.414797070059743</v>
      </c>
      <c r="I38" s="195">
        <f t="shared" si="11"/>
        <v>28.863801582125305</v>
      </c>
      <c r="J38" s="195">
        <f t="shared" si="11"/>
        <v>28.863801582125305</v>
      </c>
      <c r="K38" s="195">
        <f t="shared" si="11"/>
        <v>28.863801582125305</v>
      </c>
      <c r="L38" s="195">
        <f t="shared" si="11"/>
        <v>28.863801582125305</v>
      </c>
      <c r="M38" s="195">
        <f t="shared" si="11"/>
        <v>28.863801582125305</v>
      </c>
      <c r="N38" s="195">
        <f t="shared" si="11"/>
        <v>28.863801582125305</v>
      </c>
      <c r="O38" s="195">
        <f t="shared" si="11"/>
        <v>28.863801582125305</v>
      </c>
      <c r="P38" s="195">
        <f t="shared" si="11"/>
        <v>28.863801582125305</v>
      </c>
      <c r="Q38" s="195">
        <f t="shared" si="11"/>
        <v>28.863801582125305</v>
      </c>
      <c r="R38" s="195">
        <f t="shared" si="11"/>
        <v>28.863801582125305</v>
      </c>
      <c r="S38" s="59"/>
      <c r="T38" s="59"/>
      <c r="U38" s="59"/>
      <c r="V38" s="118"/>
      <c r="Y38" s="59"/>
    </row>
    <row r="39" spans="2:25" x14ac:dyDescent="0.35">
      <c r="B39" s="27"/>
      <c r="D39" s="55"/>
      <c r="E39" s="2" t="s">
        <v>24</v>
      </c>
      <c r="F39" s="57">
        <f t="shared" si="10"/>
        <v>0</v>
      </c>
      <c r="G39" s="195">
        <f t="shared" ref="G39:R39" si="12">G20*G15/10^6</f>
        <v>0</v>
      </c>
      <c r="H39" s="195">
        <f t="shared" si="12"/>
        <v>0</v>
      </c>
      <c r="I39" s="195">
        <f t="shared" si="12"/>
        <v>0</v>
      </c>
      <c r="J39" s="195">
        <f t="shared" si="12"/>
        <v>0</v>
      </c>
      <c r="K39" s="195">
        <f t="shared" si="12"/>
        <v>0</v>
      </c>
      <c r="L39" s="195">
        <f t="shared" si="12"/>
        <v>0</v>
      </c>
      <c r="M39" s="195">
        <f t="shared" si="12"/>
        <v>0</v>
      </c>
      <c r="N39" s="195">
        <f t="shared" si="12"/>
        <v>0</v>
      </c>
      <c r="O39" s="195">
        <f t="shared" si="12"/>
        <v>0</v>
      </c>
      <c r="P39" s="195">
        <f t="shared" si="12"/>
        <v>0</v>
      </c>
      <c r="Q39" s="195">
        <f t="shared" si="12"/>
        <v>0</v>
      </c>
      <c r="R39" s="195">
        <f t="shared" si="12"/>
        <v>0</v>
      </c>
      <c r="S39" s="59"/>
      <c r="T39" s="59"/>
      <c r="U39" s="59"/>
      <c r="V39" s="118"/>
      <c r="Y39" s="59"/>
    </row>
    <row r="40" spans="2:25" x14ac:dyDescent="0.35">
      <c r="C40" s="6"/>
      <c r="D40" s="6"/>
      <c r="E40" s="2" t="s">
        <v>179</v>
      </c>
      <c r="F40" s="57">
        <f t="shared" si="10"/>
        <v>477.17999999999995</v>
      </c>
      <c r="G40" s="195">
        <f t="shared" ref="G40:R40" si="13">(G21*G15+G27*G16)/10^6</f>
        <v>42.26</v>
      </c>
      <c r="H40" s="195">
        <f t="shared" si="13"/>
        <v>12.32</v>
      </c>
      <c r="I40" s="195">
        <f t="shared" si="13"/>
        <v>42.26</v>
      </c>
      <c r="J40" s="195">
        <f t="shared" si="13"/>
        <v>42.26</v>
      </c>
      <c r="K40" s="195">
        <f t="shared" si="13"/>
        <v>42.26</v>
      </c>
      <c r="L40" s="195">
        <f t="shared" si="13"/>
        <v>42.26</v>
      </c>
      <c r="M40" s="195">
        <f t="shared" si="13"/>
        <v>42.26</v>
      </c>
      <c r="N40" s="195">
        <f t="shared" si="13"/>
        <v>42.26</v>
      </c>
      <c r="O40" s="195">
        <f t="shared" si="13"/>
        <v>42.26</v>
      </c>
      <c r="P40" s="195">
        <f t="shared" si="13"/>
        <v>42.26</v>
      </c>
      <c r="Q40" s="195">
        <f t="shared" si="13"/>
        <v>42.26</v>
      </c>
      <c r="R40" s="195">
        <f t="shared" si="13"/>
        <v>42.26</v>
      </c>
      <c r="S40" s="85"/>
      <c r="T40" s="85"/>
      <c r="U40" s="85"/>
      <c r="V40" s="85"/>
      <c r="W40" s="85"/>
      <c r="X40" s="85"/>
      <c r="Y40" s="85"/>
    </row>
    <row r="41" spans="2:25" x14ac:dyDescent="0.35">
      <c r="C41" s="6"/>
      <c r="D41" s="6"/>
      <c r="E41" s="2" t="s">
        <v>312</v>
      </c>
      <c r="F41" s="57">
        <f t="shared" si="10"/>
        <v>1580.2500000000002</v>
      </c>
      <c r="G41" s="195">
        <f t="shared" ref="G41:R41" si="14">(G23*G15+G28*G16)/10^6</f>
        <v>139.94999999999999</v>
      </c>
      <c r="H41" s="195">
        <f t="shared" si="14"/>
        <v>40.799999999999997</v>
      </c>
      <c r="I41" s="195">
        <f t="shared" si="14"/>
        <v>139.94999999999999</v>
      </c>
      <c r="J41" s="195">
        <f t="shared" si="14"/>
        <v>139.94999999999999</v>
      </c>
      <c r="K41" s="195">
        <f t="shared" si="14"/>
        <v>139.94999999999999</v>
      </c>
      <c r="L41" s="195">
        <f t="shared" si="14"/>
        <v>139.94999999999999</v>
      </c>
      <c r="M41" s="195">
        <f t="shared" si="14"/>
        <v>139.94999999999999</v>
      </c>
      <c r="N41" s="195">
        <f t="shared" si="14"/>
        <v>139.94999999999999</v>
      </c>
      <c r="O41" s="195">
        <f t="shared" si="14"/>
        <v>139.94999999999999</v>
      </c>
      <c r="P41" s="195">
        <f t="shared" si="14"/>
        <v>139.94999999999999</v>
      </c>
      <c r="Q41" s="195">
        <f t="shared" si="14"/>
        <v>139.94999999999999</v>
      </c>
      <c r="R41" s="195">
        <f t="shared" si="14"/>
        <v>139.94999999999999</v>
      </c>
      <c r="S41" s="85"/>
      <c r="T41" s="85"/>
      <c r="U41" s="85"/>
      <c r="V41" s="85"/>
      <c r="W41" s="85"/>
      <c r="X41" s="85"/>
      <c r="Y41" s="85"/>
    </row>
    <row r="42" spans="2:25" x14ac:dyDescent="0.35">
      <c r="E42" s="2" t="s">
        <v>28</v>
      </c>
      <c r="F42" s="57">
        <f t="shared" si="10"/>
        <v>641.47</v>
      </c>
      <c r="G42" s="195">
        <f t="shared" ref="G42:R42" si="15">(G22*G15+G29*G16)/10^6</f>
        <v>56.81</v>
      </c>
      <c r="H42" s="195">
        <f t="shared" si="15"/>
        <v>16.559999999999999</v>
      </c>
      <c r="I42" s="195">
        <f t="shared" si="15"/>
        <v>56.81</v>
      </c>
      <c r="J42" s="195">
        <f t="shared" si="15"/>
        <v>56.81</v>
      </c>
      <c r="K42" s="195">
        <f t="shared" si="15"/>
        <v>56.81</v>
      </c>
      <c r="L42" s="195">
        <f t="shared" si="15"/>
        <v>56.81</v>
      </c>
      <c r="M42" s="195">
        <f t="shared" si="15"/>
        <v>56.81</v>
      </c>
      <c r="N42" s="195">
        <f t="shared" si="15"/>
        <v>56.81</v>
      </c>
      <c r="O42" s="195">
        <f t="shared" si="15"/>
        <v>56.81</v>
      </c>
      <c r="P42" s="195">
        <f t="shared" si="15"/>
        <v>56.81</v>
      </c>
      <c r="Q42" s="195">
        <f t="shared" si="15"/>
        <v>56.81</v>
      </c>
      <c r="R42" s="195">
        <f t="shared" si="15"/>
        <v>56.81</v>
      </c>
      <c r="S42" s="62"/>
      <c r="T42" s="62"/>
      <c r="U42" s="57"/>
      <c r="V42" s="96"/>
      <c r="W42" s="97"/>
      <c r="Y42" s="57"/>
    </row>
    <row r="43" spans="2:25" x14ac:dyDescent="0.35">
      <c r="E43" s="2" t="s">
        <v>182</v>
      </c>
      <c r="F43" s="62">
        <f t="shared" si="10"/>
        <v>986.96791666666638</v>
      </c>
      <c r="G43" s="62">
        <f>'Điểm hòa vốn'!I45</f>
        <v>82.247326388888879</v>
      </c>
      <c r="H43" s="62">
        <f>$G43</f>
        <v>82.247326388888879</v>
      </c>
      <c r="I43" s="62">
        <f t="shared" ref="I43:R46" si="16">$G43</f>
        <v>82.247326388888879</v>
      </c>
      <c r="J43" s="62">
        <f t="shared" si="16"/>
        <v>82.247326388888879</v>
      </c>
      <c r="K43" s="62">
        <f t="shared" si="16"/>
        <v>82.247326388888879</v>
      </c>
      <c r="L43" s="62">
        <f t="shared" si="16"/>
        <v>82.247326388888879</v>
      </c>
      <c r="M43" s="62">
        <f t="shared" si="16"/>
        <v>82.247326388888879</v>
      </c>
      <c r="N43" s="62">
        <f t="shared" si="16"/>
        <v>82.247326388888879</v>
      </c>
      <c r="O43" s="62">
        <f t="shared" si="16"/>
        <v>82.247326388888879</v>
      </c>
      <c r="P43" s="62">
        <f t="shared" si="16"/>
        <v>82.247326388888879</v>
      </c>
      <c r="Q43" s="62">
        <f t="shared" si="16"/>
        <v>82.247326388888879</v>
      </c>
      <c r="R43" s="62">
        <f t="shared" si="16"/>
        <v>82.247326388888879</v>
      </c>
      <c r="S43" s="62"/>
      <c r="T43" s="62"/>
      <c r="U43" s="57"/>
      <c r="V43" s="96"/>
      <c r="W43" s="97"/>
      <c r="Y43" s="57"/>
    </row>
    <row r="44" spans="2:25" x14ac:dyDescent="0.35">
      <c r="E44" s="2" t="s">
        <v>310</v>
      </c>
      <c r="F44" s="57">
        <f t="shared" si="10"/>
        <v>1019.5200000000001</v>
      </c>
      <c r="G44" s="62">
        <f>'Điểm hòa vốn'!I43</f>
        <v>84.96</v>
      </c>
      <c r="H44" s="62">
        <f>$G44</f>
        <v>84.96</v>
      </c>
      <c r="I44" s="62">
        <f t="shared" si="16"/>
        <v>84.96</v>
      </c>
      <c r="J44" s="62">
        <f t="shared" si="16"/>
        <v>84.96</v>
      </c>
      <c r="K44" s="62">
        <f t="shared" si="16"/>
        <v>84.96</v>
      </c>
      <c r="L44" s="62">
        <f t="shared" si="16"/>
        <v>84.96</v>
      </c>
      <c r="M44" s="62">
        <f t="shared" si="16"/>
        <v>84.96</v>
      </c>
      <c r="N44" s="62">
        <f t="shared" si="16"/>
        <v>84.96</v>
      </c>
      <c r="O44" s="62">
        <f t="shared" si="16"/>
        <v>84.96</v>
      </c>
      <c r="P44" s="62">
        <f t="shared" si="16"/>
        <v>84.96</v>
      </c>
      <c r="Q44" s="62">
        <f t="shared" si="16"/>
        <v>84.96</v>
      </c>
      <c r="R44" s="62">
        <f t="shared" si="16"/>
        <v>84.96</v>
      </c>
      <c r="S44" s="62"/>
      <c r="T44" s="62"/>
      <c r="U44" s="57"/>
      <c r="V44" s="96"/>
      <c r="W44" s="97"/>
      <c r="Y44" s="57"/>
    </row>
    <row r="45" spans="2:25" x14ac:dyDescent="0.35">
      <c r="E45" s="2" t="s">
        <v>408</v>
      </c>
      <c r="F45" s="57">
        <f t="shared" si="10"/>
        <v>466.66666800000002</v>
      </c>
      <c r="G45" s="62">
        <f>'Điểm hòa vốn'!I42</f>
        <v>38.888888999999999</v>
      </c>
      <c r="H45" s="62">
        <f>$G45</f>
        <v>38.888888999999999</v>
      </c>
      <c r="I45" s="62">
        <f t="shared" si="16"/>
        <v>38.888888999999999</v>
      </c>
      <c r="J45" s="62">
        <f t="shared" si="16"/>
        <v>38.888888999999999</v>
      </c>
      <c r="K45" s="62">
        <f t="shared" si="16"/>
        <v>38.888888999999999</v>
      </c>
      <c r="L45" s="62">
        <f t="shared" si="16"/>
        <v>38.888888999999999</v>
      </c>
      <c r="M45" s="62">
        <f t="shared" si="16"/>
        <v>38.888888999999999</v>
      </c>
      <c r="N45" s="62">
        <f t="shared" si="16"/>
        <v>38.888888999999999</v>
      </c>
      <c r="O45" s="62">
        <f t="shared" si="16"/>
        <v>38.888888999999999</v>
      </c>
      <c r="P45" s="62">
        <f t="shared" si="16"/>
        <v>38.888888999999999</v>
      </c>
      <c r="Q45" s="62">
        <f t="shared" si="16"/>
        <v>38.888888999999999</v>
      </c>
      <c r="R45" s="62">
        <f t="shared" si="16"/>
        <v>38.888888999999999</v>
      </c>
      <c r="S45" s="62"/>
      <c r="T45" s="62"/>
      <c r="U45" s="57"/>
      <c r="V45" s="96"/>
      <c r="W45" s="97"/>
      <c r="Y45" s="57"/>
    </row>
    <row r="46" spans="2:25" x14ac:dyDescent="0.35">
      <c r="E46" s="2" t="s">
        <v>420</v>
      </c>
      <c r="F46" s="57">
        <f t="shared" si="10"/>
        <v>466.86722399999991</v>
      </c>
      <c r="G46" s="62">
        <f>'Điểm hòa vốn'!I44+'Điểm hòa vốn'!$I$54</f>
        <v>38.905602000000002</v>
      </c>
      <c r="H46" s="62">
        <f>$G46</f>
        <v>38.905602000000002</v>
      </c>
      <c r="I46" s="62">
        <f t="shared" si="16"/>
        <v>38.905602000000002</v>
      </c>
      <c r="J46" s="62">
        <f t="shared" si="16"/>
        <v>38.905602000000002</v>
      </c>
      <c r="K46" s="62">
        <f t="shared" si="16"/>
        <v>38.905602000000002</v>
      </c>
      <c r="L46" s="62">
        <f t="shared" si="16"/>
        <v>38.905602000000002</v>
      </c>
      <c r="M46" s="62">
        <f t="shared" si="16"/>
        <v>38.905602000000002</v>
      </c>
      <c r="N46" s="62">
        <f t="shared" si="16"/>
        <v>38.905602000000002</v>
      </c>
      <c r="O46" s="62">
        <f t="shared" si="16"/>
        <v>38.905602000000002</v>
      </c>
      <c r="P46" s="62">
        <f t="shared" si="16"/>
        <v>38.905602000000002</v>
      </c>
      <c r="Q46" s="62">
        <f t="shared" si="16"/>
        <v>38.905602000000002</v>
      </c>
      <c r="R46" s="62">
        <f t="shared" si="16"/>
        <v>38.905602000000002</v>
      </c>
      <c r="S46" s="62"/>
      <c r="T46" s="62"/>
      <c r="U46" s="57"/>
      <c r="V46" s="96"/>
      <c r="W46" s="97"/>
      <c r="Y46" s="57"/>
    </row>
    <row r="47" spans="2:25" x14ac:dyDescent="0.35">
      <c r="E47" s="2" t="s">
        <v>421</v>
      </c>
      <c r="F47" s="57">
        <f t="shared" si="10"/>
        <v>1119.5999999999999</v>
      </c>
      <c r="G47" s="62">
        <f>10%*G36</f>
        <v>93.300000000000011</v>
      </c>
      <c r="H47" s="62">
        <f>$G$47</f>
        <v>93.300000000000011</v>
      </c>
      <c r="I47" s="62">
        <f t="shared" ref="I47:R47" si="17">$G$47</f>
        <v>93.300000000000011</v>
      </c>
      <c r="J47" s="62">
        <f t="shared" si="17"/>
        <v>93.300000000000011</v>
      </c>
      <c r="K47" s="62">
        <f t="shared" si="17"/>
        <v>93.300000000000011</v>
      </c>
      <c r="L47" s="62">
        <f t="shared" si="17"/>
        <v>93.300000000000011</v>
      </c>
      <c r="M47" s="62">
        <f t="shared" si="17"/>
        <v>93.300000000000011</v>
      </c>
      <c r="N47" s="62">
        <f t="shared" si="17"/>
        <v>93.300000000000011</v>
      </c>
      <c r="O47" s="62">
        <f t="shared" si="17"/>
        <v>93.300000000000011</v>
      </c>
      <c r="P47" s="62">
        <f t="shared" si="17"/>
        <v>93.300000000000011</v>
      </c>
      <c r="Q47" s="62">
        <f t="shared" si="17"/>
        <v>93.300000000000011</v>
      </c>
      <c r="R47" s="62">
        <f t="shared" si="17"/>
        <v>93.300000000000011</v>
      </c>
      <c r="S47" s="62"/>
      <c r="T47" s="62"/>
      <c r="U47" s="57"/>
      <c r="V47" s="96"/>
      <c r="W47" s="97"/>
      <c r="Y47" s="57"/>
    </row>
    <row r="48" spans="2:25" x14ac:dyDescent="0.35">
      <c r="E48" s="2" t="s">
        <v>691</v>
      </c>
      <c r="F48" s="57">
        <f t="shared" si="10"/>
        <v>526.74999999999989</v>
      </c>
      <c r="G48" s="62">
        <f>5%*G36</f>
        <v>46.650000000000006</v>
      </c>
      <c r="H48" s="62">
        <f t="shared" ref="H48:R48" si="18">5%*H36</f>
        <v>13.600000000000001</v>
      </c>
      <c r="I48" s="62">
        <f t="shared" si="18"/>
        <v>46.650000000000006</v>
      </c>
      <c r="J48" s="62">
        <f t="shared" si="18"/>
        <v>46.650000000000006</v>
      </c>
      <c r="K48" s="62">
        <f t="shared" si="18"/>
        <v>46.650000000000006</v>
      </c>
      <c r="L48" s="62">
        <f t="shared" si="18"/>
        <v>46.650000000000006</v>
      </c>
      <c r="M48" s="62">
        <f t="shared" si="18"/>
        <v>46.650000000000006</v>
      </c>
      <c r="N48" s="62">
        <f t="shared" si="18"/>
        <v>46.650000000000006</v>
      </c>
      <c r="O48" s="62">
        <f t="shared" si="18"/>
        <v>46.650000000000006</v>
      </c>
      <c r="P48" s="62">
        <f t="shared" si="18"/>
        <v>46.650000000000006</v>
      </c>
      <c r="Q48" s="62">
        <f t="shared" si="18"/>
        <v>46.650000000000006</v>
      </c>
      <c r="R48" s="62">
        <f t="shared" si="18"/>
        <v>46.650000000000006</v>
      </c>
      <c r="S48" s="62"/>
      <c r="T48" s="62"/>
      <c r="U48" s="57"/>
      <c r="V48" s="96"/>
      <c r="W48" s="97"/>
      <c r="Y48" s="57"/>
    </row>
    <row r="49" spans="2:25" ht="13.15" thickBot="1" x14ac:dyDescent="0.4">
      <c r="C49" s="223" t="s">
        <v>308</v>
      </c>
      <c r="D49" s="100"/>
      <c r="E49" s="100"/>
      <c r="F49" s="243">
        <f>SUM(F38:F47)</f>
        <v>7084.4384231401054</v>
      </c>
      <c r="G49" s="243">
        <f>SUM(G38:G48)</f>
        <v>652.83561897101424</v>
      </c>
      <c r="H49" s="243">
        <f t="shared" ref="H49:R49" si="19">SUM(H38:H48)</f>
        <v>429.99661445894861</v>
      </c>
      <c r="I49" s="243">
        <f t="shared" si="19"/>
        <v>652.83561897101424</v>
      </c>
      <c r="J49" s="243">
        <f t="shared" si="19"/>
        <v>652.83561897101424</v>
      </c>
      <c r="K49" s="243">
        <f t="shared" si="19"/>
        <v>652.83561897101424</v>
      </c>
      <c r="L49" s="243">
        <f t="shared" si="19"/>
        <v>652.83561897101424</v>
      </c>
      <c r="M49" s="243">
        <f t="shared" si="19"/>
        <v>652.83561897101424</v>
      </c>
      <c r="N49" s="243">
        <f t="shared" si="19"/>
        <v>652.83561897101424</v>
      </c>
      <c r="O49" s="243">
        <f t="shared" si="19"/>
        <v>652.83561897101424</v>
      </c>
      <c r="P49" s="243">
        <f t="shared" si="19"/>
        <v>652.83561897101424</v>
      </c>
      <c r="Q49" s="243">
        <f t="shared" si="19"/>
        <v>652.83561897101424</v>
      </c>
      <c r="R49" s="243">
        <f t="shared" si="19"/>
        <v>652.83561897101424</v>
      </c>
      <c r="S49" s="62"/>
      <c r="T49" s="62"/>
      <c r="U49" s="57"/>
      <c r="V49" s="96"/>
      <c r="W49" s="97"/>
      <c r="Y49" s="57"/>
    </row>
    <row r="50" spans="2:25" x14ac:dyDescent="0.35">
      <c r="B50" s="89" t="s">
        <v>190</v>
      </c>
      <c r="C50" s="90"/>
      <c r="D50" s="90"/>
      <c r="E50" s="91"/>
      <c r="F50" s="92">
        <f>F36-F49</f>
        <v>3450.5615768598946</v>
      </c>
      <c r="G50" s="92">
        <f t="shared" ref="G50:R50" si="20">G36-G49</f>
        <v>280.16438102898576</v>
      </c>
      <c r="H50" s="92">
        <f t="shared" si="20"/>
        <v>-157.99661445894861</v>
      </c>
      <c r="I50" s="92">
        <f t="shared" si="20"/>
        <v>280.16438102898576</v>
      </c>
      <c r="J50" s="92">
        <f t="shared" si="20"/>
        <v>280.16438102898576</v>
      </c>
      <c r="K50" s="92">
        <f t="shared" si="20"/>
        <v>280.16438102898576</v>
      </c>
      <c r="L50" s="92">
        <f t="shared" si="20"/>
        <v>280.16438102898576</v>
      </c>
      <c r="M50" s="92">
        <f t="shared" si="20"/>
        <v>280.16438102898576</v>
      </c>
      <c r="N50" s="92">
        <f t="shared" si="20"/>
        <v>280.16438102898576</v>
      </c>
      <c r="O50" s="92">
        <f t="shared" si="20"/>
        <v>280.16438102898576</v>
      </c>
      <c r="P50" s="92">
        <f t="shared" si="20"/>
        <v>280.16438102898576</v>
      </c>
      <c r="Q50" s="92">
        <f t="shared" si="20"/>
        <v>280.16438102898576</v>
      </c>
      <c r="R50" s="92">
        <f t="shared" si="20"/>
        <v>280.16438102898576</v>
      </c>
      <c r="S50" s="92"/>
      <c r="T50" s="92"/>
      <c r="U50" s="92"/>
      <c r="V50" s="104"/>
      <c r="W50" s="92"/>
      <c r="X50" s="92"/>
      <c r="Y50" s="92"/>
    </row>
    <row r="51" spans="2:25" x14ac:dyDescent="0.35">
      <c r="E51" s="2" t="s">
        <v>45</v>
      </c>
      <c r="F51" s="62">
        <f>SUM(G51:R51)</f>
        <v>-746.91000000000031</v>
      </c>
      <c r="G51" s="84">
        <f>-'Điểm hòa vốn'!I46</f>
        <v>-62.242500000000007</v>
      </c>
      <c r="H51" s="84">
        <f>$G$51</f>
        <v>-62.242500000000007</v>
      </c>
      <c r="I51" s="84">
        <f t="shared" ref="I51:R51" si="21">$G$51</f>
        <v>-62.242500000000007</v>
      </c>
      <c r="J51" s="84">
        <f t="shared" si="21"/>
        <v>-62.242500000000007</v>
      </c>
      <c r="K51" s="84">
        <f t="shared" si="21"/>
        <v>-62.242500000000007</v>
      </c>
      <c r="L51" s="84">
        <f t="shared" si="21"/>
        <v>-62.242500000000007</v>
      </c>
      <c r="M51" s="84">
        <f t="shared" si="21"/>
        <v>-62.242500000000007</v>
      </c>
      <c r="N51" s="84">
        <f t="shared" si="21"/>
        <v>-62.242500000000007</v>
      </c>
      <c r="O51" s="84">
        <f t="shared" si="21"/>
        <v>-62.242500000000007</v>
      </c>
      <c r="P51" s="84">
        <f t="shared" si="21"/>
        <v>-62.242500000000007</v>
      </c>
      <c r="Q51" s="84">
        <f t="shared" si="21"/>
        <v>-62.242500000000007</v>
      </c>
      <c r="R51" s="84">
        <f t="shared" si="21"/>
        <v>-62.242500000000007</v>
      </c>
    </row>
    <row r="52" spans="2:25" x14ac:dyDescent="0.35">
      <c r="E52" s="2" t="s">
        <v>41</v>
      </c>
      <c r="F52" s="62">
        <f>SUM(G52:R52)</f>
        <v>-2603.3721087272729</v>
      </c>
      <c r="G52" s="62">
        <f>-'Điểm hòa vốn'!I47</f>
        <v>-216.94767572727272</v>
      </c>
      <c r="H52" s="62">
        <f>$G52</f>
        <v>-216.94767572727272</v>
      </c>
      <c r="I52" s="62">
        <f t="shared" ref="I52:R52" si="22">$G52</f>
        <v>-216.94767572727272</v>
      </c>
      <c r="J52" s="62">
        <f t="shared" si="22"/>
        <v>-216.94767572727272</v>
      </c>
      <c r="K52" s="62">
        <f t="shared" si="22"/>
        <v>-216.94767572727272</v>
      </c>
      <c r="L52" s="62">
        <f t="shared" si="22"/>
        <v>-216.94767572727272</v>
      </c>
      <c r="M52" s="62">
        <f t="shared" si="22"/>
        <v>-216.94767572727272</v>
      </c>
      <c r="N52" s="62">
        <f t="shared" si="22"/>
        <v>-216.94767572727272</v>
      </c>
      <c r="O52" s="62">
        <f t="shared" si="22"/>
        <v>-216.94767572727272</v>
      </c>
      <c r="P52" s="62">
        <f t="shared" si="22"/>
        <v>-216.94767572727272</v>
      </c>
      <c r="Q52" s="62">
        <f t="shared" si="22"/>
        <v>-216.94767572727272</v>
      </c>
      <c r="R52" s="62">
        <f t="shared" si="22"/>
        <v>-216.94767572727272</v>
      </c>
    </row>
    <row r="53" spans="2:25" x14ac:dyDescent="0.35">
      <c r="B53" s="6" t="s">
        <v>422</v>
      </c>
      <c r="F53" s="218">
        <f>SUM(F50:F52)</f>
        <v>100.27946813262133</v>
      </c>
      <c r="G53" s="218">
        <f t="shared" ref="G53:R53" si="23">SUM(G50:G52)</f>
        <v>0.97420530171302744</v>
      </c>
      <c r="H53" s="218">
        <f t="shared" si="23"/>
        <v>-437.18679018622134</v>
      </c>
      <c r="I53" s="218">
        <f t="shared" si="23"/>
        <v>0.97420530171302744</v>
      </c>
      <c r="J53" s="218">
        <f t="shared" si="23"/>
        <v>0.97420530171302744</v>
      </c>
      <c r="K53" s="218">
        <f t="shared" si="23"/>
        <v>0.97420530171302744</v>
      </c>
      <c r="L53" s="218">
        <f t="shared" si="23"/>
        <v>0.97420530171302744</v>
      </c>
      <c r="M53" s="218">
        <f t="shared" si="23"/>
        <v>0.97420530171302744</v>
      </c>
      <c r="N53" s="218">
        <f t="shared" si="23"/>
        <v>0.97420530171302744</v>
      </c>
      <c r="O53" s="218">
        <f t="shared" si="23"/>
        <v>0.97420530171302744</v>
      </c>
      <c r="P53" s="218">
        <f t="shared" si="23"/>
        <v>0.97420530171302744</v>
      </c>
      <c r="Q53" s="218">
        <f t="shared" si="23"/>
        <v>0.97420530171302744</v>
      </c>
      <c r="R53" s="218">
        <f t="shared" si="23"/>
        <v>0.97420530171302744</v>
      </c>
    </row>
    <row r="54" spans="2:25" x14ac:dyDescent="0.35">
      <c r="B54" s="6"/>
      <c r="F54" s="62"/>
    </row>
    <row r="55" spans="2:25" x14ac:dyDescent="0.35">
      <c r="E55" s="2" t="s">
        <v>354</v>
      </c>
      <c r="F55" s="62">
        <f>VTB_TBH!C29</f>
        <v>-2036</v>
      </c>
    </row>
    <row r="56" spans="2:25" x14ac:dyDescent="0.35">
      <c r="E56" s="2" t="s">
        <v>355</v>
      </c>
      <c r="F56" s="57">
        <f>-'Site list'!G8*(1-'Site list'!H8)/10</f>
        <v>-599.1</v>
      </c>
    </row>
    <row r="57" spans="2:25" ht="13.15" thickBot="1" x14ac:dyDescent="0.4"/>
    <row r="58" spans="2:25" x14ac:dyDescent="0.35">
      <c r="B58" s="89" t="s">
        <v>451</v>
      </c>
      <c r="F58" s="84">
        <f>F50*'Site list'!H7</f>
        <v>3289.4203512205377</v>
      </c>
      <c r="G58" s="84"/>
    </row>
    <row r="59" spans="2:25" x14ac:dyDescent="0.35">
      <c r="G59" s="84"/>
    </row>
  </sheetData>
  <pageMargins left="0.7" right="0.7" top="0.75" bottom="0.75" header="0.3" footer="0.3"/>
  <pageSetup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6874E-FEA3-4EEE-A234-5B835E4F0E22}">
  <sheetPr>
    <tabColor rgb="FF2596BE"/>
  </sheetPr>
  <dimension ref="B3:Y55"/>
  <sheetViews>
    <sheetView workbookViewId="0">
      <pane xSplit="5" ySplit="9" topLeftCell="F10" activePane="bottomRight" state="frozen"/>
      <selection pane="topRight" activeCell="E1" sqref="E1"/>
      <selection pane="bottomLeft" activeCell="A4" sqref="A4"/>
      <selection pane="bottomRight" activeCell="H16" sqref="H16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45.1328125" style="2" customWidth="1"/>
    <col min="6" max="6" width="12.265625" style="2" customWidth="1"/>
    <col min="7" max="8" width="9.1328125" style="2" customWidth="1" outlineLevel="1"/>
    <col min="9" max="9" width="9" style="2" customWidth="1" outlineLevel="1"/>
    <col min="10" max="17" width="9.1328125" style="2" customWidth="1" outlineLevel="1"/>
    <col min="18" max="18" width="10.265625" style="2" bestFit="1" customWidth="1"/>
    <col min="19" max="19" width="12.1328125" style="2" customWidth="1"/>
    <col min="20" max="20" width="10.59765625" style="2" customWidth="1"/>
    <col min="21" max="21" width="18.59765625" style="2" customWidth="1"/>
    <col min="22" max="22" width="11.3984375" style="2" customWidth="1"/>
    <col min="23" max="23" width="12.86328125" style="2" customWidth="1"/>
    <col min="24" max="24" width="13.1328125" style="2" customWidth="1"/>
    <col min="25" max="16384" width="9.1328125" style="2"/>
  </cols>
  <sheetData>
    <row r="3" spans="2:25" x14ac:dyDescent="0.35">
      <c r="I3" s="60"/>
    </row>
    <row r="4" spans="2:25" x14ac:dyDescent="0.35">
      <c r="B4" s="2" t="s">
        <v>25</v>
      </c>
    </row>
    <row r="6" spans="2:25" x14ac:dyDescent="0.35">
      <c r="B6" s="27" t="s">
        <v>299</v>
      </c>
    </row>
    <row r="7" spans="2:25" s="6" customFormat="1" x14ac:dyDescent="0.35">
      <c r="B7" s="6" t="s">
        <v>335</v>
      </c>
      <c r="G7" s="74" t="s">
        <v>142</v>
      </c>
      <c r="H7" s="74" t="s">
        <v>142</v>
      </c>
      <c r="I7" s="74" t="s">
        <v>142</v>
      </c>
      <c r="J7" s="74" t="s">
        <v>142</v>
      </c>
      <c r="K7" s="74" t="s">
        <v>142</v>
      </c>
      <c r="L7" s="74" t="s">
        <v>142</v>
      </c>
      <c r="M7" s="74" t="s">
        <v>142</v>
      </c>
      <c r="N7" s="74" t="s">
        <v>142</v>
      </c>
      <c r="O7" s="74" t="s">
        <v>142</v>
      </c>
      <c r="P7" s="74" t="s">
        <v>142</v>
      </c>
      <c r="Q7" s="74" t="s">
        <v>142</v>
      </c>
      <c r="R7" s="74" t="s">
        <v>142</v>
      </c>
    </row>
    <row r="8" spans="2:25" x14ac:dyDescent="0.35">
      <c r="B8" s="32" t="s">
        <v>212</v>
      </c>
      <c r="G8" s="32" t="s">
        <v>52</v>
      </c>
    </row>
    <row r="9" spans="2:25" ht="13.5" x14ac:dyDescent="0.35">
      <c r="B9" s="45" t="s">
        <v>101</v>
      </c>
      <c r="F9" s="6" t="s">
        <v>309</v>
      </c>
      <c r="G9" s="61">
        <v>1</v>
      </c>
      <c r="H9" s="61">
        <v>2</v>
      </c>
      <c r="I9" s="61">
        <v>3</v>
      </c>
      <c r="J9" s="61">
        <v>4</v>
      </c>
      <c r="K9" s="61">
        <v>5</v>
      </c>
      <c r="L9" s="61">
        <v>6</v>
      </c>
      <c r="M9" s="61">
        <v>7</v>
      </c>
      <c r="N9" s="61">
        <v>8</v>
      </c>
      <c r="O9" s="61">
        <v>9</v>
      </c>
      <c r="P9" s="61">
        <v>10</v>
      </c>
      <c r="Q9" s="61">
        <v>11</v>
      </c>
      <c r="R9" s="61">
        <v>12</v>
      </c>
      <c r="S9" s="113" t="s">
        <v>197</v>
      </c>
      <c r="T9" s="114"/>
      <c r="U9" s="114"/>
      <c r="V9" s="32"/>
      <c r="W9" s="32"/>
      <c r="X9" s="6"/>
      <c r="Y9" s="73"/>
    </row>
    <row r="10" spans="2:25" x14ac:dyDescent="0.35">
      <c r="B10" s="27"/>
      <c r="D10" s="6"/>
      <c r="R10" s="58"/>
    </row>
    <row r="11" spans="2:25" x14ac:dyDescent="0.35">
      <c r="B11" s="27" t="s">
        <v>300</v>
      </c>
      <c r="D11" s="6"/>
      <c r="R11" s="58"/>
    </row>
    <row r="12" spans="2:25" x14ac:dyDescent="0.35">
      <c r="B12" s="27"/>
      <c r="D12" s="6"/>
      <c r="E12" s="2" t="s">
        <v>6</v>
      </c>
      <c r="G12" s="239">
        <f>'Điểm hòa vốn'!J83/10^6</f>
        <v>2</v>
      </c>
      <c r="H12" s="225">
        <f>$G$12</f>
        <v>2</v>
      </c>
      <c r="I12" s="225">
        <f t="shared" ref="I12:R12" si="0">$G$12</f>
        <v>2</v>
      </c>
      <c r="J12" s="225">
        <f t="shared" si="0"/>
        <v>2</v>
      </c>
      <c r="K12" s="225">
        <f t="shared" si="0"/>
        <v>2</v>
      </c>
      <c r="L12" s="225">
        <f t="shared" si="0"/>
        <v>2</v>
      </c>
      <c r="M12" s="225">
        <f t="shared" si="0"/>
        <v>2</v>
      </c>
      <c r="N12" s="225">
        <f t="shared" si="0"/>
        <v>2</v>
      </c>
      <c r="O12" s="225">
        <f t="shared" si="0"/>
        <v>2</v>
      </c>
      <c r="P12" s="225">
        <f t="shared" si="0"/>
        <v>2</v>
      </c>
      <c r="Q12" s="225">
        <f t="shared" si="0"/>
        <v>2</v>
      </c>
      <c r="R12" s="225">
        <f t="shared" si="0"/>
        <v>2</v>
      </c>
      <c r="S12" s="2" t="s">
        <v>426</v>
      </c>
    </row>
    <row r="13" spans="2:25" x14ac:dyDescent="0.35">
      <c r="B13" s="27"/>
      <c r="D13" s="6"/>
      <c r="G13" s="237"/>
      <c r="H13" s="237"/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" t="s">
        <v>336</v>
      </c>
    </row>
    <row r="14" spans="2:25" x14ac:dyDescent="0.35">
      <c r="B14" s="27" t="s">
        <v>301</v>
      </c>
      <c r="D14" s="6"/>
      <c r="R14" s="58"/>
    </row>
    <row r="15" spans="2:25" x14ac:dyDescent="0.35">
      <c r="B15" s="27"/>
      <c r="D15" s="6"/>
      <c r="E15" s="2" t="s">
        <v>6</v>
      </c>
      <c r="G15" s="238">
        <f>'Điểm hòa vốn'!$J$92</f>
        <v>241</v>
      </c>
      <c r="H15" s="238">
        <v>126</v>
      </c>
      <c r="I15" s="238">
        <f>'Điểm hòa vốn'!$J$92</f>
        <v>241</v>
      </c>
      <c r="J15" s="238">
        <f>'Điểm hòa vốn'!$J$92</f>
        <v>241</v>
      </c>
      <c r="K15" s="238">
        <f>'Điểm hòa vốn'!$J$92</f>
        <v>241</v>
      </c>
      <c r="L15" s="238">
        <f>'Điểm hòa vốn'!$J$98</f>
        <v>381</v>
      </c>
      <c r="M15" s="238">
        <f>'Điểm hòa vốn'!$J$98</f>
        <v>381</v>
      </c>
      <c r="N15" s="238">
        <f>'Điểm hòa vốn'!$J$98</f>
        <v>381</v>
      </c>
      <c r="O15" s="238">
        <f>'Điểm hòa vốn'!$J$98</f>
        <v>381</v>
      </c>
      <c r="P15" s="238">
        <f>'Điểm hòa vốn'!$J$98</f>
        <v>381</v>
      </c>
      <c r="Q15" s="238">
        <f>'Điểm hòa vốn'!$J$98</f>
        <v>381</v>
      </c>
      <c r="R15" s="238">
        <f>'Điểm hòa vốn'!$J$98</f>
        <v>381</v>
      </c>
    </row>
    <row r="16" spans="2:25" x14ac:dyDescent="0.35">
      <c r="B16" s="27"/>
      <c r="D16" s="6"/>
      <c r="G16" s="238"/>
      <c r="H16" s="238"/>
      <c r="I16" s="238"/>
      <c r="J16" s="238"/>
      <c r="K16" s="238"/>
      <c r="L16" s="238"/>
      <c r="M16" s="238"/>
      <c r="N16" s="238"/>
      <c r="O16" s="238"/>
      <c r="P16" s="238"/>
      <c r="Q16" s="238"/>
      <c r="R16" s="238"/>
    </row>
    <row r="17" spans="2:25" x14ac:dyDescent="0.35">
      <c r="B17" s="27" t="s">
        <v>314</v>
      </c>
      <c r="D17" s="6"/>
      <c r="R17" s="58"/>
    </row>
    <row r="18" spans="2:25" x14ac:dyDescent="0.35">
      <c r="B18" s="27"/>
      <c r="D18" s="6"/>
      <c r="E18" s="2" t="s">
        <v>302</v>
      </c>
      <c r="G18" s="238">
        <f>'Điểm hòa vốn'!$J$58</f>
        <v>65590.643274853806</v>
      </c>
      <c r="H18" s="238">
        <f>'Điểm hòa vốn'!$J$58</f>
        <v>65590.643274853806</v>
      </c>
      <c r="I18" s="238">
        <f>'Điểm hòa vốn'!$J$58</f>
        <v>65590.643274853806</v>
      </c>
      <c r="J18" s="238">
        <f>'Điểm hòa vốn'!$J$58</f>
        <v>65590.643274853806</v>
      </c>
      <c r="K18" s="238">
        <f>'Điểm hòa vốn'!$J$58</f>
        <v>65590.643274853806</v>
      </c>
      <c r="L18" s="238">
        <f>'Điểm hòa vốn'!$J$58</f>
        <v>65590.643274853806</v>
      </c>
      <c r="M18" s="238">
        <f>'Điểm hòa vốn'!$J$58</f>
        <v>65590.643274853806</v>
      </c>
      <c r="N18" s="238">
        <f>'Điểm hòa vốn'!$J$58</f>
        <v>65590.643274853806</v>
      </c>
      <c r="O18" s="238">
        <f>'Điểm hòa vốn'!$J$58</f>
        <v>65590.643274853806</v>
      </c>
      <c r="P18" s="238">
        <f>'Điểm hòa vốn'!$J$58</f>
        <v>65590.643274853806</v>
      </c>
      <c r="Q18" s="238">
        <f>'Điểm hòa vốn'!$J$58</f>
        <v>65590.643274853806</v>
      </c>
      <c r="R18" s="238">
        <f>'Điểm hòa vốn'!$J$58</f>
        <v>65590.643274853806</v>
      </c>
      <c r="S18" s="2" t="s">
        <v>419</v>
      </c>
    </row>
    <row r="19" spans="2:25" x14ac:dyDescent="0.35">
      <c r="B19" s="27"/>
      <c r="D19" s="6"/>
      <c r="E19" s="2" t="s">
        <v>303</v>
      </c>
      <c r="G19" s="57">
        <v>0</v>
      </c>
      <c r="H19" s="57">
        <f t="shared" ref="H19:R22" si="1">$G19</f>
        <v>0</v>
      </c>
      <c r="I19" s="57">
        <f t="shared" si="1"/>
        <v>0</v>
      </c>
      <c r="J19" s="57">
        <f t="shared" si="1"/>
        <v>0</v>
      </c>
      <c r="K19" s="57">
        <f t="shared" si="1"/>
        <v>0</v>
      </c>
      <c r="L19" s="57">
        <f t="shared" si="1"/>
        <v>0</v>
      </c>
      <c r="M19" s="57">
        <f t="shared" si="1"/>
        <v>0</v>
      </c>
      <c r="N19" s="57">
        <f t="shared" si="1"/>
        <v>0</v>
      </c>
      <c r="O19" s="57">
        <f t="shared" si="1"/>
        <v>0</v>
      </c>
      <c r="P19" s="57">
        <f t="shared" si="1"/>
        <v>0</v>
      </c>
      <c r="Q19" s="57">
        <f t="shared" si="1"/>
        <v>0</v>
      </c>
      <c r="R19" s="57">
        <f t="shared" si="1"/>
        <v>0</v>
      </c>
    </row>
    <row r="20" spans="2:25" x14ac:dyDescent="0.35">
      <c r="B20" s="27"/>
      <c r="D20" s="6"/>
      <c r="E20" s="2" t="s">
        <v>304</v>
      </c>
      <c r="G20" s="57">
        <f>'Điểm hòa vốn'!$J$67</f>
        <v>90000</v>
      </c>
      <c r="H20" s="57">
        <f t="shared" si="1"/>
        <v>90000</v>
      </c>
      <c r="I20" s="57">
        <f t="shared" si="1"/>
        <v>90000</v>
      </c>
      <c r="J20" s="57">
        <f t="shared" si="1"/>
        <v>90000</v>
      </c>
      <c r="K20" s="57">
        <f t="shared" si="1"/>
        <v>90000</v>
      </c>
      <c r="L20" s="57">
        <f t="shared" si="1"/>
        <v>90000</v>
      </c>
      <c r="M20" s="57">
        <f t="shared" si="1"/>
        <v>90000</v>
      </c>
      <c r="N20" s="57">
        <f t="shared" si="1"/>
        <v>90000</v>
      </c>
      <c r="O20" s="57">
        <f t="shared" si="1"/>
        <v>90000</v>
      </c>
      <c r="P20" s="57">
        <f t="shared" si="1"/>
        <v>90000</v>
      </c>
      <c r="Q20" s="57">
        <f t="shared" si="1"/>
        <v>90000</v>
      </c>
      <c r="R20" s="57">
        <f t="shared" si="1"/>
        <v>90000</v>
      </c>
    </row>
    <row r="21" spans="2:25" x14ac:dyDescent="0.35">
      <c r="B21" s="27"/>
      <c r="D21" s="6"/>
      <c r="E21" s="2" t="s">
        <v>305</v>
      </c>
      <c r="G21" s="57">
        <f>'Điểm hòa vốn'!J71</f>
        <v>250000</v>
      </c>
      <c r="H21" s="57">
        <f t="shared" si="1"/>
        <v>250000</v>
      </c>
      <c r="I21" s="57">
        <f t="shared" si="1"/>
        <v>250000</v>
      </c>
      <c r="J21" s="57">
        <f t="shared" si="1"/>
        <v>250000</v>
      </c>
      <c r="K21" s="57">
        <f t="shared" si="1"/>
        <v>250000</v>
      </c>
      <c r="L21" s="57">
        <f t="shared" si="1"/>
        <v>250000</v>
      </c>
      <c r="M21" s="57">
        <f t="shared" si="1"/>
        <v>250000</v>
      </c>
      <c r="N21" s="57">
        <f t="shared" si="1"/>
        <v>250000</v>
      </c>
      <c r="O21" s="57">
        <f t="shared" si="1"/>
        <v>250000</v>
      </c>
      <c r="P21" s="57">
        <f t="shared" si="1"/>
        <v>250000</v>
      </c>
      <c r="Q21" s="57">
        <f t="shared" si="1"/>
        <v>250000</v>
      </c>
      <c r="R21" s="57">
        <f t="shared" si="1"/>
        <v>250000</v>
      </c>
    </row>
    <row r="22" spans="2:25" x14ac:dyDescent="0.35">
      <c r="B22" s="27"/>
      <c r="D22" s="6"/>
      <c r="E22" s="2" t="s">
        <v>306</v>
      </c>
      <c r="G22" s="57">
        <f>'Điểm hòa vốn'!J75</f>
        <v>115000</v>
      </c>
      <c r="H22" s="57">
        <f t="shared" si="1"/>
        <v>115000</v>
      </c>
      <c r="I22" s="57">
        <f t="shared" si="1"/>
        <v>115000</v>
      </c>
      <c r="J22" s="57">
        <f t="shared" si="1"/>
        <v>115000</v>
      </c>
      <c r="K22" s="57">
        <f t="shared" si="1"/>
        <v>115000</v>
      </c>
      <c r="L22" s="57">
        <f t="shared" si="1"/>
        <v>115000</v>
      </c>
      <c r="M22" s="57">
        <f t="shared" si="1"/>
        <v>115000</v>
      </c>
      <c r="N22" s="57">
        <f t="shared" si="1"/>
        <v>115000</v>
      </c>
      <c r="O22" s="57">
        <f t="shared" si="1"/>
        <v>115000</v>
      </c>
      <c r="P22" s="57">
        <f t="shared" si="1"/>
        <v>115000</v>
      </c>
      <c r="Q22" s="57">
        <f t="shared" si="1"/>
        <v>115000</v>
      </c>
      <c r="R22" s="57">
        <f t="shared" si="1"/>
        <v>115000</v>
      </c>
    </row>
    <row r="23" spans="2:25" x14ac:dyDescent="0.35">
      <c r="B23" s="6"/>
      <c r="D23" s="6"/>
      <c r="R23" s="58"/>
    </row>
    <row r="24" spans="2:25" x14ac:dyDescent="0.35">
      <c r="B24" s="27" t="s">
        <v>11</v>
      </c>
      <c r="D24" s="6"/>
      <c r="R24" s="58"/>
    </row>
    <row r="25" spans="2:25" outlineLevel="1" x14ac:dyDescent="0.35">
      <c r="E25" s="2" t="s">
        <v>6</v>
      </c>
      <c r="F25" s="57">
        <f>SUM(G25:R25)</f>
        <v>7514</v>
      </c>
      <c r="G25" s="62">
        <f t="shared" ref="G25:R25" si="2">G12*G15</f>
        <v>482</v>
      </c>
      <c r="H25" s="62">
        <f t="shared" si="2"/>
        <v>252</v>
      </c>
      <c r="I25" s="62">
        <f t="shared" si="2"/>
        <v>482</v>
      </c>
      <c r="J25" s="62">
        <f t="shared" si="2"/>
        <v>482</v>
      </c>
      <c r="K25" s="62">
        <f t="shared" si="2"/>
        <v>482</v>
      </c>
      <c r="L25" s="62">
        <f t="shared" si="2"/>
        <v>762</v>
      </c>
      <c r="M25" s="62">
        <f t="shared" si="2"/>
        <v>762</v>
      </c>
      <c r="N25" s="62">
        <f t="shared" si="2"/>
        <v>762</v>
      </c>
      <c r="O25" s="62">
        <f t="shared" si="2"/>
        <v>762</v>
      </c>
      <c r="P25" s="62">
        <f t="shared" si="2"/>
        <v>762</v>
      </c>
      <c r="Q25" s="62">
        <f t="shared" si="2"/>
        <v>762</v>
      </c>
      <c r="R25" s="62">
        <f t="shared" si="2"/>
        <v>762</v>
      </c>
      <c r="S25" s="62"/>
      <c r="T25" s="62"/>
      <c r="U25" s="57"/>
      <c r="V25" s="96"/>
      <c r="W25" s="97"/>
      <c r="Y25" s="57"/>
    </row>
    <row r="26" spans="2:25" outlineLevel="1" x14ac:dyDescent="0.35">
      <c r="E26" s="2" t="s">
        <v>9</v>
      </c>
      <c r="F26" s="57">
        <f>SUM(G26:R26)</f>
        <v>0</v>
      </c>
      <c r="G26" s="62">
        <v>0</v>
      </c>
      <c r="H26" s="62">
        <v>0</v>
      </c>
      <c r="I26" s="62">
        <v>0</v>
      </c>
      <c r="J26" s="62">
        <v>0</v>
      </c>
      <c r="K26" s="62">
        <v>0</v>
      </c>
      <c r="L26" s="62">
        <v>0</v>
      </c>
      <c r="M26" s="62">
        <v>0</v>
      </c>
      <c r="N26" s="62">
        <v>0</v>
      </c>
      <c r="O26" s="62">
        <v>0</v>
      </c>
      <c r="P26" s="62">
        <v>0</v>
      </c>
      <c r="Q26" s="62">
        <v>0</v>
      </c>
      <c r="R26" s="62">
        <v>0</v>
      </c>
      <c r="S26" s="62"/>
      <c r="T26" s="62"/>
      <c r="U26" s="57"/>
      <c r="V26" s="96"/>
      <c r="W26" s="97"/>
      <c r="Y26" s="57"/>
    </row>
    <row r="27" spans="2:25" outlineLevel="1" x14ac:dyDescent="0.35">
      <c r="C27" s="259" t="s">
        <v>353</v>
      </c>
      <c r="D27" s="66"/>
      <c r="E27" s="66"/>
      <c r="F27" s="260">
        <f>SUM(F25:F26)</f>
        <v>7514</v>
      </c>
      <c r="G27" s="260">
        <f t="shared" ref="G27:R27" si="3">SUM(G25:G26)</f>
        <v>482</v>
      </c>
      <c r="H27" s="260">
        <f t="shared" si="3"/>
        <v>252</v>
      </c>
      <c r="I27" s="260">
        <f t="shared" si="3"/>
        <v>482</v>
      </c>
      <c r="J27" s="260">
        <f t="shared" si="3"/>
        <v>482</v>
      </c>
      <c r="K27" s="260">
        <f t="shared" si="3"/>
        <v>482</v>
      </c>
      <c r="L27" s="260">
        <f t="shared" si="3"/>
        <v>762</v>
      </c>
      <c r="M27" s="260">
        <f t="shared" si="3"/>
        <v>762</v>
      </c>
      <c r="N27" s="260">
        <f t="shared" si="3"/>
        <v>762</v>
      </c>
      <c r="O27" s="260">
        <f t="shared" si="3"/>
        <v>762</v>
      </c>
      <c r="P27" s="260">
        <f t="shared" si="3"/>
        <v>762</v>
      </c>
      <c r="Q27" s="260">
        <f t="shared" si="3"/>
        <v>762</v>
      </c>
      <c r="R27" s="260">
        <f t="shared" si="3"/>
        <v>762</v>
      </c>
      <c r="S27" s="62"/>
      <c r="T27" s="62">
        <f>SUM(G27:R27)</f>
        <v>7514</v>
      </c>
      <c r="U27" s="57"/>
      <c r="V27" s="96"/>
      <c r="W27" s="97"/>
      <c r="Y27" s="57"/>
    </row>
    <row r="28" spans="2:25" x14ac:dyDescent="0.35">
      <c r="B28" s="27" t="s">
        <v>307</v>
      </c>
      <c r="D28" s="55"/>
      <c r="F28" s="58"/>
      <c r="G28" s="222"/>
      <c r="H28" s="222"/>
      <c r="I28" s="222"/>
      <c r="J28" s="222"/>
      <c r="K28" s="222"/>
      <c r="L28" s="222"/>
      <c r="M28" s="222"/>
      <c r="N28" s="222"/>
      <c r="O28" s="222"/>
      <c r="P28" s="222"/>
      <c r="Q28" s="222"/>
      <c r="R28" s="59"/>
      <c r="S28" s="59"/>
      <c r="T28" s="59"/>
      <c r="U28" s="59"/>
      <c r="V28" s="118"/>
      <c r="Y28" s="59"/>
    </row>
    <row r="29" spans="2:25" x14ac:dyDescent="0.35">
      <c r="B29" s="27"/>
      <c r="D29" s="55"/>
      <c r="E29" s="2" t="s">
        <v>23</v>
      </c>
      <c r="F29" s="57">
        <f>SUM(G29:R29)</f>
        <v>246.4240467836257</v>
      </c>
      <c r="G29" s="195">
        <f t="shared" ref="G29:R29" si="4">G18*G$15/10^6</f>
        <v>15.807345029239768</v>
      </c>
      <c r="H29" s="195">
        <f t="shared" si="4"/>
        <v>8.2644210526315796</v>
      </c>
      <c r="I29" s="195">
        <f t="shared" si="4"/>
        <v>15.807345029239768</v>
      </c>
      <c r="J29" s="195">
        <f t="shared" si="4"/>
        <v>15.807345029239768</v>
      </c>
      <c r="K29" s="195">
        <f t="shared" si="4"/>
        <v>15.807345029239768</v>
      </c>
      <c r="L29" s="195">
        <f t="shared" si="4"/>
        <v>24.990035087719299</v>
      </c>
      <c r="M29" s="195">
        <f t="shared" si="4"/>
        <v>24.990035087719299</v>
      </c>
      <c r="N29" s="195">
        <f t="shared" si="4"/>
        <v>24.990035087719299</v>
      </c>
      <c r="O29" s="195">
        <f t="shared" si="4"/>
        <v>24.990035087719299</v>
      </c>
      <c r="P29" s="195">
        <f t="shared" si="4"/>
        <v>24.990035087719299</v>
      </c>
      <c r="Q29" s="195">
        <f t="shared" si="4"/>
        <v>24.990035087719299</v>
      </c>
      <c r="R29" s="195">
        <f t="shared" si="4"/>
        <v>24.990035087719299</v>
      </c>
      <c r="S29" s="59"/>
      <c r="T29" s="62">
        <f t="shared" ref="T29:T40" si="5">SUM(G29:R29)</f>
        <v>246.4240467836257</v>
      </c>
      <c r="U29" s="59"/>
      <c r="V29" s="118"/>
      <c r="Y29" s="59"/>
    </row>
    <row r="30" spans="2:25" x14ac:dyDescent="0.35">
      <c r="B30" s="27"/>
      <c r="D30" s="55"/>
      <c r="F30" s="57">
        <f>SUM(G30:R30)</f>
        <v>0</v>
      </c>
      <c r="G30" s="195">
        <f t="shared" ref="G30:R30" si="6">G19*G$15/10^6</f>
        <v>0</v>
      </c>
      <c r="H30" s="195">
        <f t="shared" si="6"/>
        <v>0</v>
      </c>
      <c r="I30" s="195">
        <f t="shared" si="6"/>
        <v>0</v>
      </c>
      <c r="J30" s="195">
        <f t="shared" si="6"/>
        <v>0</v>
      </c>
      <c r="K30" s="195">
        <f t="shared" si="6"/>
        <v>0</v>
      </c>
      <c r="L30" s="195">
        <f t="shared" si="6"/>
        <v>0</v>
      </c>
      <c r="M30" s="195">
        <f t="shared" si="6"/>
        <v>0</v>
      </c>
      <c r="N30" s="195">
        <f t="shared" si="6"/>
        <v>0</v>
      </c>
      <c r="O30" s="195">
        <f t="shared" si="6"/>
        <v>0</v>
      </c>
      <c r="P30" s="195">
        <f t="shared" si="6"/>
        <v>0</v>
      </c>
      <c r="Q30" s="195">
        <f t="shared" si="6"/>
        <v>0</v>
      </c>
      <c r="R30" s="195">
        <f t="shared" si="6"/>
        <v>0</v>
      </c>
      <c r="S30" s="59"/>
      <c r="T30" s="62">
        <f t="shared" si="5"/>
        <v>0</v>
      </c>
      <c r="U30" s="59"/>
      <c r="V30" s="118"/>
      <c r="Y30" s="59"/>
    </row>
    <row r="31" spans="2:25" x14ac:dyDescent="0.35">
      <c r="C31" s="6"/>
      <c r="D31" s="6"/>
      <c r="E31" s="2" t="s">
        <v>179</v>
      </c>
      <c r="F31" s="57">
        <f>SUM(G31:R31)</f>
        <v>338.13</v>
      </c>
      <c r="G31" s="195">
        <f t="shared" ref="G31:R31" si="7">G20*G$15/10^6</f>
        <v>21.69</v>
      </c>
      <c r="H31" s="195">
        <f t="shared" si="7"/>
        <v>11.34</v>
      </c>
      <c r="I31" s="195">
        <f t="shared" si="7"/>
        <v>21.69</v>
      </c>
      <c r="J31" s="195">
        <f t="shared" si="7"/>
        <v>21.69</v>
      </c>
      <c r="K31" s="195">
        <f t="shared" si="7"/>
        <v>21.69</v>
      </c>
      <c r="L31" s="195">
        <f t="shared" si="7"/>
        <v>34.29</v>
      </c>
      <c r="M31" s="195">
        <f t="shared" si="7"/>
        <v>34.29</v>
      </c>
      <c r="N31" s="195">
        <f t="shared" si="7"/>
        <v>34.29</v>
      </c>
      <c r="O31" s="195">
        <f t="shared" si="7"/>
        <v>34.29</v>
      </c>
      <c r="P31" s="195">
        <f t="shared" si="7"/>
        <v>34.29</v>
      </c>
      <c r="Q31" s="195">
        <f t="shared" si="7"/>
        <v>34.29</v>
      </c>
      <c r="R31" s="195">
        <f t="shared" si="7"/>
        <v>34.29</v>
      </c>
      <c r="S31" s="85"/>
      <c r="T31" s="62">
        <f t="shared" si="5"/>
        <v>338.13</v>
      </c>
      <c r="U31" s="85"/>
      <c r="V31" s="85"/>
      <c r="W31" s="85"/>
      <c r="X31" s="85"/>
      <c r="Y31" s="85"/>
    </row>
    <row r="32" spans="2:25" x14ac:dyDescent="0.35">
      <c r="C32" s="6"/>
      <c r="D32" s="6"/>
      <c r="E32" s="2" t="s">
        <v>312</v>
      </c>
      <c r="F32" s="57">
        <f>SUM(G32:R32)</f>
        <v>939.25</v>
      </c>
      <c r="G32" s="195">
        <f t="shared" ref="G32:R32" si="8">G21*G$15/10^6</f>
        <v>60.25</v>
      </c>
      <c r="H32" s="195">
        <f t="shared" si="8"/>
        <v>31.5</v>
      </c>
      <c r="I32" s="195">
        <f t="shared" si="8"/>
        <v>60.25</v>
      </c>
      <c r="J32" s="195">
        <f t="shared" si="8"/>
        <v>60.25</v>
      </c>
      <c r="K32" s="195">
        <f t="shared" si="8"/>
        <v>60.25</v>
      </c>
      <c r="L32" s="195">
        <f t="shared" si="8"/>
        <v>95.25</v>
      </c>
      <c r="M32" s="195">
        <f t="shared" si="8"/>
        <v>95.25</v>
      </c>
      <c r="N32" s="195">
        <f t="shared" si="8"/>
        <v>95.25</v>
      </c>
      <c r="O32" s="195">
        <f t="shared" si="8"/>
        <v>95.25</v>
      </c>
      <c r="P32" s="195">
        <f t="shared" si="8"/>
        <v>95.25</v>
      </c>
      <c r="Q32" s="195">
        <f t="shared" si="8"/>
        <v>95.25</v>
      </c>
      <c r="R32" s="195">
        <f t="shared" si="8"/>
        <v>95.25</v>
      </c>
      <c r="S32" s="85"/>
      <c r="T32" s="62">
        <f t="shared" si="5"/>
        <v>939.25</v>
      </c>
      <c r="U32" s="85"/>
      <c r="V32" s="85"/>
      <c r="W32" s="85"/>
      <c r="X32" s="85"/>
      <c r="Y32" s="85"/>
    </row>
    <row r="33" spans="2:25" x14ac:dyDescent="0.35">
      <c r="E33" s="2" t="s">
        <v>28</v>
      </c>
      <c r="F33" s="57">
        <f>SUM(G33:R33)</f>
        <v>432.05500000000001</v>
      </c>
      <c r="G33" s="195">
        <f t="shared" ref="G33:R33" si="9">G22*G$15/10^6</f>
        <v>27.715</v>
      </c>
      <c r="H33" s="195">
        <f t="shared" si="9"/>
        <v>14.49</v>
      </c>
      <c r="I33" s="195">
        <f t="shared" si="9"/>
        <v>27.715</v>
      </c>
      <c r="J33" s="195">
        <f t="shared" si="9"/>
        <v>27.715</v>
      </c>
      <c r="K33" s="195">
        <f t="shared" si="9"/>
        <v>27.715</v>
      </c>
      <c r="L33" s="195">
        <f t="shared" si="9"/>
        <v>43.814999999999998</v>
      </c>
      <c r="M33" s="195">
        <f t="shared" si="9"/>
        <v>43.814999999999998</v>
      </c>
      <c r="N33" s="195">
        <f t="shared" si="9"/>
        <v>43.814999999999998</v>
      </c>
      <c r="O33" s="195">
        <f t="shared" si="9"/>
        <v>43.814999999999998</v>
      </c>
      <c r="P33" s="195">
        <f t="shared" si="9"/>
        <v>43.814999999999998</v>
      </c>
      <c r="Q33" s="195">
        <f t="shared" si="9"/>
        <v>43.814999999999998</v>
      </c>
      <c r="R33" s="195">
        <f t="shared" si="9"/>
        <v>43.814999999999998</v>
      </c>
      <c r="S33" s="62"/>
      <c r="T33" s="62">
        <f t="shared" si="5"/>
        <v>432.05500000000001</v>
      </c>
      <c r="U33" s="57">
        <f>SUM(T29:T33)</f>
        <v>1955.8590467836259</v>
      </c>
      <c r="V33" s="96">
        <f>U33/T27</f>
        <v>0.26029532163742691</v>
      </c>
      <c r="W33" s="97"/>
      <c r="Y33" s="57"/>
    </row>
    <row r="34" spans="2:25" x14ac:dyDescent="0.35">
      <c r="E34" s="2" t="s">
        <v>182</v>
      </c>
      <c r="F34" s="62">
        <f>'Site list'!Q8</f>
        <v>250.30125000000001</v>
      </c>
      <c r="G34" s="62">
        <f>'Điểm hòa vốn'!$J$45</f>
        <v>48.636215277777779</v>
      </c>
      <c r="H34" s="62">
        <f>'Điểm hòa vốn'!$J$45</f>
        <v>48.636215277777779</v>
      </c>
      <c r="I34" s="62">
        <f>'Điểm hòa vốn'!$J$45</f>
        <v>48.636215277777779</v>
      </c>
      <c r="J34" s="62">
        <f>'Điểm hòa vốn'!$J$45</f>
        <v>48.636215277777779</v>
      </c>
      <c r="K34" s="62">
        <f>'Điểm hòa vốn'!$J$45</f>
        <v>48.636215277777779</v>
      </c>
      <c r="L34" s="62">
        <f>'Điểm hòa vốn'!$J$45</f>
        <v>48.636215277777779</v>
      </c>
      <c r="M34" s="62">
        <f>'Điểm hòa vốn'!$J$45</f>
        <v>48.636215277777779</v>
      </c>
      <c r="N34" s="62">
        <f>'Điểm hòa vốn'!$J$45</f>
        <v>48.636215277777779</v>
      </c>
      <c r="O34" s="62">
        <f>'Điểm hòa vốn'!$J$45</f>
        <v>48.636215277777779</v>
      </c>
      <c r="P34" s="62">
        <f>'Điểm hòa vốn'!$J$45</f>
        <v>48.636215277777779</v>
      </c>
      <c r="Q34" s="62">
        <f>'Điểm hòa vốn'!$J$45</f>
        <v>48.636215277777779</v>
      </c>
      <c r="R34" s="62">
        <f>'Điểm hòa vốn'!$J$45</f>
        <v>48.636215277777779</v>
      </c>
      <c r="S34" s="62"/>
      <c r="T34" s="62">
        <f t="shared" si="5"/>
        <v>583.63458333333324</v>
      </c>
      <c r="U34" s="57"/>
      <c r="V34" s="96"/>
      <c r="W34" s="97"/>
      <c r="Y34" s="57"/>
    </row>
    <row r="35" spans="2:25" x14ac:dyDescent="0.35">
      <c r="E35" s="2" t="s">
        <v>310</v>
      </c>
      <c r="F35" s="57">
        <f>SUM(G35:R35)</f>
        <v>1088.5470000000003</v>
      </c>
      <c r="G35" s="62">
        <f>'Điểm hòa vốn'!$J$43</f>
        <v>90.712249999999997</v>
      </c>
      <c r="H35" s="62">
        <f>'Điểm hòa vốn'!$J$43</f>
        <v>90.712249999999997</v>
      </c>
      <c r="I35" s="62">
        <f>'Điểm hòa vốn'!$J$43</f>
        <v>90.712249999999997</v>
      </c>
      <c r="J35" s="62">
        <f>'Điểm hòa vốn'!$J$43</f>
        <v>90.712249999999997</v>
      </c>
      <c r="K35" s="62">
        <f>'Điểm hòa vốn'!$J$43</f>
        <v>90.712249999999997</v>
      </c>
      <c r="L35" s="62">
        <f>'Điểm hòa vốn'!$J$43</f>
        <v>90.712249999999997</v>
      </c>
      <c r="M35" s="62">
        <f>'Điểm hòa vốn'!$J$43</f>
        <v>90.712249999999997</v>
      </c>
      <c r="N35" s="62">
        <f>'Điểm hòa vốn'!$J$43</f>
        <v>90.712249999999997</v>
      </c>
      <c r="O35" s="62">
        <f>'Điểm hòa vốn'!$J$43</f>
        <v>90.712249999999997</v>
      </c>
      <c r="P35" s="62">
        <f>'Điểm hòa vốn'!$J$43</f>
        <v>90.712249999999997</v>
      </c>
      <c r="Q35" s="62">
        <f>'Điểm hòa vốn'!$J$43</f>
        <v>90.712249999999997</v>
      </c>
      <c r="R35" s="62">
        <f>'Điểm hòa vốn'!$J$43</f>
        <v>90.712249999999997</v>
      </c>
      <c r="S35" s="62"/>
      <c r="T35" s="62">
        <f t="shared" si="5"/>
        <v>1088.5470000000003</v>
      </c>
      <c r="U35" s="57"/>
      <c r="V35" s="96"/>
      <c r="W35" s="97"/>
      <c r="Y35" s="57"/>
    </row>
    <row r="36" spans="2:25" x14ac:dyDescent="0.35">
      <c r="E36" s="2" t="s">
        <v>408</v>
      </c>
      <c r="F36" s="57">
        <f>SUM(G36:R36)</f>
        <v>528</v>
      </c>
      <c r="G36" s="62">
        <f>'Điểm hòa vốn'!$J$42</f>
        <v>44</v>
      </c>
      <c r="H36" s="62">
        <f>G36</f>
        <v>44</v>
      </c>
      <c r="I36" s="62">
        <f>$G$36</f>
        <v>44</v>
      </c>
      <c r="J36" s="62">
        <f t="shared" ref="J36:R36" si="10">$G$36</f>
        <v>44</v>
      </c>
      <c r="K36" s="62">
        <f t="shared" si="10"/>
        <v>44</v>
      </c>
      <c r="L36" s="62">
        <f t="shared" si="10"/>
        <v>44</v>
      </c>
      <c r="M36" s="62">
        <f t="shared" si="10"/>
        <v>44</v>
      </c>
      <c r="N36" s="62">
        <f t="shared" si="10"/>
        <v>44</v>
      </c>
      <c r="O36" s="62">
        <f t="shared" si="10"/>
        <v>44</v>
      </c>
      <c r="P36" s="62">
        <f t="shared" si="10"/>
        <v>44</v>
      </c>
      <c r="Q36" s="62">
        <f t="shared" si="10"/>
        <v>44</v>
      </c>
      <c r="R36" s="62">
        <f t="shared" si="10"/>
        <v>44</v>
      </c>
      <c r="S36" s="62"/>
      <c r="T36" s="62">
        <f t="shared" si="5"/>
        <v>528</v>
      </c>
      <c r="U36" s="57"/>
      <c r="V36" s="96"/>
      <c r="W36" s="97"/>
      <c r="Y36" s="57"/>
    </row>
    <row r="37" spans="2:25" x14ac:dyDescent="0.35">
      <c r="E37" s="2" t="s">
        <v>420</v>
      </c>
      <c r="F37" s="57">
        <f>SUM(G37:R37)</f>
        <v>456</v>
      </c>
      <c r="G37" s="62">
        <f>'Điểm hòa vốn'!$J$44+'Điểm hòa vốn'!$J$54</f>
        <v>38</v>
      </c>
      <c r="H37" s="62">
        <f>'Điểm hòa vốn'!$J$44+'Điểm hòa vốn'!$J$54</f>
        <v>38</v>
      </c>
      <c r="I37" s="62">
        <f>'Điểm hòa vốn'!$J$44+'Điểm hòa vốn'!$J$54</f>
        <v>38</v>
      </c>
      <c r="J37" s="62">
        <f>'Điểm hòa vốn'!$J$44+'Điểm hòa vốn'!$J$54</f>
        <v>38</v>
      </c>
      <c r="K37" s="62">
        <f>'Điểm hòa vốn'!$J$44+'Điểm hòa vốn'!$J$54</f>
        <v>38</v>
      </c>
      <c r="L37" s="62">
        <f>'Điểm hòa vốn'!$J$44+'Điểm hòa vốn'!$J$54</f>
        <v>38</v>
      </c>
      <c r="M37" s="62">
        <f>'Điểm hòa vốn'!$J$44+'Điểm hòa vốn'!$J$54</f>
        <v>38</v>
      </c>
      <c r="N37" s="62">
        <f>'Điểm hòa vốn'!$J$44+'Điểm hòa vốn'!$J$54</f>
        <v>38</v>
      </c>
      <c r="O37" s="62">
        <f>'Điểm hòa vốn'!$J$44+'Điểm hòa vốn'!$J$54</f>
        <v>38</v>
      </c>
      <c r="P37" s="62">
        <f>'Điểm hòa vốn'!$J$44+'Điểm hòa vốn'!$J$54</f>
        <v>38</v>
      </c>
      <c r="Q37" s="62">
        <f>'Điểm hòa vốn'!$J$44+'Điểm hòa vốn'!$J$54</f>
        <v>38</v>
      </c>
      <c r="R37" s="62">
        <f>'Điểm hòa vốn'!$J$44+'Điểm hòa vốn'!$J$54</f>
        <v>38</v>
      </c>
      <c r="S37" s="62"/>
      <c r="T37" s="62">
        <f t="shared" si="5"/>
        <v>456</v>
      </c>
      <c r="U37" s="57"/>
      <c r="V37" s="96"/>
      <c r="W37" s="97"/>
      <c r="Y37" s="57"/>
    </row>
    <row r="38" spans="2:25" x14ac:dyDescent="0.35">
      <c r="E38" s="2" t="s">
        <v>692</v>
      </c>
      <c r="F38" s="57">
        <f>SUM(G38:R38)</f>
        <v>578.4</v>
      </c>
      <c r="G38" s="62">
        <f>10%*G27</f>
        <v>48.2</v>
      </c>
      <c r="H38" s="62">
        <f>$G$38</f>
        <v>48.2</v>
      </c>
      <c r="I38" s="62">
        <f t="shared" ref="I38:R38" si="11">$G$38</f>
        <v>48.2</v>
      </c>
      <c r="J38" s="62">
        <f t="shared" si="11"/>
        <v>48.2</v>
      </c>
      <c r="K38" s="62">
        <f t="shared" si="11"/>
        <v>48.2</v>
      </c>
      <c r="L38" s="62">
        <f t="shared" si="11"/>
        <v>48.2</v>
      </c>
      <c r="M38" s="62">
        <f t="shared" si="11"/>
        <v>48.2</v>
      </c>
      <c r="N38" s="62">
        <f t="shared" si="11"/>
        <v>48.2</v>
      </c>
      <c r="O38" s="62">
        <f t="shared" si="11"/>
        <v>48.2</v>
      </c>
      <c r="P38" s="62">
        <f t="shared" si="11"/>
        <v>48.2</v>
      </c>
      <c r="Q38" s="62">
        <f t="shared" si="11"/>
        <v>48.2</v>
      </c>
      <c r="R38" s="62">
        <f t="shared" si="11"/>
        <v>48.2</v>
      </c>
      <c r="S38" s="62"/>
      <c r="T38" s="62">
        <f t="shared" si="5"/>
        <v>578.4</v>
      </c>
      <c r="U38" s="57"/>
      <c r="V38" s="96"/>
      <c r="W38" s="97"/>
      <c r="Y38" s="57"/>
    </row>
    <row r="39" spans="2:25" x14ac:dyDescent="0.35">
      <c r="E39" s="2" t="s">
        <v>691</v>
      </c>
      <c r="F39" s="57">
        <f>SUM(G39:R39)</f>
        <v>375.70000000000005</v>
      </c>
      <c r="G39" s="62">
        <f>5%*G27</f>
        <v>24.1</v>
      </c>
      <c r="H39" s="62">
        <f t="shared" ref="H39:R39" si="12">5%*H27</f>
        <v>12.600000000000001</v>
      </c>
      <c r="I39" s="62">
        <f t="shared" si="12"/>
        <v>24.1</v>
      </c>
      <c r="J39" s="62">
        <f t="shared" si="12"/>
        <v>24.1</v>
      </c>
      <c r="K39" s="62">
        <f t="shared" si="12"/>
        <v>24.1</v>
      </c>
      <c r="L39" s="62">
        <f t="shared" si="12"/>
        <v>38.1</v>
      </c>
      <c r="M39" s="62">
        <f t="shared" si="12"/>
        <v>38.1</v>
      </c>
      <c r="N39" s="62">
        <f t="shared" si="12"/>
        <v>38.1</v>
      </c>
      <c r="O39" s="62">
        <f t="shared" si="12"/>
        <v>38.1</v>
      </c>
      <c r="P39" s="62">
        <f t="shared" si="12"/>
        <v>38.1</v>
      </c>
      <c r="Q39" s="62">
        <f t="shared" si="12"/>
        <v>38.1</v>
      </c>
      <c r="R39" s="62">
        <f t="shared" si="12"/>
        <v>38.1</v>
      </c>
      <c r="S39" s="62"/>
      <c r="T39" s="62"/>
      <c r="U39" s="57"/>
      <c r="V39" s="96"/>
      <c r="W39" s="97"/>
      <c r="Y39" s="57"/>
    </row>
    <row r="40" spans="2:25" ht="13.15" thickBot="1" x14ac:dyDescent="0.4">
      <c r="C40" s="223" t="s">
        <v>308</v>
      </c>
      <c r="D40" s="100"/>
      <c r="E40" s="100"/>
      <c r="F40" s="243">
        <f>SUM(F29:F38)</f>
        <v>4857.1072967836262</v>
      </c>
      <c r="G40" s="243">
        <f>SUM(G29:G39)</f>
        <v>419.11081030701757</v>
      </c>
      <c r="H40" s="243">
        <f t="shared" ref="H40:R40" si="13">SUM(H29:H39)</f>
        <v>347.74288633040936</v>
      </c>
      <c r="I40" s="243">
        <f t="shared" si="13"/>
        <v>419.11081030701757</v>
      </c>
      <c r="J40" s="243">
        <f t="shared" si="13"/>
        <v>419.11081030701757</v>
      </c>
      <c r="K40" s="243">
        <f t="shared" si="13"/>
        <v>419.11081030701757</v>
      </c>
      <c r="L40" s="243">
        <f t="shared" si="13"/>
        <v>505.99350036549708</v>
      </c>
      <c r="M40" s="243">
        <f t="shared" si="13"/>
        <v>505.99350036549708</v>
      </c>
      <c r="N40" s="243">
        <f t="shared" si="13"/>
        <v>505.99350036549708</v>
      </c>
      <c r="O40" s="243">
        <f t="shared" si="13"/>
        <v>505.99350036549708</v>
      </c>
      <c r="P40" s="243">
        <f t="shared" si="13"/>
        <v>505.99350036549708</v>
      </c>
      <c r="Q40" s="243">
        <f t="shared" si="13"/>
        <v>505.99350036549708</v>
      </c>
      <c r="R40" s="243">
        <f t="shared" si="13"/>
        <v>505.99350036549708</v>
      </c>
      <c r="S40" s="62"/>
      <c r="T40" s="62">
        <f t="shared" si="5"/>
        <v>5566.1406301169609</v>
      </c>
      <c r="U40" s="57"/>
      <c r="V40" s="96"/>
      <c r="W40" s="97"/>
      <c r="Y40" s="57"/>
    </row>
    <row r="41" spans="2:25" x14ac:dyDescent="0.35">
      <c r="B41" s="89" t="s">
        <v>190</v>
      </c>
      <c r="C41" s="90"/>
      <c r="D41" s="90"/>
      <c r="E41" s="91"/>
      <c r="F41" s="92">
        <f t="shared" ref="F41:R41" si="14">F25-F40</f>
        <v>2656.8927032163738</v>
      </c>
      <c r="G41" s="92">
        <f t="shared" si="14"/>
        <v>62.889189692982427</v>
      </c>
      <c r="H41" s="92">
        <f t="shared" si="14"/>
        <v>-95.742886330409362</v>
      </c>
      <c r="I41" s="92">
        <f t="shared" si="14"/>
        <v>62.889189692982427</v>
      </c>
      <c r="J41" s="92">
        <f t="shared" si="14"/>
        <v>62.889189692982427</v>
      </c>
      <c r="K41" s="92">
        <f t="shared" si="14"/>
        <v>62.889189692982427</v>
      </c>
      <c r="L41" s="92">
        <f t="shared" si="14"/>
        <v>256.00649963450292</v>
      </c>
      <c r="M41" s="92">
        <f t="shared" si="14"/>
        <v>256.00649963450292</v>
      </c>
      <c r="N41" s="92">
        <f t="shared" si="14"/>
        <v>256.00649963450292</v>
      </c>
      <c r="O41" s="92">
        <f t="shared" si="14"/>
        <v>256.00649963450292</v>
      </c>
      <c r="P41" s="92">
        <f t="shared" si="14"/>
        <v>256.00649963450292</v>
      </c>
      <c r="Q41" s="92">
        <f t="shared" si="14"/>
        <v>256.00649963450292</v>
      </c>
      <c r="R41" s="92">
        <f t="shared" si="14"/>
        <v>256.00649963450292</v>
      </c>
      <c r="S41" s="92"/>
      <c r="T41" s="92"/>
      <c r="U41" s="92"/>
      <c r="V41" s="104"/>
      <c r="W41" s="92"/>
      <c r="X41" s="92"/>
      <c r="Y41" s="92"/>
    </row>
    <row r="42" spans="2:25" x14ac:dyDescent="0.35">
      <c r="E42" s="2" t="s">
        <v>45</v>
      </c>
      <c r="F42" s="62">
        <f>VTB_TBH!I29</f>
        <v>-752.73430136986303</v>
      </c>
      <c r="G42" s="84">
        <f>F42/12</f>
        <v>-62.727858447488586</v>
      </c>
      <c r="H42" s="84">
        <f>$G$42</f>
        <v>-62.727858447488586</v>
      </c>
      <c r="I42" s="84">
        <f t="shared" ref="I42:R42" si="15">$G$42</f>
        <v>-62.727858447488586</v>
      </c>
      <c r="J42" s="84">
        <f t="shared" si="15"/>
        <v>-62.727858447488586</v>
      </c>
      <c r="K42" s="84">
        <f t="shared" si="15"/>
        <v>-62.727858447488586</v>
      </c>
      <c r="L42" s="84">
        <f t="shared" si="15"/>
        <v>-62.727858447488586</v>
      </c>
      <c r="M42" s="84">
        <f t="shared" si="15"/>
        <v>-62.727858447488586</v>
      </c>
      <c r="N42" s="84">
        <f t="shared" si="15"/>
        <v>-62.727858447488586</v>
      </c>
      <c r="O42" s="84">
        <f t="shared" si="15"/>
        <v>-62.727858447488586</v>
      </c>
      <c r="P42" s="84">
        <f t="shared" si="15"/>
        <v>-62.727858447488586</v>
      </c>
      <c r="Q42" s="84">
        <f t="shared" si="15"/>
        <v>-62.727858447488586</v>
      </c>
      <c r="R42" s="84">
        <f t="shared" si="15"/>
        <v>-62.727858447488586</v>
      </c>
    </row>
    <row r="43" spans="2:25" x14ac:dyDescent="0.35">
      <c r="E43" s="2" t="s">
        <v>41</v>
      </c>
      <c r="F43" s="62">
        <f>SUM(G43:R43)</f>
        <v>-1972.7170919999999</v>
      </c>
      <c r="G43" s="62">
        <f>-'Điểm hòa vốn'!$J$47</f>
        <v>-164.39309100000003</v>
      </c>
      <c r="H43" s="62">
        <f>-'Điểm hòa vốn'!$J$47</f>
        <v>-164.39309100000003</v>
      </c>
      <c r="I43" s="62">
        <f>-'Điểm hòa vốn'!$J$47</f>
        <v>-164.39309100000003</v>
      </c>
      <c r="J43" s="62">
        <f>-'Điểm hòa vốn'!$J$47</f>
        <v>-164.39309100000003</v>
      </c>
      <c r="K43" s="62">
        <f>-'Điểm hòa vốn'!$J$47</f>
        <v>-164.39309100000003</v>
      </c>
      <c r="L43" s="62">
        <f>-'Điểm hòa vốn'!$J$47</f>
        <v>-164.39309100000003</v>
      </c>
      <c r="M43" s="62">
        <f>-'Điểm hòa vốn'!$J$47</f>
        <v>-164.39309100000003</v>
      </c>
      <c r="N43" s="62">
        <f>-'Điểm hòa vốn'!$J$47</f>
        <v>-164.39309100000003</v>
      </c>
      <c r="O43" s="62">
        <f>-'Điểm hòa vốn'!$J$47</f>
        <v>-164.39309100000003</v>
      </c>
      <c r="P43" s="62">
        <f>-'Điểm hòa vốn'!$J$47</f>
        <v>-164.39309100000003</v>
      </c>
      <c r="Q43" s="62">
        <f>-'Điểm hòa vốn'!$J$47</f>
        <v>-164.39309100000003</v>
      </c>
      <c r="R43" s="62">
        <f>-'Điểm hòa vốn'!$J$47</f>
        <v>-164.39309100000003</v>
      </c>
    </row>
    <row r="44" spans="2:25" x14ac:dyDescent="0.35">
      <c r="B44" s="6" t="s">
        <v>422</v>
      </c>
      <c r="F44" s="218">
        <f>SUM(F41:F43)</f>
        <v>-68.558690153489124</v>
      </c>
      <c r="G44" s="218">
        <f t="shared" ref="G44:R44" si="16">SUM(G41:G43)</f>
        <v>-164.23175975450619</v>
      </c>
      <c r="H44" s="218">
        <f t="shared" si="16"/>
        <v>-322.86383577789798</v>
      </c>
      <c r="I44" s="218">
        <f t="shared" si="16"/>
        <v>-164.23175975450619</v>
      </c>
      <c r="J44" s="218">
        <f t="shared" si="16"/>
        <v>-164.23175975450619</v>
      </c>
      <c r="K44" s="218">
        <f t="shared" si="16"/>
        <v>-164.23175975450619</v>
      </c>
      <c r="L44" s="218">
        <f t="shared" si="16"/>
        <v>28.885550187014303</v>
      </c>
      <c r="M44" s="218">
        <f t="shared" si="16"/>
        <v>28.885550187014303</v>
      </c>
      <c r="N44" s="218">
        <f t="shared" si="16"/>
        <v>28.885550187014303</v>
      </c>
      <c r="O44" s="218">
        <f t="shared" si="16"/>
        <v>28.885550187014303</v>
      </c>
      <c r="P44" s="218">
        <f t="shared" si="16"/>
        <v>28.885550187014303</v>
      </c>
      <c r="Q44" s="218">
        <f t="shared" si="16"/>
        <v>28.885550187014303</v>
      </c>
      <c r="R44" s="218">
        <f t="shared" si="16"/>
        <v>28.885550187014303</v>
      </c>
    </row>
    <row r="45" spans="2:25" x14ac:dyDescent="0.35">
      <c r="B45" s="6"/>
      <c r="F45" s="62"/>
    </row>
    <row r="46" spans="2:25" x14ac:dyDescent="0.35">
      <c r="E46" s="2" t="s">
        <v>354</v>
      </c>
      <c r="F46" s="62">
        <f>VTB_TBH!C29</f>
        <v>-2036</v>
      </c>
    </row>
    <row r="47" spans="2:25" x14ac:dyDescent="0.35">
      <c r="E47" s="2" t="s">
        <v>355</v>
      </c>
      <c r="F47" s="57">
        <f>-'Site list'!G8*(1-'Site list'!H8)/10</f>
        <v>-599.1</v>
      </c>
    </row>
    <row r="49" spans="2:18" x14ac:dyDescent="0.35">
      <c r="B49" s="6" t="s">
        <v>440</v>
      </c>
    </row>
    <row r="50" spans="2:18" x14ac:dyDescent="0.35">
      <c r="E50" s="2" t="s">
        <v>6</v>
      </c>
      <c r="G50" s="2">
        <f>30*9*60/20</f>
        <v>810</v>
      </c>
      <c r="H50" s="2">
        <f t="shared" ref="H50:R50" si="17">30*9*60/20</f>
        <v>810</v>
      </c>
      <c r="I50" s="2">
        <f t="shared" si="17"/>
        <v>810</v>
      </c>
      <c r="J50" s="2">
        <f t="shared" si="17"/>
        <v>810</v>
      </c>
      <c r="K50" s="2">
        <f t="shared" si="17"/>
        <v>810</v>
      </c>
      <c r="L50" s="2">
        <f t="shared" si="17"/>
        <v>810</v>
      </c>
      <c r="M50" s="2">
        <f t="shared" si="17"/>
        <v>810</v>
      </c>
      <c r="N50" s="2">
        <f t="shared" si="17"/>
        <v>810</v>
      </c>
      <c r="O50" s="2">
        <f t="shared" si="17"/>
        <v>810</v>
      </c>
      <c r="P50" s="2">
        <f t="shared" si="17"/>
        <v>810</v>
      </c>
      <c r="Q50" s="2">
        <f t="shared" si="17"/>
        <v>810</v>
      </c>
      <c r="R50" s="2">
        <f t="shared" si="17"/>
        <v>810</v>
      </c>
    </row>
    <row r="52" spans="2:18" x14ac:dyDescent="0.35">
      <c r="B52" s="6" t="s">
        <v>442</v>
      </c>
    </row>
    <row r="53" spans="2:18" x14ac:dyDescent="0.35">
      <c r="E53" s="2" t="s">
        <v>6</v>
      </c>
      <c r="G53" s="201">
        <f>G15/G50</f>
        <v>0.29753086419753089</v>
      </c>
      <c r="H53" s="201">
        <f t="shared" ref="H53:R53" si="18">H15/H50</f>
        <v>0.15555555555555556</v>
      </c>
      <c r="I53" s="201">
        <f t="shared" si="18"/>
        <v>0.29753086419753089</v>
      </c>
      <c r="J53" s="201">
        <f t="shared" si="18"/>
        <v>0.29753086419753089</v>
      </c>
      <c r="K53" s="201">
        <f t="shared" si="18"/>
        <v>0.29753086419753089</v>
      </c>
      <c r="L53" s="201">
        <f t="shared" si="18"/>
        <v>0.47037037037037038</v>
      </c>
      <c r="M53" s="201">
        <f t="shared" si="18"/>
        <v>0.47037037037037038</v>
      </c>
      <c r="N53" s="201">
        <f t="shared" si="18"/>
        <v>0.47037037037037038</v>
      </c>
      <c r="O53" s="201">
        <f t="shared" si="18"/>
        <v>0.47037037037037038</v>
      </c>
      <c r="P53" s="201">
        <f t="shared" si="18"/>
        <v>0.47037037037037038</v>
      </c>
      <c r="Q53" s="201">
        <f t="shared" si="18"/>
        <v>0.47037037037037038</v>
      </c>
      <c r="R53" s="201">
        <f t="shared" si="18"/>
        <v>0.47037037037037038</v>
      </c>
    </row>
    <row r="55" spans="2:18" x14ac:dyDescent="0.35">
      <c r="B55" s="6" t="s">
        <v>275</v>
      </c>
      <c r="F55" s="60">
        <f>F41*'Site list'!H8</f>
        <v>1925.4597381869971</v>
      </c>
    </row>
  </sheetData>
  <pageMargins left="0.7" right="0.7" top="0.75" bottom="0.75" header="0.3" footer="0.3"/>
  <pageSetup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86B18-7810-44AA-9A41-55C5A1BB5944}">
  <sheetPr>
    <tabColor rgb="FF2596BE"/>
  </sheetPr>
  <dimension ref="B3:Y92"/>
  <sheetViews>
    <sheetView workbookViewId="0">
      <pane xSplit="5" ySplit="9" topLeftCell="F10" activePane="bottomRight" state="frozen"/>
      <selection activeCell="F44" sqref="F44"/>
      <selection pane="topRight" activeCell="F44" sqref="F44"/>
      <selection pane="bottomLeft" activeCell="F44" sqref="F44"/>
      <selection pane="bottomRight" activeCell="H22" sqref="H22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45.1328125" style="2" customWidth="1"/>
    <col min="6" max="6" width="12.265625" style="2" customWidth="1"/>
    <col min="7" max="8" width="9.1328125" style="2" customWidth="1" outlineLevel="1"/>
    <col min="9" max="9" width="9" style="2" customWidth="1" outlineLevel="1"/>
    <col min="10" max="17" width="9.1328125" style="2" customWidth="1" outlineLevel="1"/>
    <col min="18" max="18" width="10.265625" style="2" bestFit="1" customWidth="1"/>
    <col min="19" max="19" width="12.1328125" style="2" customWidth="1"/>
    <col min="20" max="20" width="10.59765625" style="2" customWidth="1"/>
    <col min="21" max="21" width="18.59765625" style="2" customWidth="1"/>
    <col min="22" max="22" width="11.3984375" style="2" customWidth="1"/>
    <col min="23" max="23" width="12.86328125" style="2" customWidth="1"/>
    <col min="24" max="24" width="13.1328125" style="2" customWidth="1"/>
    <col min="25" max="16384" width="9.1328125" style="2"/>
  </cols>
  <sheetData>
    <row r="3" spans="2:25" x14ac:dyDescent="0.35">
      <c r="I3" s="60"/>
    </row>
    <row r="4" spans="2:25" x14ac:dyDescent="0.35">
      <c r="B4" s="2" t="s">
        <v>25</v>
      </c>
    </row>
    <row r="6" spans="2:25" x14ac:dyDescent="0.35">
      <c r="B6" s="27" t="s">
        <v>299</v>
      </c>
    </row>
    <row r="7" spans="2:25" s="6" customFormat="1" x14ac:dyDescent="0.35">
      <c r="B7" s="6" t="s">
        <v>151</v>
      </c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</row>
    <row r="8" spans="2:25" x14ac:dyDescent="0.35">
      <c r="B8" s="32" t="s">
        <v>212</v>
      </c>
      <c r="G8" s="32" t="s">
        <v>52</v>
      </c>
    </row>
    <row r="9" spans="2:25" ht="13.5" x14ac:dyDescent="0.35">
      <c r="B9" s="45" t="s">
        <v>101</v>
      </c>
      <c r="F9" s="6" t="s">
        <v>309</v>
      </c>
      <c r="G9" s="61">
        <v>1</v>
      </c>
      <c r="H9" s="61">
        <v>2</v>
      </c>
      <c r="I9" s="61">
        <v>3</v>
      </c>
      <c r="J9" s="61">
        <v>4</v>
      </c>
      <c r="K9" s="61">
        <v>5</v>
      </c>
      <c r="L9" s="61">
        <v>6</v>
      </c>
      <c r="M9" s="61">
        <v>7</v>
      </c>
      <c r="N9" s="61">
        <v>8</v>
      </c>
      <c r="O9" s="61">
        <v>9</v>
      </c>
      <c r="P9" s="61">
        <v>10</v>
      </c>
      <c r="Q9" s="61">
        <v>11</v>
      </c>
      <c r="R9" s="61">
        <v>12</v>
      </c>
      <c r="S9" s="113" t="s">
        <v>197</v>
      </c>
      <c r="T9" s="114"/>
      <c r="U9" s="114"/>
      <c r="V9" s="32"/>
      <c r="W9" s="32"/>
      <c r="X9" s="6"/>
      <c r="Y9" s="73"/>
    </row>
    <row r="10" spans="2:25" x14ac:dyDescent="0.35">
      <c r="B10" s="27" t="s">
        <v>520</v>
      </c>
      <c r="D10" s="6"/>
      <c r="R10" s="58"/>
    </row>
    <row r="11" spans="2:25" x14ac:dyDescent="0.35">
      <c r="B11" s="27" t="s">
        <v>300</v>
      </c>
      <c r="D11" s="6"/>
      <c r="R11" s="58"/>
    </row>
    <row r="12" spans="2:25" x14ac:dyDescent="0.35">
      <c r="B12" s="27"/>
      <c r="D12" s="6"/>
      <c r="E12" s="2" t="s">
        <v>6</v>
      </c>
      <c r="G12" s="311">
        <f>'Điểm hòa vốn'!K83/10^6</f>
        <v>2.2000000000000002</v>
      </c>
      <c r="H12" s="225">
        <f>$G12</f>
        <v>2.2000000000000002</v>
      </c>
      <c r="I12" s="225">
        <f t="shared" ref="I12:R12" si="0">$G12</f>
        <v>2.2000000000000002</v>
      </c>
      <c r="J12" s="225">
        <f t="shared" si="0"/>
        <v>2.2000000000000002</v>
      </c>
      <c r="K12" s="225">
        <f t="shared" si="0"/>
        <v>2.2000000000000002</v>
      </c>
      <c r="L12" s="225">
        <f t="shared" si="0"/>
        <v>2.2000000000000002</v>
      </c>
      <c r="M12" s="225">
        <f t="shared" si="0"/>
        <v>2.2000000000000002</v>
      </c>
      <c r="N12" s="225">
        <f t="shared" si="0"/>
        <v>2.2000000000000002</v>
      </c>
      <c r="O12" s="225">
        <f t="shared" si="0"/>
        <v>2.2000000000000002</v>
      </c>
      <c r="P12" s="225">
        <f t="shared" si="0"/>
        <v>2.2000000000000002</v>
      </c>
      <c r="Q12" s="225">
        <f t="shared" si="0"/>
        <v>2.2000000000000002</v>
      </c>
      <c r="R12" s="225">
        <f t="shared" si="0"/>
        <v>2.2000000000000002</v>
      </c>
      <c r="S12" s="2" t="s">
        <v>419</v>
      </c>
    </row>
    <row r="13" spans="2:25" x14ac:dyDescent="0.35">
      <c r="B13" s="27"/>
      <c r="D13" s="6"/>
      <c r="E13" s="2" t="s">
        <v>8</v>
      </c>
      <c r="G13" s="311">
        <f>'Điểm hòa vốn'!K84/10^6</f>
        <v>1.3</v>
      </c>
      <c r="H13" s="225">
        <f t="shared" ref="H13:R16" si="1">$G13</f>
        <v>1.3</v>
      </c>
      <c r="I13" s="225">
        <f t="shared" si="1"/>
        <v>1.3</v>
      </c>
      <c r="J13" s="225">
        <f t="shared" si="1"/>
        <v>1.3</v>
      </c>
      <c r="K13" s="225">
        <f t="shared" si="1"/>
        <v>1.3</v>
      </c>
      <c r="L13" s="225">
        <f t="shared" si="1"/>
        <v>1.3</v>
      </c>
      <c r="M13" s="225">
        <f t="shared" si="1"/>
        <v>1.3</v>
      </c>
      <c r="N13" s="225">
        <f t="shared" si="1"/>
        <v>1.3</v>
      </c>
      <c r="O13" s="225">
        <f t="shared" si="1"/>
        <v>1.3</v>
      </c>
      <c r="P13" s="225">
        <f t="shared" si="1"/>
        <v>1.3</v>
      </c>
      <c r="Q13" s="225">
        <f t="shared" si="1"/>
        <v>1.3</v>
      </c>
      <c r="R13" s="225">
        <f t="shared" si="1"/>
        <v>1.3</v>
      </c>
      <c r="S13" s="2" t="s">
        <v>419</v>
      </c>
    </row>
    <row r="14" spans="2:25" x14ac:dyDescent="0.35">
      <c r="B14" s="27"/>
      <c r="D14" s="6"/>
      <c r="E14" s="2" t="s">
        <v>7</v>
      </c>
      <c r="G14" s="311">
        <f>'Điểm hòa vốn'!K85/10^6</f>
        <v>0.5</v>
      </c>
      <c r="H14" s="225">
        <f t="shared" si="1"/>
        <v>0.5</v>
      </c>
      <c r="I14" s="225">
        <f t="shared" si="1"/>
        <v>0.5</v>
      </c>
      <c r="J14" s="225">
        <f t="shared" si="1"/>
        <v>0.5</v>
      </c>
      <c r="K14" s="225">
        <f t="shared" si="1"/>
        <v>0.5</v>
      </c>
      <c r="L14" s="225">
        <f t="shared" si="1"/>
        <v>0.5</v>
      </c>
      <c r="M14" s="225">
        <f t="shared" si="1"/>
        <v>0.5</v>
      </c>
      <c r="N14" s="225">
        <f t="shared" si="1"/>
        <v>0.5</v>
      </c>
      <c r="O14" s="225">
        <f t="shared" si="1"/>
        <v>0.5</v>
      </c>
      <c r="P14" s="225">
        <f t="shared" si="1"/>
        <v>0.5</v>
      </c>
      <c r="Q14" s="225">
        <f t="shared" si="1"/>
        <v>0.5</v>
      </c>
      <c r="R14" s="225">
        <f t="shared" si="1"/>
        <v>0.5</v>
      </c>
      <c r="S14" s="2" t="s">
        <v>419</v>
      </c>
    </row>
    <row r="15" spans="2:25" x14ac:dyDescent="0.35">
      <c r="B15" s="27"/>
      <c r="D15" s="6"/>
      <c r="E15" s="2" t="s">
        <v>9</v>
      </c>
      <c r="G15" s="311">
        <v>0</v>
      </c>
      <c r="H15" s="225">
        <f t="shared" si="1"/>
        <v>0</v>
      </c>
      <c r="I15" s="225">
        <f t="shared" si="1"/>
        <v>0</v>
      </c>
      <c r="J15" s="225">
        <f t="shared" si="1"/>
        <v>0</v>
      </c>
      <c r="K15" s="225">
        <f t="shared" si="1"/>
        <v>0</v>
      </c>
      <c r="L15" s="225">
        <f t="shared" si="1"/>
        <v>0</v>
      </c>
      <c r="M15" s="225">
        <f t="shared" si="1"/>
        <v>0</v>
      </c>
      <c r="N15" s="225">
        <f t="shared" si="1"/>
        <v>0</v>
      </c>
      <c r="O15" s="225">
        <f t="shared" si="1"/>
        <v>0</v>
      </c>
      <c r="P15" s="225">
        <f t="shared" si="1"/>
        <v>0</v>
      </c>
      <c r="Q15" s="225">
        <f t="shared" si="1"/>
        <v>0</v>
      </c>
      <c r="R15" s="225">
        <f t="shared" si="1"/>
        <v>0</v>
      </c>
    </row>
    <row r="16" spans="2:25" x14ac:dyDescent="0.35">
      <c r="B16" s="27"/>
      <c r="D16" s="6"/>
      <c r="E16" s="2" t="s">
        <v>10</v>
      </c>
      <c r="G16" s="311">
        <f>'Điểm hòa vốn'!K87/10^6</f>
        <v>9.492753623188406E-2</v>
      </c>
      <c r="H16" s="225">
        <f t="shared" si="1"/>
        <v>9.492753623188406E-2</v>
      </c>
      <c r="I16" s="225">
        <f t="shared" si="1"/>
        <v>9.492753623188406E-2</v>
      </c>
      <c r="J16" s="225">
        <f t="shared" si="1"/>
        <v>9.492753623188406E-2</v>
      </c>
      <c r="K16" s="225">
        <f t="shared" si="1"/>
        <v>9.492753623188406E-2</v>
      </c>
      <c r="L16" s="225">
        <f t="shared" si="1"/>
        <v>9.492753623188406E-2</v>
      </c>
      <c r="M16" s="225">
        <f t="shared" si="1"/>
        <v>9.492753623188406E-2</v>
      </c>
      <c r="N16" s="225">
        <f t="shared" si="1"/>
        <v>9.492753623188406E-2</v>
      </c>
      <c r="O16" s="225">
        <f t="shared" si="1"/>
        <v>9.492753623188406E-2</v>
      </c>
      <c r="P16" s="225">
        <f t="shared" si="1"/>
        <v>9.492753623188406E-2</v>
      </c>
      <c r="Q16" s="225">
        <f t="shared" si="1"/>
        <v>9.492753623188406E-2</v>
      </c>
      <c r="R16" s="225">
        <f t="shared" si="1"/>
        <v>9.492753623188406E-2</v>
      </c>
      <c r="S16" s="2" t="s">
        <v>419</v>
      </c>
    </row>
    <row r="17" spans="2:19" x14ac:dyDescent="0.35">
      <c r="B17" s="27" t="s">
        <v>301</v>
      </c>
      <c r="D17" s="6"/>
      <c r="R17" s="58"/>
    </row>
    <row r="18" spans="2:19" x14ac:dyDescent="0.35">
      <c r="B18" s="27"/>
      <c r="D18" s="6"/>
      <c r="E18" s="2" t="s">
        <v>6</v>
      </c>
      <c r="F18" s="57">
        <f>SUM(G18:R18)</f>
        <v>7246</v>
      </c>
      <c r="G18" s="62">
        <f>'Điểm hòa vốn'!K98</f>
        <v>644</v>
      </c>
      <c r="H18" s="611">
        <v>162</v>
      </c>
      <c r="I18" s="62">
        <f t="shared" ref="I18:R18" si="2">$G18</f>
        <v>644</v>
      </c>
      <c r="J18" s="62">
        <f t="shared" si="2"/>
        <v>644</v>
      </c>
      <c r="K18" s="62">
        <f t="shared" si="2"/>
        <v>644</v>
      </c>
      <c r="L18" s="62">
        <f t="shared" si="2"/>
        <v>644</v>
      </c>
      <c r="M18" s="62">
        <f t="shared" si="2"/>
        <v>644</v>
      </c>
      <c r="N18" s="62">
        <f t="shared" si="2"/>
        <v>644</v>
      </c>
      <c r="O18" s="62">
        <f t="shared" si="2"/>
        <v>644</v>
      </c>
      <c r="P18" s="62">
        <f t="shared" si="2"/>
        <v>644</v>
      </c>
      <c r="Q18" s="62">
        <f t="shared" si="2"/>
        <v>644</v>
      </c>
      <c r="R18" s="62">
        <f t="shared" si="2"/>
        <v>644</v>
      </c>
      <c r="S18" s="2" t="s">
        <v>429</v>
      </c>
    </row>
    <row r="19" spans="2:19" x14ac:dyDescent="0.35">
      <c r="B19" s="27"/>
      <c r="D19" s="6"/>
      <c r="E19" s="2" t="s">
        <v>8</v>
      </c>
      <c r="F19" s="57">
        <f>SUM(G19:R19)</f>
        <v>728</v>
      </c>
      <c r="G19" s="62">
        <f>'Điểm hòa vốn'!K99</f>
        <v>65</v>
      </c>
      <c r="H19" s="611">
        <v>13</v>
      </c>
      <c r="I19" s="62">
        <f t="shared" ref="I19:R22" si="3">$G19</f>
        <v>65</v>
      </c>
      <c r="J19" s="62">
        <f t="shared" si="3"/>
        <v>65</v>
      </c>
      <c r="K19" s="62">
        <f t="shared" si="3"/>
        <v>65</v>
      </c>
      <c r="L19" s="62">
        <f t="shared" si="3"/>
        <v>65</v>
      </c>
      <c r="M19" s="62">
        <f t="shared" si="3"/>
        <v>65</v>
      </c>
      <c r="N19" s="62">
        <f t="shared" si="3"/>
        <v>65</v>
      </c>
      <c r="O19" s="62">
        <f t="shared" si="3"/>
        <v>65</v>
      </c>
      <c r="P19" s="62">
        <f t="shared" si="3"/>
        <v>65</v>
      </c>
      <c r="Q19" s="62">
        <f t="shared" si="3"/>
        <v>65</v>
      </c>
      <c r="R19" s="62">
        <f t="shared" si="3"/>
        <v>65</v>
      </c>
      <c r="S19" s="2" t="s">
        <v>429</v>
      </c>
    </row>
    <row r="20" spans="2:19" x14ac:dyDescent="0.35">
      <c r="B20" s="27"/>
      <c r="D20" s="6"/>
      <c r="E20" s="2" t="s">
        <v>7</v>
      </c>
      <c r="F20" s="57">
        <f>SUM(G20:R20)</f>
        <v>508</v>
      </c>
      <c r="G20" s="62">
        <f>'Điểm hòa vốn'!K100</f>
        <v>46</v>
      </c>
      <c r="H20" s="611">
        <v>2</v>
      </c>
      <c r="I20" s="62">
        <f t="shared" si="3"/>
        <v>46</v>
      </c>
      <c r="J20" s="62">
        <f t="shared" si="3"/>
        <v>46</v>
      </c>
      <c r="K20" s="62">
        <f t="shared" si="3"/>
        <v>46</v>
      </c>
      <c r="L20" s="62">
        <f t="shared" si="3"/>
        <v>46</v>
      </c>
      <c r="M20" s="62">
        <f t="shared" si="3"/>
        <v>46</v>
      </c>
      <c r="N20" s="62">
        <f t="shared" si="3"/>
        <v>46</v>
      </c>
      <c r="O20" s="62">
        <f t="shared" si="3"/>
        <v>46</v>
      </c>
      <c r="P20" s="62">
        <f t="shared" si="3"/>
        <v>46</v>
      </c>
      <c r="Q20" s="62">
        <f t="shared" si="3"/>
        <v>46</v>
      </c>
      <c r="R20" s="62">
        <f t="shared" si="3"/>
        <v>46</v>
      </c>
      <c r="S20" s="2" t="s">
        <v>429</v>
      </c>
    </row>
    <row r="21" spans="2:19" x14ac:dyDescent="0.35">
      <c r="B21" s="27"/>
      <c r="D21" s="6"/>
      <c r="E21" s="2" t="s">
        <v>9</v>
      </c>
      <c r="F21" s="57">
        <f>SUM(G21:R21)</f>
        <v>54</v>
      </c>
      <c r="G21" s="62">
        <f>'Điểm hòa vốn'!K101</f>
        <v>0</v>
      </c>
      <c r="H21" s="611">
        <v>54</v>
      </c>
      <c r="I21" s="62">
        <f t="shared" si="3"/>
        <v>0</v>
      </c>
      <c r="J21" s="62">
        <f t="shared" si="3"/>
        <v>0</v>
      </c>
      <c r="K21" s="62">
        <f t="shared" si="3"/>
        <v>0</v>
      </c>
      <c r="L21" s="62">
        <f t="shared" si="3"/>
        <v>0</v>
      </c>
      <c r="M21" s="62">
        <f t="shared" si="3"/>
        <v>0</v>
      </c>
      <c r="N21" s="62">
        <f t="shared" si="3"/>
        <v>0</v>
      </c>
      <c r="O21" s="62">
        <f t="shared" si="3"/>
        <v>0</v>
      </c>
      <c r="P21" s="62">
        <f t="shared" si="3"/>
        <v>0</v>
      </c>
      <c r="Q21" s="62">
        <f t="shared" si="3"/>
        <v>0</v>
      </c>
      <c r="R21" s="62">
        <f t="shared" si="3"/>
        <v>0</v>
      </c>
      <c r="S21" s="2" t="s">
        <v>429</v>
      </c>
    </row>
    <row r="22" spans="2:19" x14ac:dyDescent="0.35">
      <c r="B22" s="27"/>
      <c r="D22" s="6"/>
      <c r="E22" s="2" t="s">
        <v>10</v>
      </c>
      <c r="F22" s="57">
        <f>SUM(G22:R22)</f>
        <v>190</v>
      </c>
      <c r="G22" s="62">
        <f>'Điểm hòa vốn'!K102</f>
        <v>16</v>
      </c>
      <c r="H22" s="611">
        <v>14</v>
      </c>
      <c r="I22" s="62">
        <f t="shared" si="3"/>
        <v>16</v>
      </c>
      <c r="J22" s="62">
        <f t="shared" si="3"/>
        <v>16</v>
      </c>
      <c r="K22" s="62">
        <f t="shared" si="3"/>
        <v>16</v>
      </c>
      <c r="L22" s="62">
        <f t="shared" si="3"/>
        <v>16</v>
      </c>
      <c r="M22" s="62">
        <f t="shared" si="3"/>
        <v>16</v>
      </c>
      <c r="N22" s="62">
        <f t="shared" si="3"/>
        <v>16</v>
      </c>
      <c r="O22" s="62">
        <f t="shared" si="3"/>
        <v>16</v>
      </c>
      <c r="P22" s="62">
        <f t="shared" si="3"/>
        <v>16</v>
      </c>
      <c r="Q22" s="62">
        <f t="shared" si="3"/>
        <v>16</v>
      </c>
      <c r="R22" s="62">
        <f t="shared" si="3"/>
        <v>16</v>
      </c>
      <c r="S22" s="2" t="s">
        <v>429</v>
      </c>
    </row>
    <row r="23" spans="2:19" x14ac:dyDescent="0.35">
      <c r="B23" s="27" t="s">
        <v>314</v>
      </c>
      <c r="D23" s="6"/>
      <c r="R23" s="58"/>
    </row>
    <row r="24" spans="2:19" x14ac:dyDescent="0.35">
      <c r="B24" s="27"/>
      <c r="C24" s="2" t="s">
        <v>23</v>
      </c>
      <c r="D24" s="6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x14ac:dyDescent="0.35">
      <c r="B25" s="27"/>
      <c r="D25" s="6"/>
      <c r="E25" s="2" t="s">
        <v>6</v>
      </c>
      <c r="G25" s="57">
        <f>'Điểm hòa vốn'!K58</f>
        <v>85000</v>
      </c>
      <c r="H25" s="62">
        <f t="shared" ref="H25:R40" si="4">$G25</f>
        <v>85000</v>
      </c>
      <c r="I25" s="62">
        <f t="shared" si="4"/>
        <v>85000</v>
      </c>
      <c r="J25" s="62">
        <f t="shared" si="4"/>
        <v>85000</v>
      </c>
      <c r="K25" s="62">
        <f t="shared" si="4"/>
        <v>85000</v>
      </c>
      <c r="L25" s="62">
        <f t="shared" si="4"/>
        <v>85000</v>
      </c>
      <c r="M25" s="62">
        <f t="shared" si="4"/>
        <v>85000</v>
      </c>
      <c r="N25" s="62">
        <f t="shared" si="4"/>
        <v>85000</v>
      </c>
      <c r="O25" s="62">
        <f t="shared" si="4"/>
        <v>85000</v>
      </c>
      <c r="P25" s="62">
        <f t="shared" si="4"/>
        <v>85000</v>
      </c>
      <c r="Q25" s="62">
        <f t="shared" si="4"/>
        <v>85000</v>
      </c>
      <c r="R25" s="62">
        <f t="shared" si="4"/>
        <v>85000</v>
      </c>
    </row>
    <row r="26" spans="2:19" x14ac:dyDescent="0.35">
      <c r="B26" s="27"/>
      <c r="D26" s="6"/>
      <c r="E26" s="2" t="s">
        <v>8</v>
      </c>
      <c r="G26" s="57">
        <f>'Điểm hòa vốn'!K59</f>
        <v>51221.338645418327</v>
      </c>
      <c r="H26" s="62">
        <f t="shared" si="4"/>
        <v>51221.338645418327</v>
      </c>
      <c r="I26" s="62">
        <f t="shared" si="4"/>
        <v>51221.338645418327</v>
      </c>
      <c r="J26" s="62">
        <f t="shared" si="4"/>
        <v>51221.338645418327</v>
      </c>
      <c r="K26" s="62">
        <f t="shared" si="4"/>
        <v>51221.338645418327</v>
      </c>
      <c r="L26" s="62">
        <f t="shared" si="4"/>
        <v>51221.338645418327</v>
      </c>
      <c r="M26" s="62">
        <f t="shared" si="4"/>
        <v>51221.338645418327</v>
      </c>
      <c r="N26" s="62">
        <f t="shared" si="4"/>
        <v>51221.338645418327</v>
      </c>
      <c r="O26" s="62">
        <f t="shared" si="4"/>
        <v>51221.338645418327</v>
      </c>
      <c r="P26" s="62">
        <f t="shared" si="4"/>
        <v>51221.338645418327</v>
      </c>
      <c r="Q26" s="62">
        <f t="shared" si="4"/>
        <v>51221.338645418327</v>
      </c>
      <c r="R26" s="62">
        <f t="shared" si="4"/>
        <v>51221.338645418327</v>
      </c>
    </row>
    <row r="27" spans="2:19" x14ac:dyDescent="0.35">
      <c r="B27" s="27"/>
      <c r="D27" s="6"/>
      <c r="E27" s="2" t="s">
        <v>7</v>
      </c>
      <c r="G27" s="57">
        <f>'Điểm hòa vốn'!K60</f>
        <v>11743.033519553073</v>
      </c>
      <c r="H27" s="62">
        <f t="shared" si="4"/>
        <v>11743.033519553073</v>
      </c>
      <c r="I27" s="62">
        <f t="shared" si="4"/>
        <v>11743.033519553073</v>
      </c>
      <c r="J27" s="62">
        <f t="shared" si="4"/>
        <v>11743.033519553073</v>
      </c>
      <c r="K27" s="62">
        <f t="shared" si="4"/>
        <v>11743.033519553073</v>
      </c>
      <c r="L27" s="62">
        <f t="shared" si="4"/>
        <v>11743.033519553073</v>
      </c>
      <c r="M27" s="62">
        <f t="shared" si="4"/>
        <v>11743.033519553073</v>
      </c>
      <c r="N27" s="62">
        <f t="shared" si="4"/>
        <v>11743.033519553073</v>
      </c>
      <c r="O27" s="62">
        <f t="shared" si="4"/>
        <v>11743.033519553073</v>
      </c>
      <c r="P27" s="62">
        <f t="shared" si="4"/>
        <v>11743.033519553073</v>
      </c>
      <c r="Q27" s="62">
        <f t="shared" si="4"/>
        <v>11743.033519553073</v>
      </c>
      <c r="R27" s="62">
        <f t="shared" si="4"/>
        <v>11743.033519553073</v>
      </c>
    </row>
    <row r="28" spans="2:19" x14ac:dyDescent="0.35">
      <c r="B28" s="27"/>
      <c r="D28" s="6"/>
      <c r="E28" s="2" t="s">
        <v>9</v>
      </c>
      <c r="G28" s="57">
        <f>'Điểm hòa vốn'!K61</f>
        <v>0</v>
      </c>
      <c r="H28" s="62">
        <f t="shared" si="4"/>
        <v>0</v>
      </c>
      <c r="I28" s="62">
        <f t="shared" si="4"/>
        <v>0</v>
      </c>
      <c r="J28" s="62">
        <f t="shared" si="4"/>
        <v>0</v>
      </c>
      <c r="K28" s="62">
        <f t="shared" si="4"/>
        <v>0</v>
      </c>
      <c r="L28" s="62">
        <f t="shared" si="4"/>
        <v>0</v>
      </c>
      <c r="M28" s="62">
        <f t="shared" si="4"/>
        <v>0</v>
      </c>
      <c r="N28" s="62">
        <f t="shared" si="4"/>
        <v>0</v>
      </c>
      <c r="O28" s="62">
        <f t="shared" si="4"/>
        <v>0</v>
      </c>
      <c r="P28" s="62">
        <f t="shared" si="4"/>
        <v>0</v>
      </c>
      <c r="Q28" s="62">
        <f t="shared" si="4"/>
        <v>0</v>
      </c>
      <c r="R28" s="62">
        <f t="shared" si="4"/>
        <v>0</v>
      </c>
    </row>
    <row r="29" spans="2:19" x14ac:dyDescent="0.35">
      <c r="B29" s="27"/>
      <c r="D29" s="6"/>
      <c r="E29" s="2" t="s">
        <v>10</v>
      </c>
      <c r="G29" s="57">
        <f>'Điểm hòa vốn'!K62</f>
        <v>0</v>
      </c>
      <c r="H29" s="62">
        <f t="shared" si="4"/>
        <v>0</v>
      </c>
      <c r="I29" s="62">
        <f t="shared" si="4"/>
        <v>0</v>
      </c>
      <c r="J29" s="62">
        <f t="shared" si="4"/>
        <v>0</v>
      </c>
      <c r="K29" s="62">
        <f t="shared" si="4"/>
        <v>0</v>
      </c>
      <c r="L29" s="62">
        <f t="shared" si="4"/>
        <v>0</v>
      </c>
      <c r="M29" s="62">
        <f t="shared" si="4"/>
        <v>0</v>
      </c>
      <c r="N29" s="62">
        <f t="shared" si="4"/>
        <v>0</v>
      </c>
      <c r="O29" s="62">
        <f t="shared" si="4"/>
        <v>0</v>
      </c>
      <c r="P29" s="62">
        <f t="shared" si="4"/>
        <v>0</v>
      </c>
      <c r="Q29" s="62">
        <f t="shared" si="4"/>
        <v>0</v>
      </c>
      <c r="R29" s="62">
        <f t="shared" si="4"/>
        <v>0</v>
      </c>
    </row>
    <row r="30" spans="2:19" x14ac:dyDescent="0.35">
      <c r="B30" s="27"/>
      <c r="C30" s="2" t="s">
        <v>417</v>
      </c>
      <c r="D30" s="6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</row>
    <row r="31" spans="2:19" x14ac:dyDescent="0.35">
      <c r="B31" s="27"/>
      <c r="D31" s="6"/>
      <c r="E31" s="2" t="s">
        <v>6</v>
      </c>
      <c r="G31" s="57">
        <f>'Điểm hòa vốn'!K67</f>
        <v>90000</v>
      </c>
      <c r="H31" s="62">
        <f t="shared" si="4"/>
        <v>90000</v>
      </c>
      <c r="I31" s="62">
        <f t="shared" si="4"/>
        <v>90000</v>
      </c>
      <c r="J31" s="62">
        <f t="shared" si="4"/>
        <v>90000</v>
      </c>
      <c r="K31" s="62">
        <f t="shared" si="4"/>
        <v>90000</v>
      </c>
      <c r="L31" s="62">
        <f t="shared" si="4"/>
        <v>90000</v>
      </c>
      <c r="M31" s="62">
        <f t="shared" si="4"/>
        <v>90000</v>
      </c>
      <c r="N31" s="62">
        <f t="shared" si="4"/>
        <v>90000</v>
      </c>
      <c r="O31" s="62">
        <f t="shared" si="4"/>
        <v>90000</v>
      </c>
      <c r="P31" s="62">
        <f t="shared" si="4"/>
        <v>90000</v>
      </c>
      <c r="Q31" s="62">
        <f t="shared" si="4"/>
        <v>90000</v>
      </c>
      <c r="R31" s="62">
        <f t="shared" si="4"/>
        <v>90000</v>
      </c>
    </row>
    <row r="32" spans="2:19" x14ac:dyDescent="0.35">
      <c r="B32" s="27"/>
      <c r="D32" s="6"/>
      <c r="E32" s="2" t="s">
        <v>8</v>
      </c>
      <c r="G32" s="57">
        <f>'Điểm hòa vốn'!K68</f>
        <v>50000</v>
      </c>
      <c r="H32" s="62">
        <f t="shared" si="4"/>
        <v>50000</v>
      </c>
      <c r="I32" s="62">
        <f t="shared" si="4"/>
        <v>50000</v>
      </c>
      <c r="J32" s="62">
        <f t="shared" si="4"/>
        <v>50000</v>
      </c>
      <c r="K32" s="62">
        <f t="shared" si="4"/>
        <v>50000</v>
      </c>
      <c r="L32" s="62">
        <f t="shared" si="4"/>
        <v>50000</v>
      </c>
      <c r="M32" s="62">
        <f t="shared" si="4"/>
        <v>50000</v>
      </c>
      <c r="N32" s="62">
        <f t="shared" si="4"/>
        <v>50000</v>
      </c>
      <c r="O32" s="62">
        <f t="shared" si="4"/>
        <v>50000</v>
      </c>
      <c r="P32" s="62">
        <f t="shared" si="4"/>
        <v>50000</v>
      </c>
      <c r="Q32" s="62">
        <f t="shared" si="4"/>
        <v>50000</v>
      </c>
      <c r="R32" s="62">
        <f t="shared" si="4"/>
        <v>50000</v>
      </c>
    </row>
    <row r="33" spans="2:25" x14ac:dyDescent="0.35">
      <c r="B33" s="27"/>
      <c r="D33" s="6"/>
      <c r="E33" s="2" t="s">
        <v>7</v>
      </c>
      <c r="G33" s="57">
        <f>'Điểm hòa vốn'!K69</f>
        <v>25000</v>
      </c>
      <c r="H33" s="62">
        <f t="shared" si="4"/>
        <v>25000</v>
      </c>
      <c r="I33" s="62">
        <f t="shared" si="4"/>
        <v>25000</v>
      </c>
      <c r="J33" s="62">
        <f t="shared" si="4"/>
        <v>25000</v>
      </c>
      <c r="K33" s="62">
        <f t="shared" si="4"/>
        <v>25000</v>
      </c>
      <c r="L33" s="62">
        <f t="shared" si="4"/>
        <v>25000</v>
      </c>
      <c r="M33" s="62">
        <f t="shared" si="4"/>
        <v>25000</v>
      </c>
      <c r="N33" s="62">
        <f t="shared" si="4"/>
        <v>25000</v>
      </c>
      <c r="O33" s="62">
        <f t="shared" si="4"/>
        <v>25000</v>
      </c>
      <c r="P33" s="62">
        <f t="shared" si="4"/>
        <v>25000</v>
      </c>
      <c r="Q33" s="62">
        <f t="shared" si="4"/>
        <v>25000</v>
      </c>
      <c r="R33" s="62">
        <f t="shared" si="4"/>
        <v>25000</v>
      </c>
    </row>
    <row r="34" spans="2:25" x14ac:dyDescent="0.35">
      <c r="B34" s="27"/>
      <c r="C34" s="2" t="s">
        <v>312</v>
      </c>
      <c r="D34" s="6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</row>
    <row r="35" spans="2:25" x14ac:dyDescent="0.35">
      <c r="B35" s="27"/>
      <c r="D35" s="6"/>
      <c r="E35" s="2" t="s">
        <v>6</v>
      </c>
      <c r="G35" s="57">
        <f>'Điểm hòa vốn'!K71</f>
        <v>400000</v>
      </c>
      <c r="H35" s="62">
        <f t="shared" si="4"/>
        <v>400000</v>
      </c>
      <c r="I35" s="62">
        <f t="shared" si="4"/>
        <v>400000</v>
      </c>
      <c r="J35" s="62">
        <f t="shared" si="4"/>
        <v>400000</v>
      </c>
      <c r="K35" s="62">
        <f t="shared" si="4"/>
        <v>400000</v>
      </c>
      <c r="L35" s="62">
        <f t="shared" si="4"/>
        <v>400000</v>
      </c>
      <c r="M35" s="62">
        <f t="shared" si="4"/>
        <v>400000</v>
      </c>
      <c r="N35" s="62">
        <f t="shared" si="4"/>
        <v>400000</v>
      </c>
      <c r="O35" s="62">
        <f t="shared" si="4"/>
        <v>400000</v>
      </c>
      <c r="P35" s="62">
        <f t="shared" si="4"/>
        <v>400000</v>
      </c>
      <c r="Q35" s="62">
        <f t="shared" si="4"/>
        <v>400000</v>
      </c>
      <c r="R35" s="62">
        <f t="shared" si="4"/>
        <v>400000</v>
      </c>
    </row>
    <row r="36" spans="2:25" x14ac:dyDescent="0.35">
      <c r="B36" s="27"/>
      <c r="D36" s="6"/>
      <c r="E36" s="2" t="s">
        <v>8</v>
      </c>
      <c r="G36" s="57">
        <f>'Điểm hòa vốn'!K72</f>
        <v>100000</v>
      </c>
      <c r="H36" s="62">
        <f t="shared" si="4"/>
        <v>100000</v>
      </c>
      <c r="I36" s="62">
        <f t="shared" si="4"/>
        <v>100000</v>
      </c>
      <c r="J36" s="62">
        <f t="shared" si="4"/>
        <v>100000</v>
      </c>
      <c r="K36" s="62">
        <f t="shared" si="4"/>
        <v>100000</v>
      </c>
      <c r="L36" s="62">
        <f t="shared" si="4"/>
        <v>100000</v>
      </c>
      <c r="M36" s="62">
        <f t="shared" si="4"/>
        <v>100000</v>
      </c>
      <c r="N36" s="62">
        <f t="shared" si="4"/>
        <v>100000</v>
      </c>
      <c r="O36" s="62">
        <f t="shared" si="4"/>
        <v>100000</v>
      </c>
      <c r="P36" s="62">
        <f t="shared" si="4"/>
        <v>100000</v>
      </c>
      <c r="Q36" s="62">
        <f t="shared" si="4"/>
        <v>100000</v>
      </c>
      <c r="R36" s="62">
        <f t="shared" si="4"/>
        <v>100000</v>
      </c>
    </row>
    <row r="37" spans="2:25" x14ac:dyDescent="0.35">
      <c r="B37" s="27"/>
      <c r="D37" s="6"/>
      <c r="E37" s="2" t="s">
        <v>7</v>
      </c>
      <c r="G37" s="57">
        <f>'Điểm hòa vốn'!K73</f>
        <v>100000</v>
      </c>
      <c r="H37" s="62">
        <f t="shared" si="4"/>
        <v>100000</v>
      </c>
      <c r="I37" s="62">
        <f t="shared" si="4"/>
        <v>100000</v>
      </c>
      <c r="J37" s="62">
        <f t="shared" si="4"/>
        <v>100000</v>
      </c>
      <c r="K37" s="62">
        <f t="shared" si="4"/>
        <v>100000</v>
      </c>
      <c r="L37" s="62">
        <f t="shared" si="4"/>
        <v>100000</v>
      </c>
      <c r="M37" s="62">
        <f t="shared" si="4"/>
        <v>100000</v>
      </c>
      <c r="N37" s="62">
        <f t="shared" si="4"/>
        <v>100000</v>
      </c>
      <c r="O37" s="62">
        <f t="shared" si="4"/>
        <v>100000</v>
      </c>
      <c r="P37" s="62">
        <f t="shared" si="4"/>
        <v>100000</v>
      </c>
      <c r="Q37" s="62">
        <f t="shared" si="4"/>
        <v>100000</v>
      </c>
      <c r="R37" s="62">
        <f t="shared" si="4"/>
        <v>100000</v>
      </c>
    </row>
    <row r="38" spans="2:25" x14ac:dyDescent="0.35">
      <c r="B38" s="27"/>
      <c r="C38" s="2" t="s">
        <v>28</v>
      </c>
      <c r="D38" s="6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</row>
    <row r="39" spans="2:25" x14ac:dyDescent="0.35">
      <c r="B39" s="27"/>
      <c r="D39" s="6"/>
      <c r="E39" s="2" t="s">
        <v>6</v>
      </c>
      <c r="G39" s="57">
        <f>'Điểm hòa vốn'!K75</f>
        <v>115000</v>
      </c>
      <c r="H39" s="62">
        <f t="shared" si="4"/>
        <v>115000</v>
      </c>
      <c r="I39" s="62">
        <f t="shared" si="4"/>
        <v>115000</v>
      </c>
      <c r="J39" s="62">
        <f t="shared" si="4"/>
        <v>115000</v>
      </c>
      <c r="K39" s="62">
        <f t="shared" si="4"/>
        <v>115000</v>
      </c>
      <c r="L39" s="62">
        <f t="shared" si="4"/>
        <v>115000</v>
      </c>
      <c r="M39" s="62">
        <f t="shared" si="4"/>
        <v>115000</v>
      </c>
      <c r="N39" s="62">
        <f t="shared" si="4"/>
        <v>115000</v>
      </c>
      <c r="O39" s="62">
        <f t="shared" si="4"/>
        <v>115000</v>
      </c>
      <c r="P39" s="62">
        <f t="shared" si="4"/>
        <v>115000</v>
      </c>
      <c r="Q39" s="62">
        <f t="shared" si="4"/>
        <v>115000</v>
      </c>
      <c r="R39" s="62">
        <f t="shared" si="4"/>
        <v>115000</v>
      </c>
    </row>
    <row r="40" spans="2:25" x14ac:dyDescent="0.35">
      <c r="B40" s="27"/>
      <c r="D40" s="6"/>
      <c r="E40" s="2" t="s">
        <v>8</v>
      </c>
      <c r="G40" s="57">
        <f>'Điểm hòa vốn'!K76</f>
        <v>115000</v>
      </c>
      <c r="H40" s="62">
        <f t="shared" si="4"/>
        <v>115000</v>
      </c>
      <c r="I40" s="62">
        <f t="shared" si="4"/>
        <v>115000</v>
      </c>
      <c r="J40" s="62">
        <f t="shared" si="4"/>
        <v>115000</v>
      </c>
      <c r="K40" s="62">
        <f t="shared" si="4"/>
        <v>115000</v>
      </c>
      <c r="L40" s="62">
        <f t="shared" si="4"/>
        <v>115000</v>
      </c>
      <c r="M40" s="62">
        <f t="shared" si="4"/>
        <v>115000</v>
      </c>
      <c r="N40" s="62">
        <f t="shared" si="4"/>
        <v>115000</v>
      </c>
      <c r="O40" s="62">
        <f t="shared" si="4"/>
        <v>115000</v>
      </c>
      <c r="P40" s="62">
        <f t="shared" si="4"/>
        <v>115000</v>
      </c>
      <c r="Q40" s="62">
        <f t="shared" si="4"/>
        <v>115000</v>
      </c>
      <c r="R40" s="62">
        <f t="shared" si="4"/>
        <v>115000</v>
      </c>
    </row>
    <row r="41" spans="2:25" x14ac:dyDescent="0.35">
      <c r="B41" s="27"/>
      <c r="D41" s="6"/>
      <c r="E41" s="2" t="s">
        <v>7</v>
      </c>
      <c r="G41" s="57">
        <f>'Điểm hòa vốn'!K77</f>
        <v>70000</v>
      </c>
      <c r="H41" s="62">
        <f t="shared" ref="H41:R42" si="5">$G41</f>
        <v>70000</v>
      </c>
      <c r="I41" s="62">
        <f t="shared" si="5"/>
        <v>70000</v>
      </c>
      <c r="J41" s="62">
        <f t="shared" si="5"/>
        <v>70000</v>
      </c>
      <c r="K41" s="62">
        <f t="shared" si="5"/>
        <v>70000</v>
      </c>
      <c r="L41" s="62">
        <f t="shared" si="5"/>
        <v>70000</v>
      </c>
      <c r="M41" s="62">
        <f t="shared" si="5"/>
        <v>70000</v>
      </c>
      <c r="N41" s="62">
        <f t="shared" si="5"/>
        <v>70000</v>
      </c>
      <c r="O41" s="62">
        <f t="shared" si="5"/>
        <v>70000</v>
      </c>
      <c r="P41" s="62">
        <f t="shared" si="5"/>
        <v>70000</v>
      </c>
      <c r="Q41" s="62">
        <f t="shared" si="5"/>
        <v>70000</v>
      </c>
      <c r="R41" s="62">
        <f t="shared" si="5"/>
        <v>70000</v>
      </c>
    </row>
    <row r="42" spans="2:25" x14ac:dyDescent="0.35">
      <c r="B42" s="27"/>
      <c r="D42" s="6"/>
      <c r="E42" s="2" t="s">
        <v>9</v>
      </c>
      <c r="G42" s="57">
        <f>'Điểm hòa vốn'!K78</f>
        <v>0</v>
      </c>
      <c r="H42" s="62">
        <f t="shared" si="5"/>
        <v>0</v>
      </c>
      <c r="I42" s="62">
        <f t="shared" si="5"/>
        <v>0</v>
      </c>
      <c r="J42" s="62">
        <f t="shared" si="5"/>
        <v>0</v>
      </c>
      <c r="K42" s="62">
        <f t="shared" si="5"/>
        <v>0</v>
      </c>
      <c r="L42" s="62">
        <f t="shared" si="5"/>
        <v>0</v>
      </c>
      <c r="M42" s="62">
        <f t="shared" si="5"/>
        <v>0</v>
      </c>
      <c r="N42" s="62">
        <f t="shared" si="5"/>
        <v>0</v>
      </c>
      <c r="O42" s="62">
        <f t="shared" si="5"/>
        <v>0</v>
      </c>
      <c r="P42" s="62">
        <f t="shared" si="5"/>
        <v>0</v>
      </c>
      <c r="Q42" s="62">
        <f t="shared" si="5"/>
        <v>0</v>
      </c>
      <c r="R42" s="62">
        <f t="shared" si="5"/>
        <v>0</v>
      </c>
    </row>
    <row r="43" spans="2:25" x14ac:dyDescent="0.35">
      <c r="B43" s="27" t="s">
        <v>11</v>
      </c>
      <c r="D43" s="6"/>
      <c r="R43" s="58"/>
    </row>
    <row r="44" spans="2:25" outlineLevel="1" x14ac:dyDescent="0.35">
      <c r="E44" s="2" t="s">
        <v>6</v>
      </c>
      <c r="F44" s="57">
        <f>SUM(G44:R44)</f>
        <v>15941.199999999997</v>
      </c>
      <c r="G44" s="62">
        <f t="shared" ref="G44:R44" si="6">G12*G18</f>
        <v>1416.8000000000002</v>
      </c>
      <c r="H44" s="62">
        <f t="shared" si="6"/>
        <v>356.40000000000003</v>
      </c>
      <c r="I44" s="62">
        <f t="shared" si="6"/>
        <v>1416.8000000000002</v>
      </c>
      <c r="J44" s="62">
        <f t="shared" si="6"/>
        <v>1416.8000000000002</v>
      </c>
      <c r="K44" s="62">
        <f t="shared" si="6"/>
        <v>1416.8000000000002</v>
      </c>
      <c r="L44" s="62">
        <f t="shared" si="6"/>
        <v>1416.8000000000002</v>
      </c>
      <c r="M44" s="62">
        <f t="shared" si="6"/>
        <v>1416.8000000000002</v>
      </c>
      <c r="N44" s="62">
        <f t="shared" si="6"/>
        <v>1416.8000000000002</v>
      </c>
      <c r="O44" s="62">
        <f t="shared" si="6"/>
        <v>1416.8000000000002</v>
      </c>
      <c r="P44" s="62">
        <f t="shared" si="6"/>
        <v>1416.8000000000002</v>
      </c>
      <c r="Q44" s="62">
        <f t="shared" si="6"/>
        <v>1416.8000000000002</v>
      </c>
      <c r="R44" s="62">
        <f t="shared" si="6"/>
        <v>1416.8000000000002</v>
      </c>
      <c r="S44" s="62"/>
      <c r="T44" s="62"/>
      <c r="U44" s="57"/>
      <c r="V44" s="96"/>
      <c r="W44" s="97"/>
      <c r="Y44" s="57"/>
    </row>
    <row r="45" spans="2:25" outlineLevel="1" x14ac:dyDescent="0.35">
      <c r="E45" s="2" t="s">
        <v>8</v>
      </c>
      <c r="F45" s="57">
        <f>SUM(G45:R45)</f>
        <v>946.4</v>
      </c>
      <c r="G45" s="62">
        <f>G13*G19</f>
        <v>84.5</v>
      </c>
      <c r="H45" s="62">
        <f t="shared" ref="H45:R45" si="7">H13*H19</f>
        <v>16.900000000000002</v>
      </c>
      <c r="I45" s="62">
        <f t="shared" si="7"/>
        <v>84.5</v>
      </c>
      <c r="J45" s="62">
        <f t="shared" si="7"/>
        <v>84.5</v>
      </c>
      <c r="K45" s="62">
        <f t="shared" si="7"/>
        <v>84.5</v>
      </c>
      <c r="L45" s="62">
        <f t="shared" si="7"/>
        <v>84.5</v>
      </c>
      <c r="M45" s="62">
        <f t="shared" si="7"/>
        <v>84.5</v>
      </c>
      <c r="N45" s="62">
        <f t="shared" si="7"/>
        <v>84.5</v>
      </c>
      <c r="O45" s="62">
        <f t="shared" si="7"/>
        <v>84.5</v>
      </c>
      <c r="P45" s="62">
        <f t="shared" si="7"/>
        <v>84.5</v>
      </c>
      <c r="Q45" s="62">
        <f t="shared" si="7"/>
        <v>84.5</v>
      </c>
      <c r="R45" s="62">
        <f t="shared" si="7"/>
        <v>84.5</v>
      </c>
      <c r="S45" s="62"/>
      <c r="T45" s="62"/>
      <c r="U45" s="57"/>
      <c r="V45" s="96"/>
      <c r="W45" s="97"/>
      <c r="Y45" s="57"/>
    </row>
    <row r="46" spans="2:25" outlineLevel="1" x14ac:dyDescent="0.35">
      <c r="E46" s="2" t="s">
        <v>7</v>
      </c>
      <c r="F46" s="57">
        <f>SUM(G46:R46)</f>
        <v>254</v>
      </c>
      <c r="G46" s="62">
        <f t="shared" ref="G46:R48" si="8">G14*G20</f>
        <v>23</v>
      </c>
      <c r="H46" s="62">
        <f t="shared" si="8"/>
        <v>1</v>
      </c>
      <c r="I46" s="62">
        <f t="shared" si="8"/>
        <v>23</v>
      </c>
      <c r="J46" s="62">
        <f t="shared" si="8"/>
        <v>23</v>
      </c>
      <c r="K46" s="62">
        <f t="shared" si="8"/>
        <v>23</v>
      </c>
      <c r="L46" s="62">
        <f t="shared" si="8"/>
        <v>23</v>
      </c>
      <c r="M46" s="62">
        <f t="shared" si="8"/>
        <v>23</v>
      </c>
      <c r="N46" s="62">
        <f t="shared" si="8"/>
        <v>23</v>
      </c>
      <c r="O46" s="62">
        <f t="shared" si="8"/>
        <v>23</v>
      </c>
      <c r="P46" s="62">
        <f t="shared" si="8"/>
        <v>23</v>
      </c>
      <c r="Q46" s="62">
        <f t="shared" si="8"/>
        <v>23</v>
      </c>
      <c r="R46" s="62">
        <f t="shared" si="8"/>
        <v>23</v>
      </c>
      <c r="S46" s="62"/>
      <c r="T46" s="62"/>
      <c r="U46" s="57"/>
      <c r="V46" s="96"/>
      <c r="W46" s="97"/>
      <c r="Y46" s="57"/>
    </row>
    <row r="47" spans="2:25" outlineLevel="1" x14ac:dyDescent="0.35">
      <c r="E47" s="2" t="s">
        <v>9</v>
      </c>
      <c r="F47" s="57">
        <f>SUM(G47:R47)</f>
        <v>0</v>
      </c>
      <c r="G47" s="62">
        <f t="shared" si="8"/>
        <v>0</v>
      </c>
      <c r="H47" s="62">
        <f t="shared" si="8"/>
        <v>0</v>
      </c>
      <c r="I47" s="62">
        <f t="shared" si="8"/>
        <v>0</v>
      </c>
      <c r="J47" s="62">
        <f t="shared" si="8"/>
        <v>0</v>
      </c>
      <c r="K47" s="62">
        <f t="shared" si="8"/>
        <v>0</v>
      </c>
      <c r="L47" s="62">
        <f t="shared" si="8"/>
        <v>0</v>
      </c>
      <c r="M47" s="62">
        <f t="shared" si="8"/>
        <v>0</v>
      </c>
      <c r="N47" s="62">
        <f t="shared" si="8"/>
        <v>0</v>
      </c>
      <c r="O47" s="62">
        <f t="shared" si="8"/>
        <v>0</v>
      </c>
      <c r="P47" s="62">
        <f t="shared" si="8"/>
        <v>0</v>
      </c>
      <c r="Q47" s="62">
        <f t="shared" si="8"/>
        <v>0</v>
      </c>
      <c r="R47" s="62">
        <f t="shared" si="8"/>
        <v>0</v>
      </c>
      <c r="S47" s="62"/>
      <c r="T47" s="62"/>
      <c r="U47" s="57"/>
      <c r="V47" s="96"/>
      <c r="W47" s="97"/>
      <c r="Y47" s="57"/>
    </row>
    <row r="48" spans="2:25" outlineLevel="1" x14ac:dyDescent="0.35">
      <c r="E48" s="2" t="s">
        <v>10</v>
      </c>
      <c r="F48" s="57">
        <f>SUM(G48:R48)</f>
        <v>18.036231884057973</v>
      </c>
      <c r="G48" s="62">
        <f t="shared" si="8"/>
        <v>1.518840579710145</v>
      </c>
      <c r="H48" s="62">
        <f t="shared" si="8"/>
        <v>1.3289855072463768</v>
      </c>
      <c r="I48" s="62">
        <f t="shared" si="8"/>
        <v>1.518840579710145</v>
      </c>
      <c r="J48" s="62">
        <f t="shared" si="8"/>
        <v>1.518840579710145</v>
      </c>
      <c r="K48" s="62">
        <f t="shared" si="8"/>
        <v>1.518840579710145</v>
      </c>
      <c r="L48" s="62">
        <f t="shared" si="8"/>
        <v>1.518840579710145</v>
      </c>
      <c r="M48" s="62">
        <f t="shared" si="8"/>
        <v>1.518840579710145</v>
      </c>
      <c r="N48" s="62">
        <f t="shared" si="8"/>
        <v>1.518840579710145</v>
      </c>
      <c r="O48" s="62">
        <f t="shared" si="8"/>
        <v>1.518840579710145</v>
      </c>
      <c r="P48" s="62">
        <f t="shared" si="8"/>
        <v>1.518840579710145</v>
      </c>
      <c r="Q48" s="62">
        <f t="shared" si="8"/>
        <v>1.518840579710145</v>
      </c>
      <c r="R48" s="62">
        <f t="shared" si="8"/>
        <v>1.518840579710145</v>
      </c>
      <c r="S48" s="62"/>
      <c r="T48" s="62"/>
      <c r="U48" s="57"/>
      <c r="V48" s="96"/>
      <c r="W48" s="97"/>
      <c r="Y48" s="57"/>
    </row>
    <row r="49" spans="2:25" outlineLevel="1" x14ac:dyDescent="0.35">
      <c r="C49" s="309" t="s">
        <v>353</v>
      </c>
      <c r="D49" s="308"/>
      <c r="E49" s="308"/>
      <c r="F49" s="310">
        <f>SUM(F44:F48)</f>
        <v>17159.636231884055</v>
      </c>
      <c r="G49" s="310">
        <f t="shared" ref="G49:R49" si="9">SUM(G44:G48)</f>
        <v>1525.8188405797102</v>
      </c>
      <c r="H49" s="310">
        <f t="shared" si="9"/>
        <v>375.6289855072464</v>
      </c>
      <c r="I49" s="310">
        <f t="shared" si="9"/>
        <v>1525.8188405797102</v>
      </c>
      <c r="J49" s="310">
        <f t="shared" si="9"/>
        <v>1525.8188405797102</v>
      </c>
      <c r="K49" s="310">
        <f t="shared" si="9"/>
        <v>1525.8188405797102</v>
      </c>
      <c r="L49" s="310">
        <f t="shared" si="9"/>
        <v>1525.8188405797102</v>
      </c>
      <c r="M49" s="310">
        <f t="shared" si="9"/>
        <v>1525.8188405797102</v>
      </c>
      <c r="N49" s="310">
        <f t="shared" si="9"/>
        <v>1525.8188405797102</v>
      </c>
      <c r="O49" s="310">
        <f t="shared" si="9"/>
        <v>1525.8188405797102</v>
      </c>
      <c r="P49" s="310">
        <f t="shared" si="9"/>
        <v>1525.8188405797102</v>
      </c>
      <c r="Q49" s="310">
        <f t="shared" si="9"/>
        <v>1525.8188405797102</v>
      </c>
      <c r="R49" s="310">
        <f t="shared" si="9"/>
        <v>1525.8188405797102</v>
      </c>
      <c r="S49" s="62"/>
      <c r="T49" s="62"/>
      <c r="U49" s="57"/>
      <c r="V49" s="96"/>
      <c r="W49" s="97"/>
      <c r="Y49" s="57"/>
    </row>
    <row r="50" spans="2:25" x14ac:dyDescent="0.35">
      <c r="B50" s="27" t="s">
        <v>307</v>
      </c>
      <c r="D50" s="55"/>
      <c r="F50" s="58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59"/>
      <c r="S50" s="59"/>
      <c r="T50" s="59"/>
      <c r="U50" s="59"/>
      <c r="V50" s="118"/>
      <c r="Y50" s="59"/>
    </row>
    <row r="51" spans="2:25" x14ac:dyDescent="0.35">
      <c r="B51" s="27"/>
      <c r="D51" s="55"/>
      <c r="E51" s="2" t="s">
        <v>23</v>
      </c>
      <c r="F51" s="57">
        <f t="shared" ref="F51:F60" si="10">SUM(G51:R51)</f>
        <v>659.16459556179768</v>
      </c>
      <c r="G51" s="195">
        <f>SUMPRODUCT(G25:G29,G18:G22)/10^6</f>
        <v>58.609566553851636</v>
      </c>
      <c r="H51" s="195">
        <f t="shared" ref="H51:R51" si="11">SUMPRODUCT(H25:H29,H18:H22)/10^6</f>
        <v>14.459363469429546</v>
      </c>
      <c r="I51" s="195">
        <f t="shared" si="11"/>
        <v>58.609566553851636</v>
      </c>
      <c r="J51" s="195">
        <f t="shared" si="11"/>
        <v>58.609566553851636</v>
      </c>
      <c r="K51" s="195">
        <f t="shared" si="11"/>
        <v>58.609566553851636</v>
      </c>
      <c r="L51" s="195">
        <f t="shared" si="11"/>
        <v>58.609566553851636</v>
      </c>
      <c r="M51" s="195">
        <f t="shared" si="11"/>
        <v>58.609566553851636</v>
      </c>
      <c r="N51" s="195">
        <f t="shared" si="11"/>
        <v>58.609566553851636</v>
      </c>
      <c r="O51" s="195">
        <f t="shared" si="11"/>
        <v>58.609566553851636</v>
      </c>
      <c r="P51" s="195">
        <f t="shared" si="11"/>
        <v>58.609566553851636</v>
      </c>
      <c r="Q51" s="195">
        <f t="shared" si="11"/>
        <v>58.609566553851636</v>
      </c>
      <c r="R51" s="195">
        <f t="shared" si="11"/>
        <v>58.609566553851636</v>
      </c>
      <c r="S51" s="59"/>
      <c r="T51" s="59"/>
      <c r="U51" s="59"/>
      <c r="V51" s="118"/>
      <c r="Y51" s="59"/>
    </row>
    <row r="52" spans="2:25" x14ac:dyDescent="0.35">
      <c r="C52" s="6"/>
      <c r="D52" s="6"/>
      <c r="E52" s="2" t="s">
        <v>179</v>
      </c>
      <c r="F52" s="57">
        <f t="shared" si="10"/>
        <v>701.24000000000012</v>
      </c>
      <c r="G52" s="195">
        <f>SUMPRODUCT(G31:G33,G18:G20)/10^6</f>
        <v>62.36</v>
      </c>
      <c r="H52" s="195">
        <f t="shared" ref="H52:R52" si="12">SUMPRODUCT(H31:H33,H18:H20)/10^6</f>
        <v>15.28</v>
      </c>
      <c r="I52" s="195">
        <f t="shared" si="12"/>
        <v>62.36</v>
      </c>
      <c r="J52" s="195">
        <f t="shared" si="12"/>
        <v>62.36</v>
      </c>
      <c r="K52" s="195">
        <f t="shared" si="12"/>
        <v>62.36</v>
      </c>
      <c r="L52" s="195">
        <f t="shared" si="12"/>
        <v>62.36</v>
      </c>
      <c r="M52" s="195">
        <f t="shared" si="12"/>
        <v>62.36</v>
      </c>
      <c r="N52" s="195">
        <f t="shared" si="12"/>
        <v>62.36</v>
      </c>
      <c r="O52" s="195">
        <f t="shared" si="12"/>
        <v>62.36</v>
      </c>
      <c r="P52" s="195">
        <f t="shared" si="12"/>
        <v>62.36</v>
      </c>
      <c r="Q52" s="195">
        <f t="shared" si="12"/>
        <v>62.36</v>
      </c>
      <c r="R52" s="195">
        <f t="shared" si="12"/>
        <v>62.36</v>
      </c>
      <c r="S52" s="85"/>
      <c r="T52" s="85"/>
      <c r="U52" s="85"/>
      <c r="V52" s="85"/>
      <c r="W52" s="85"/>
      <c r="X52" s="85"/>
      <c r="Y52" s="85"/>
    </row>
    <row r="53" spans="2:25" x14ac:dyDescent="0.35">
      <c r="C53" s="6"/>
      <c r="D53" s="6"/>
      <c r="E53" s="2" t="s">
        <v>312</v>
      </c>
      <c r="F53" s="57">
        <f t="shared" si="10"/>
        <v>3021.9999999999995</v>
      </c>
      <c r="G53" s="195">
        <f>SUMPRODUCT(G35:G37,G18:G20)/10^6</f>
        <v>268.7</v>
      </c>
      <c r="H53" s="195">
        <f t="shared" ref="H53:R53" si="13">SUMPRODUCT(H35:H37,H18:H20)/10^6</f>
        <v>66.3</v>
      </c>
      <c r="I53" s="195">
        <f t="shared" si="13"/>
        <v>268.7</v>
      </c>
      <c r="J53" s="195">
        <f t="shared" si="13"/>
        <v>268.7</v>
      </c>
      <c r="K53" s="195">
        <f t="shared" si="13"/>
        <v>268.7</v>
      </c>
      <c r="L53" s="195">
        <f t="shared" si="13"/>
        <v>268.7</v>
      </c>
      <c r="M53" s="195">
        <f t="shared" si="13"/>
        <v>268.7</v>
      </c>
      <c r="N53" s="195">
        <f t="shared" si="13"/>
        <v>268.7</v>
      </c>
      <c r="O53" s="195">
        <f t="shared" si="13"/>
        <v>268.7</v>
      </c>
      <c r="P53" s="195">
        <f t="shared" si="13"/>
        <v>268.7</v>
      </c>
      <c r="Q53" s="195">
        <f t="shared" si="13"/>
        <v>268.7</v>
      </c>
      <c r="R53" s="195">
        <f t="shared" si="13"/>
        <v>268.7</v>
      </c>
      <c r="S53" s="85"/>
      <c r="T53" s="85"/>
      <c r="U53" s="85"/>
      <c r="V53" s="85"/>
      <c r="W53" s="85"/>
      <c r="X53" s="85"/>
      <c r="Y53" s="85"/>
    </row>
    <row r="54" spans="2:25" x14ac:dyDescent="0.35">
      <c r="E54" s="2" t="s">
        <v>28</v>
      </c>
      <c r="F54" s="57">
        <f t="shared" si="10"/>
        <v>952.56999999999994</v>
      </c>
      <c r="G54" s="195">
        <f>SUMPRODUCT(G39:G41,G18:G20)/10^6</f>
        <v>84.754999999999995</v>
      </c>
      <c r="H54" s="195">
        <f t="shared" ref="H54:R54" si="14">SUMPRODUCT(H39:H41,H18:H20)/10^6</f>
        <v>20.265000000000001</v>
      </c>
      <c r="I54" s="195">
        <f t="shared" si="14"/>
        <v>84.754999999999995</v>
      </c>
      <c r="J54" s="195">
        <f t="shared" si="14"/>
        <v>84.754999999999995</v>
      </c>
      <c r="K54" s="195">
        <f t="shared" si="14"/>
        <v>84.754999999999995</v>
      </c>
      <c r="L54" s="195">
        <f t="shared" si="14"/>
        <v>84.754999999999995</v>
      </c>
      <c r="M54" s="195">
        <f t="shared" si="14"/>
        <v>84.754999999999995</v>
      </c>
      <c r="N54" s="195">
        <f t="shared" si="14"/>
        <v>84.754999999999995</v>
      </c>
      <c r="O54" s="195">
        <f t="shared" si="14"/>
        <v>84.754999999999995</v>
      </c>
      <c r="P54" s="195">
        <f t="shared" si="14"/>
        <v>84.754999999999995</v>
      </c>
      <c r="Q54" s="195">
        <f t="shared" si="14"/>
        <v>84.754999999999995</v>
      </c>
      <c r="R54" s="195">
        <f t="shared" si="14"/>
        <v>84.754999999999995</v>
      </c>
      <c r="S54" s="62"/>
      <c r="T54" s="62"/>
      <c r="U54" s="57"/>
      <c r="V54" s="96"/>
      <c r="W54" s="97"/>
      <c r="Y54" s="57"/>
    </row>
    <row r="55" spans="2:25" x14ac:dyDescent="0.35">
      <c r="E55" s="2" t="s">
        <v>182</v>
      </c>
      <c r="F55" s="62">
        <f t="shared" si="10"/>
        <v>986.96791666666638</v>
      </c>
      <c r="G55" s="62">
        <f>'Điểm hòa vốn'!K45</f>
        <v>82.247326388888879</v>
      </c>
      <c r="H55" s="62">
        <f>'Điểm hòa vốn'!$L45</f>
        <v>82.247326388888879</v>
      </c>
      <c r="I55" s="62">
        <f>'Điểm hòa vốn'!$L45</f>
        <v>82.247326388888879</v>
      </c>
      <c r="J55" s="62">
        <f>'Điểm hòa vốn'!$L45</f>
        <v>82.247326388888879</v>
      </c>
      <c r="K55" s="62">
        <f>'Điểm hòa vốn'!$L45</f>
        <v>82.247326388888879</v>
      </c>
      <c r="L55" s="62">
        <f>'Điểm hòa vốn'!$L45</f>
        <v>82.247326388888879</v>
      </c>
      <c r="M55" s="62">
        <f>'Điểm hòa vốn'!$L45</f>
        <v>82.247326388888879</v>
      </c>
      <c r="N55" s="62">
        <f>'Điểm hòa vốn'!$L45</f>
        <v>82.247326388888879</v>
      </c>
      <c r="O55" s="62">
        <f>'Điểm hòa vốn'!$L45</f>
        <v>82.247326388888879</v>
      </c>
      <c r="P55" s="62">
        <f>'Điểm hòa vốn'!$L45</f>
        <v>82.247326388888879</v>
      </c>
      <c r="Q55" s="62">
        <f>'Điểm hòa vốn'!$L45</f>
        <v>82.247326388888879</v>
      </c>
      <c r="R55" s="62">
        <f>'Điểm hòa vốn'!$L45</f>
        <v>82.247326388888879</v>
      </c>
      <c r="S55" s="62"/>
      <c r="T55" s="62"/>
      <c r="U55" s="57"/>
      <c r="V55" s="96"/>
      <c r="W55" s="97"/>
      <c r="Y55" s="57"/>
    </row>
    <row r="56" spans="2:25" x14ac:dyDescent="0.35">
      <c r="E56" s="2" t="s">
        <v>310</v>
      </c>
      <c r="F56" s="57">
        <f t="shared" si="10"/>
        <v>1344.69</v>
      </c>
      <c r="G56" s="62">
        <f>'Điểm hòa vốn'!K43</f>
        <v>112.0575</v>
      </c>
      <c r="H56" s="62">
        <f>$G56</f>
        <v>112.0575</v>
      </c>
      <c r="I56" s="62">
        <f t="shared" ref="I56:R56" si="15">$G56</f>
        <v>112.0575</v>
      </c>
      <c r="J56" s="62">
        <f t="shared" si="15"/>
        <v>112.0575</v>
      </c>
      <c r="K56" s="62">
        <f t="shared" si="15"/>
        <v>112.0575</v>
      </c>
      <c r="L56" s="62">
        <f t="shared" si="15"/>
        <v>112.0575</v>
      </c>
      <c r="M56" s="62">
        <f t="shared" si="15"/>
        <v>112.0575</v>
      </c>
      <c r="N56" s="62">
        <f t="shared" si="15"/>
        <v>112.0575</v>
      </c>
      <c r="O56" s="62">
        <f t="shared" si="15"/>
        <v>112.0575</v>
      </c>
      <c r="P56" s="62">
        <f t="shared" si="15"/>
        <v>112.0575</v>
      </c>
      <c r="Q56" s="62">
        <f t="shared" si="15"/>
        <v>112.0575</v>
      </c>
      <c r="R56" s="62">
        <f t="shared" si="15"/>
        <v>112.0575</v>
      </c>
      <c r="S56" s="62"/>
      <c r="T56" s="62"/>
      <c r="U56" s="57"/>
      <c r="V56" s="96"/>
      <c r="W56" s="97"/>
      <c r="Y56" s="57"/>
    </row>
    <row r="57" spans="2:25" x14ac:dyDescent="0.35">
      <c r="E57" s="2" t="s">
        <v>408</v>
      </c>
      <c r="F57" s="57">
        <f t="shared" si="10"/>
        <v>2311.0080000000003</v>
      </c>
      <c r="G57" s="62">
        <f>'Điểm hòa vốn'!K42</f>
        <v>192.584</v>
      </c>
      <c r="H57" s="62">
        <f t="shared" ref="H57:R59" si="16">$G57</f>
        <v>192.584</v>
      </c>
      <c r="I57" s="62">
        <f t="shared" si="16"/>
        <v>192.584</v>
      </c>
      <c r="J57" s="62">
        <f t="shared" si="16"/>
        <v>192.584</v>
      </c>
      <c r="K57" s="62">
        <f t="shared" si="16"/>
        <v>192.584</v>
      </c>
      <c r="L57" s="62">
        <f t="shared" si="16"/>
        <v>192.584</v>
      </c>
      <c r="M57" s="62">
        <f t="shared" si="16"/>
        <v>192.584</v>
      </c>
      <c r="N57" s="62">
        <f t="shared" si="16"/>
        <v>192.584</v>
      </c>
      <c r="O57" s="62">
        <f t="shared" si="16"/>
        <v>192.584</v>
      </c>
      <c r="P57" s="62">
        <f t="shared" si="16"/>
        <v>192.584</v>
      </c>
      <c r="Q57" s="62">
        <f t="shared" si="16"/>
        <v>192.584</v>
      </c>
      <c r="R57" s="62">
        <f t="shared" si="16"/>
        <v>192.584</v>
      </c>
      <c r="S57" s="62"/>
      <c r="T57" s="62"/>
      <c r="U57" s="57"/>
      <c r="V57" s="96"/>
      <c r="W57" s="97"/>
      <c r="Y57" s="57"/>
    </row>
    <row r="58" spans="2:25" x14ac:dyDescent="0.35">
      <c r="E58" s="2" t="s">
        <v>420</v>
      </c>
      <c r="F58" s="57">
        <f t="shared" si="10"/>
        <v>827.27225890909074</v>
      </c>
      <c r="G58" s="62">
        <f>'Điểm hòa vốn'!K44+'Điểm hòa vốn'!K54</f>
        <v>68.939354909090909</v>
      </c>
      <c r="H58" s="62">
        <f t="shared" si="16"/>
        <v>68.939354909090909</v>
      </c>
      <c r="I58" s="62">
        <f t="shared" si="16"/>
        <v>68.939354909090909</v>
      </c>
      <c r="J58" s="62">
        <f t="shared" si="16"/>
        <v>68.939354909090909</v>
      </c>
      <c r="K58" s="62">
        <f t="shared" si="16"/>
        <v>68.939354909090909</v>
      </c>
      <c r="L58" s="62">
        <f t="shared" si="16"/>
        <v>68.939354909090909</v>
      </c>
      <c r="M58" s="62">
        <f t="shared" si="16"/>
        <v>68.939354909090909</v>
      </c>
      <c r="N58" s="62">
        <f t="shared" si="16"/>
        <v>68.939354909090909</v>
      </c>
      <c r="O58" s="62">
        <f t="shared" si="16"/>
        <v>68.939354909090909</v>
      </c>
      <c r="P58" s="62">
        <f t="shared" si="16"/>
        <v>68.939354909090909</v>
      </c>
      <c r="Q58" s="62">
        <f t="shared" si="16"/>
        <v>68.939354909090909</v>
      </c>
      <c r="R58" s="62">
        <f t="shared" si="16"/>
        <v>68.939354909090909</v>
      </c>
      <c r="S58" s="62"/>
      <c r="T58" s="62"/>
      <c r="U58" s="57"/>
      <c r="V58" s="96"/>
      <c r="W58" s="97"/>
      <c r="Y58" s="57"/>
    </row>
    <row r="59" spans="2:25" x14ac:dyDescent="0.35">
      <c r="E59" s="2" t="s">
        <v>421</v>
      </c>
      <c r="F59" s="57">
        <f t="shared" si="10"/>
        <v>1830.9826086956518</v>
      </c>
      <c r="G59" s="62">
        <f>G49*10%</f>
        <v>152.58188405797102</v>
      </c>
      <c r="H59" s="62">
        <f t="shared" si="16"/>
        <v>152.58188405797102</v>
      </c>
      <c r="I59" s="62">
        <f t="shared" si="16"/>
        <v>152.58188405797102</v>
      </c>
      <c r="J59" s="62">
        <f t="shared" si="16"/>
        <v>152.58188405797102</v>
      </c>
      <c r="K59" s="62">
        <f t="shared" si="16"/>
        <v>152.58188405797102</v>
      </c>
      <c r="L59" s="62">
        <f t="shared" si="16"/>
        <v>152.58188405797102</v>
      </c>
      <c r="M59" s="62">
        <f t="shared" si="16"/>
        <v>152.58188405797102</v>
      </c>
      <c r="N59" s="62">
        <f t="shared" si="16"/>
        <v>152.58188405797102</v>
      </c>
      <c r="O59" s="62">
        <f t="shared" si="16"/>
        <v>152.58188405797102</v>
      </c>
      <c r="P59" s="62">
        <f t="shared" si="16"/>
        <v>152.58188405797102</v>
      </c>
      <c r="Q59" s="62">
        <f t="shared" si="16"/>
        <v>152.58188405797102</v>
      </c>
      <c r="R59" s="62">
        <f t="shared" si="16"/>
        <v>152.58188405797102</v>
      </c>
      <c r="S59" s="62"/>
      <c r="T59" s="62"/>
      <c r="U59" s="57"/>
      <c r="V59" s="96"/>
      <c r="W59" s="97"/>
      <c r="Y59" s="57"/>
    </row>
    <row r="60" spans="2:25" x14ac:dyDescent="0.35">
      <c r="E60" s="2" t="s">
        <v>691</v>
      </c>
      <c r="F60" s="57">
        <f t="shared" si="10"/>
        <v>857.98181159420278</v>
      </c>
      <c r="G60" s="62">
        <f>G49*5%</f>
        <v>76.290942028985512</v>
      </c>
      <c r="H60" s="62">
        <f t="shared" ref="H60:R60" si="17">H49*5%</f>
        <v>18.78144927536232</v>
      </c>
      <c r="I60" s="62">
        <f t="shared" si="17"/>
        <v>76.290942028985512</v>
      </c>
      <c r="J60" s="62">
        <f t="shared" si="17"/>
        <v>76.290942028985512</v>
      </c>
      <c r="K60" s="62">
        <f t="shared" si="17"/>
        <v>76.290942028985512</v>
      </c>
      <c r="L60" s="62">
        <f t="shared" si="17"/>
        <v>76.290942028985512</v>
      </c>
      <c r="M60" s="62">
        <f t="shared" si="17"/>
        <v>76.290942028985512</v>
      </c>
      <c r="N60" s="62">
        <f t="shared" si="17"/>
        <v>76.290942028985512</v>
      </c>
      <c r="O60" s="62">
        <f t="shared" si="17"/>
        <v>76.290942028985512</v>
      </c>
      <c r="P60" s="62">
        <f t="shared" si="17"/>
        <v>76.290942028985512</v>
      </c>
      <c r="Q60" s="62">
        <f t="shared" si="17"/>
        <v>76.290942028985512</v>
      </c>
      <c r="R60" s="62">
        <f t="shared" si="17"/>
        <v>76.290942028985512</v>
      </c>
      <c r="S60" s="62"/>
      <c r="T60" s="62"/>
      <c r="U60" s="57"/>
      <c r="V60" s="96"/>
      <c r="W60" s="97"/>
      <c r="Y60" s="57"/>
    </row>
    <row r="61" spans="2:25" ht="13.15" thickBot="1" x14ac:dyDescent="0.4">
      <c r="C61" s="223" t="s">
        <v>308</v>
      </c>
      <c r="D61" s="100"/>
      <c r="E61" s="100"/>
      <c r="F61" s="243">
        <f t="shared" ref="F61" si="18">SUM(F51:F59)</f>
        <v>12635.895379833204</v>
      </c>
      <c r="G61" s="243">
        <f>SUM(G51:G60)</f>
        <v>1159.1255739387877</v>
      </c>
      <c r="H61" s="243">
        <f t="shared" ref="H61:R61" si="19">SUM(H51:H60)</f>
        <v>743.49587810074263</v>
      </c>
      <c r="I61" s="243">
        <f t="shared" si="19"/>
        <v>1159.1255739387877</v>
      </c>
      <c r="J61" s="243">
        <f t="shared" si="19"/>
        <v>1159.1255739387877</v>
      </c>
      <c r="K61" s="243">
        <f t="shared" si="19"/>
        <v>1159.1255739387877</v>
      </c>
      <c r="L61" s="243">
        <f t="shared" si="19"/>
        <v>1159.1255739387877</v>
      </c>
      <c r="M61" s="243">
        <f t="shared" si="19"/>
        <v>1159.1255739387877</v>
      </c>
      <c r="N61" s="243">
        <f t="shared" si="19"/>
        <v>1159.1255739387877</v>
      </c>
      <c r="O61" s="243">
        <f t="shared" si="19"/>
        <v>1159.1255739387877</v>
      </c>
      <c r="P61" s="243">
        <f t="shared" si="19"/>
        <v>1159.1255739387877</v>
      </c>
      <c r="Q61" s="243">
        <f t="shared" si="19"/>
        <v>1159.1255739387877</v>
      </c>
      <c r="R61" s="243">
        <f t="shared" si="19"/>
        <v>1159.1255739387877</v>
      </c>
      <c r="S61" s="62"/>
      <c r="T61" s="62"/>
      <c r="U61" s="57"/>
      <c r="V61" s="96"/>
      <c r="W61" s="97"/>
      <c r="Y61" s="57"/>
    </row>
    <row r="62" spans="2:25" x14ac:dyDescent="0.35">
      <c r="B62" s="89" t="s">
        <v>190</v>
      </c>
      <c r="C62" s="90"/>
      <c r="D62" s="90"/>
      <c r="E62" s="91"/>
      <c r="F62" s="92">
        <f t="shared" ref="F62:R62" si="20">F49-F61</f>
        <v>4523.7408520508507</v>
      </c>
      <c r="G62" s="92">
        <f t="shared" si="20"/>
        <v>366.6932666409225</v>
      </c>
      <c r="H62" s="92">
        <f t="shared" si="20"/>
        <v>-367.86689259349623</v>
      </c>
      <c r="I62" s="92">
        <f t="shared" si="20"/>
        <v>366.6932666409225</v>
      </c>
      <c r="J62" s="92">
        <f t="shared" si="20"/>
        <v>366.6932666409225</v>
      </c>
      <c r="K62" s="92">
        <f t="shared" si="20"/>
        <v>366.6932666409225</v>
      </c>
      <c r="L62" s="92">
        <f t="shared" si="20"/>
        <v>366.6932666409225</v>
      </c>
      <c r="M62" s="92">
        <f t="shared" si="20"/>
        <v>366.6932666409225</v>
      </c>
      <c r="N62" s="92">
        <f t="shared" si="20"/>
        <v>366.6932666409225</v>
      </c>
      <c r="O62" s="92">
        <f t="shared" si="20"/>
        <v>366.6932666409225</v>
      </c>
      <c r="P62" s="92">
        <f t="shared" si="20"/>
        <v>366.6932666409225</v>
      </c>
      <c r="Q62" s="92">
        <f t="shared" si="20"/>
        <v>366.6932666409225</v>
      </c>
      <c r="R62" s="92">
        <f t="shared" si="20"/>
        <v>366.6932666409225</v>
      </c>
      <c r="S62" s="92"/>
      <c r="T62" s="92"/>
      <c r="U62" s="92"/>
      <c r="V62" s="104"/>
      <c r="W62" s="92"/>
      <c r="X62" s="92"/>
      <c r="Y62" s="92"/>
    </row>
    <row r="63" spans="2:25" x14ac:dyDescent="0.35">
      <c r="E63" s="2" t="s">
        <v>45</v>
      </c>
      <c r="F63" s="62">
        <f>SUM(G63:R63)</f>
        <v>-1069.173</v>
      </c>
      <c r="G63" s="84">
        <f>-'Điểm hòa vốn'!K46</f>
        <v>-89.097750000000005</v>
      </c>
      <c r="H63" s="84">
        <f>$G$63</f>
        <v>-89.097750000000005</v>
      </c>
      <c r="I63" s="84">
        <f t="shared" ref="I63:R63" si="21">$G$63</f>
        <v>-89.097750000000005</v>
      </c>
      <c r="J63" s="84">
        <f t="shared" si="21"/>
        <v>-89.097750000000005</v>
      </c>
      <c r="K63" s="84">
        <f t="shared" si="21"/>
        <v>-89.097750000000005</v>
      </c>
      <c r="L63" s="84">
        <f t="shared" si="21"/>
        <v>-89.097750000000005</v>
      </c>
      <c r="M63" s="84">
        <f t="shared" si="21"/>
        <v>-89.097750000000005</v>
      </c>
      <c r="N63" s="84">
        <f t="shared" si="21"/>
        <v>-89.097750000000005</v>
      </c>
      <c r="O63" s="84">
        <f t="shared" si="21"/>
        <v>-89.097750000000005</v>
      </c>
      <c r="P63" s="84">
        <f t="shared" si="21"/>
        <v>-89.097750000000005</v>
      </c>
      <c r="Q63" s="84">
        <f t="shared" si="21"/>
        <v>-89.097750000000005</v>
      </c>
      <c r="R63" s="84">
        <f t="shared" si="21"/>
        <v>-89.097750000000005</v>
      </c>
    </row>
    <row r="64" spans="2:25" x14ac:dyDescent="0.35">
      <c r="E64" s="2" t="s">
        <v>41</v>
      </c>
      <c r="F64" s="62">
        <f>SUM(G64:R64)</f>
        <v>-3322.2378959999992</v>
      </c>
      <c r="G64" s="62">
        <f>-'Điểm hòa vốn'!K47</f>
        <v>-276.85315800000001</v>
      </c>
      <c r="H64" s="62">
        <f>$G64</f>
        <v>-276.85315800000001</v>
      </c>
      <c r="I64" s="62">
        <f t="shared" ref="I64:R64" si="22">$G64</f>
        <v>-276.85315800000001</v>
      </c>
      <c r="J64" s="62">
        <f t="shared" si="22"/>
        <v>-276.85315800000001</v>
      </c>
      <c r="K64" s="62">
        <f t="shared" si="22"/>
        <v>-276.85315800000001</v>
      </c>
      <c r="L64" s="62">
        <f t="shared" si="22"/>
        <v>-276.85315800000001</v>
      </c>
      <c r="M64" s="62">
        <f t="shared" si="22"/>
        <v>-276.85315800000001</v>
      </c>
      <c r="N64" s="62">
        <f t="shared" si="22"/>
        <v>-276.85315800000001</v>
      </c>
      <c r="O64" s="62">
        <f t="shared" si="22"/>
        <v>-276.85315800000001</v>
      </c>
      <c r="P64" s="62">
        <f t="shared" si="22"/>
        <v>-276.85315800000001</v>
      </c>
      <c r="Q64" s="62">
        <f t="shared" si="22"/>
        <v>-276.85315800000001</v>
      </c>
      <c r="R64" s="62">
        <f t="shared" si="22"/>
        <v>-276.85315800000001</v>
      </c>
    </row>
    <row r="65" spans="2:18" x14ac:dyDescent="0.35">
      <c r="B65" s="6" t="s">
        <v>422</v>
      </c>
      <c r="F65" s="218">
        <f t="shared" ref="F65:R65" si="23">SUM(F62:F64)</f>
        <v>132.32995605085171</v>
      </c>
      <c r="G65" s="218">
        <f t="shared" si="23"/>
        <v>0.74235864092247539</v>
      </c>
      <c r="H65" s="218">
        <f t="shared" si="23"/>
        <v>-733.81780059349626</v>
      </c>
      <c r="I65" s="218">
        <f t="shared" si="23"/>
        <v>0.74235864092247539</v>
      </c>
      <c r="J65" s="218">
        <f t="shared" si="23"/>
        <v>0.74235864092247539</v>
      </c>
      <c r="K65" s="218">
        <f t="shared" si="23"/>
        <v>0.74235864092247539</v>
      </c>
      <c r="L65" s="218">
        <f t="shared" si="23"/>
        <v>0.74235864092247539</v>
      </c>
      <c r="M65" s="218">
        <f t="shared" si="23"/>
        <v>0.74235864092247539</v>
      </c>
      <c r="N65" s="218">
        <f t="shared" si="23"/>
        <v>0.74235864092247539</v>
      </c>
      <c r="O65" s="218">
        <f t="shared" si="23"/>
        <v>0.74235864092247539</v>
      </c>
      <c r="P65" s="218">
        <f t="shared" si="23"/>
        <v>0.74235864092247539</v>
      </c>
      <c r="Q65" s="218">
        <f t="shared" si="23"/>
        <v>0.74235864092247539</v>
      </c>
      <c r="R65" s="218">
        <f t="shared" si="23"/>
        <v>0.74235864092247539</v>
      </c>
    </row>
    <row r="66" spans="2:18" x14ac:dyDescent="0.35">
      <c r="B66" s="6"/>
      <c r="F66" s="62"/>
    </row>
    <row r="67" spans="2:18" x14ac:dyDescent="0.35">
      <c r="E67" s="2" t="s">
        <v>354</v>
      </c>
      <c r="F67" s="62">
        <f>'VTB_YẾT KIÊU'!C27</f>
        <v>-3066</v>
      </c>
    </row>
    <row r="68" spans="2:18" x14ac:dyDescent="0.35">
      <c r="F68" s="57"/>
    </row>
    <row r="69" spans="2:18" x14ac:dyDescent="0.35">
      <c r="B69" s="6" t="s">
        <v>440</v>
      </c>
    </row>
    <row r="70" spans="2:18" x14ac:dyDescent="0.35">
      <c r="E70" s="2" t="s">
        <v>6</v>
      </c>
      <c r="F70" s="60">
        <f>SUM(G70:R70)</f>
        <v>9720</v>
      </c>
      <c r="G70" s="2">
        <f>30*9*60/20</f>
        <v>810</v>
      </c>
      <c r="H70" s="2">
        <f>$G70</f>
        <v>810</v>
      </c>
      <c r="I70" s="2">
        <f t="shared" ref="I70:R70" si="24">$G70</f>
        <v>810</v>
      </c>
      <c r="J70" s="2">
        <f t="shared" si="24"/>
        <v>810</v>
      </c>
      <c r="K70" s="2">
        <f t="shared" si="24"/>
        <v>810</v>
      </c>
      <c r="L70" s="2">
        <f t="shared" si="24"/>
        <v>810</v>
      </c>
      <c r="M70" s="2">
        <f t="shared" si="24"/>
        <v>810</v>
      </c>
      <c r="N70" s="2">
        <f t="shared" si="24"/>
        <v>810</v>
      </c>
      <c r="O70" s="2">
        <f t="shared" si="24"/>
        <v>810</v>
      </c>
      <c r="P70" s="2">
        <f t="shared" si="24"/>
        <v>810</v>
      </c>
      <c r="Q70" s="2">
        <f t="shared" si="24"/>
        <v>810</v>
      </c>
      <c r="R70" s="2">
        <f t="shared" si="24"/>
        <v>810</v>
      </c>
    </row>
    <row r="71" spans="2:18" x14ac:dyDescent="0.35">
      <c r="E71" s="2" t="s">
        <v>8</v>
      </c>
      <c r="F71" s="60">
        <f>SUM(G71:R71)</f>
        <v>12960</v>
      </c>
      <c r="G71" s="2">
        <f>30*9*60/15</f>
        <v>1080</v>
      </c>
      <c r="H71" s="2">
        <f t="shared" ref="H71:R74" si="25">$G71</f>
        <v>1080</v>
      </c>
      <c r="I71" s="2">
        <f t="shared" si="25"/>
        <v>1080</v>
      </c>
      <c r="J71" s="2">
        <f t="shared" si="25"/>
        <v>1080</v>
      </c>
      <c r="K71" s="2">
        <f t="shared" si="25"/>
        <v>1080</v>
      </c>
      <c r="L71" s="2">
        <f t="shared" si="25"/>
        <v>1080</v>
      </c>
      <c r="M71" s="2">
        <f t="shared" si="25"/>
        <v>1080</v>
      </c>
      <c r="N71" s="2">
        <f t="shared" si="25"/>
        <v>1080</v>
      </c>
      <c r="O71" s="2">
        <f t="shared" si="25"/>
        <v>1080</v>
      </c>
      <c r="P71" s="2">
        <f t="shared" si="25"/>
        <v>1080</v>
      </c>
      <c r="Q71" s="2">
        <f t="shared" si="25"/>
        <v>1080</v>
      </c>
      <c r="R71" s="2">
        <f t="shared" si="25"/>
        <v>1080</v>
      </c>
    </row>
    <row r="72" spans="2:18" x14ac:dyDescent="0.35">
      <c r="E72" s="2" t="s">
        <v>7</v>
      </c>
      <c r="F72" s="60">
        <f>SUM(G72:R72)</f>
        <v>19440</v>
      </c>
      <c r="G72" s="2">
        <f>30*9*60/10</f>
        <v>1620</v>
      </c>
      <c r="H72" s="2">
        <f t="shared" si="25"/>
        <v>1620</v>
      </c>
      <c r="I72" s="2">
        <f t="shared" si="25"/>
        <v>1620</v>
      </c>
      <c r="J72" s="2">
        <f t="shared" si="25"/>
        <v>1620</v>
      </c>
      <c r="K72" s="2">
        <f t="shared" si="25"/>
        <v>1620</v>
      </c>
      <c r="L72" s="2">
        <f t="shared" si="25"/>
        <v>1620</v>
      </c>
      <c r="M72" s="2">
        <f t="shared" si="25"/>
        <v>1620</v>
      </c>
      <c r="N72" s="2">
        <f t="shared" si="25"/>
        <v>1620</v>
      </c>
      <c r="O72" s="2">
        <f t="shared" si="25"/>
        <v>1620</v>
      </c>
      <c r="P72" s="2">
        <f t="shared" si="25"/>
        <v>1620</v>
      </c>
      <c r="Q72" s="2">
        <f t="shared" si="25"/>
        <v>1620</v>
      </c>
      <c r="R72" s="2">
        <f t="shared" si="25"/>
        <v>1620</v>
      </c>
    </row>
    <row r="73" spans="2:18" x14ac:dyDescent="0.35">
      <c r="E73" s="2" t="s">
        <v>9</v>
      </c>
      <c r="F73" s="60">
        <f>SUM(G73:R73)</f>
        <v>24300</v>
      </c>
      <c r="G73" s="2">
        <f>30*9*60/8</f>
        <v>2025</v>
      </c>
      <c r="H73" s="2">
        <f t="shared" si="25"/>
        <v>2025</v>
      </c>
      <c r="I73" s="2">
        <f t="shared" si="25"/>
        <v>2025</v>
      </c>
      <c r="J73" s="2">
        <f t="shared" si="25"/>
        <v>2025</v>
      </c>
      <c r="K73" s="2">
        <f t="shared" si="25"/>
        <v>2025</v>
      </c>
      <c r="L73" s="2">
        <f t="shared" si="25"/>
        <v>2025</v>
      </c>
      <c r="M73" s="2">
        <f t="shared" si="25"/>
        <v>2025</v>
      </c>
      <c r="N73" s="2">
        <f t="shared" si="25"/>
        <v>2025</v>
      </c>
      <c r="O73" s="2">
        <f t="shared" si="25"/>
        <v>2025</v>
      </c>
      <c r="P73" s="2">
        <f t="shared" si="25"/>
        <v>2025</v>
      </c>
      <c r="Q73" s="2">
        <f t="shared" si="25"/>
        <v>2025</v>
      </c>
      <c r="R73" s="2">
        <f t="shared" si="25"/>
        <v>2025</v>
      </c>
    </row>
    <row r="74" spans="2:18" x14ac:dyDescent="0.35">
      <c r="E74" s="2" t="s">
        <v>10</v>
      </c>
      <c r="F74" s="60">
        <f>SUM(G74:R74)</f>
        <v>19440</v>
      </c>
      <c r="G74" s="2">
        <f>30*9*60/10</f>
        <v>1620</v>
      </c>
      <c r="H74" s="2">
        <f t="shared" si="25"/>
        <v>1620</v>
      </c>
      <c r="I74" s="2">
        <f t="shared" si="25"/>
        <v>1620</v>
      </c>
      <c r="J74" s="2">
        <f t="shared" si="25"/>
        <v>1620</v>
      </c>
      <c r="K74" s="2">
        <f t="shared" si="25"/>
        <v>1620</v>
      </c>
      <c r="L74" s="2">
        <f t="shared" si="25"/>
        <v>1620</v>
      </c>
      <c r="M74" s="2">
        <f t="shared" si="25"/>
        <v>1620</v>
      </c>
      <c r="N74" s="2">
        <f t="shared" si="25"/>
        <v>1620</v>
      </c>
      <c r="O74" s="2">
        <f t="shared" si="25"/>
        <v>1620</v>
      </c>
      <c r="P74" s="2">
        <f t="shared" si="25"/>
        <v>1620</v>
      </c>
      <c r="Q74" s="2">
        <f t="shared" si="25"/>
        <v>1620</v>
      </c>
      <c r="R74" s="2">
        <f t="shared" si="25"/>
        <v>1620</v>
      </c>
    </row>
    <row r="75" spans="2:18" x14ac:dyDescent="0.35">
      <c r="B75" s="6" t="s">
        <v>439</v>
      </c>
    </row>
    <row r="76" spans="2:18" x14ac:dyDescent="0.35">
      <c r="E76" s="2" t="s">
        <v>6</v>
      </c>
      <c r="F76" s="201">
        <f>F18/F70</f>
        <v>0.74547325102880657</v>
      </c>
      <c r="G76" s="201">
        <f t="shared" ref="G76:R76" si="26">G18/G70</f>
        <v>0.79506172839506173</v>
      </c>
      <c r="H76" s="201">
        <f t="shared" si="26"/>
        <v>0.2</v>
      </c>
      <c r="I76" s="201">
        <f t="shared" si="26"/>
        <v>0.79506172839506173</v>
      </c>
      <c r="J76" s="201">
        <f t="shared" si="26"/>
        <v>0.79506172839506173</v>
      </c>
      <c r="K76" s="201">
        <f t="shared" si="26"/>
        <v>0.79506172839506173</v>
      </c>
      <c r="L76" s="201">
        <f t="shared" si="26"/>
        <v>0.79506172839506173</v>
      </c>
      <c r="M76" s="201">
        <f t="shared" si="26"/>
        <v>0.79506172839506173</v>
      </c>
      <c r="N76" s="201">
        <f t="shared" si="26"/>
        <v>0.79506172839506173</v>
      </c>
      <c r="O76" s="201">
        <f t="shared" si="26"/>
        <v>0.79506172839506173</v>
      </c>
      <c r="P76" s="201">
        <f t="shared" si="26"/>
        <v>0.79506172839506173</v>
      </c>
      <c r="Q76" s="201">
        <f t="shared" si="26"/>
        <v>0.79506172839506173</v>
      </c>
      <c r="R76" s="201">
        <f t="shared" si="26"/>
        <v>0.79506172839506173</v>
      </c>
    </row>
    <row r="77" spans="2:18" x14ac:dyDescent="0.35">
      <c r="E77" s="2" t="s">
        <v>8</v>
      </c>
      <c r="F77" s="201">
        <f>F19/F71</f>
        <v>5.6172839506172842E-2</v>
      </c>
      <c r="G77" s="201">
        <f t="shared" ref="G77:R77" si="27">G19/G71</f>
        <v>6.0185185185185182E-2</v>
      </c>
      <c r="H77" s="201">
        <f t="shared" si="27"/>
        <v>1.2037037037037037E-2</v>
      </c>
      <c r="I77" s="201">
        <f t="shared" si="27"/>
        <v>6.0185185185185182E-2</v>
      </c>
      <c r="J77" s="201">
        <f t="shared" si="27"/>
        <v>6.0185185185185182E-2</v>
      </c>
      <c r="K77" s="201">
        <f t="shared" si="27"/>
        <v>6.0185185185185182E-2</v>
      </c>
      <c r="L77" s="201">
        <f t="shared" si="27"/>
        <v>6.0185185185185182E-2</v>
      </c>
      <c r="M77" s="201">
        <f t="shared" si="27"/>
        <v>6.0185185185185182E-2</v>
      </c>
      <c r="N77" s="201">
        <f t="shared" si="27"/>
        <v>6.0185185185185182E-2</v>
      </c>
      <c r="O77" s="201">
        <f t="shared" si="27"/>
        <v>6.0185185185185182E-2</v>
      </c>
      <c r="P77" s="201">
        <f t="shared" si="27"/>
        <v>6.0185185185185182E-2</v>
      </c>
      <c r="Q77" s="201">
        <f t="shared" si="27"/>
        <v>6.0185185185185182E-2</v>
      </c>
      <c r="R77" s="201">
        <f t="shared" si="27"/>
        <v>6.0185185185185182E-2</v>
      </c>
    </row>
    <row r="78" spans="2:18" x14ac:dyDescent="0.35">
      <c r="E78" s="2" t="s">
        <v>7</v>
      </c>
      <c r="F78" s="201">
        <f>F20/F72</f>
        <v>2.6131687242798355E-2</v>
      </c>
      <c r="G78" s="201">
        <f t="shared" ref="G78:R78" si="28">G20/G72</f>
        <v>2.8395061728395062E-2</v>
      </c>
      <c r="H78" s="201">
        <f t="shared" si="28"/>
        <v>1.2345679012345679E-3</v>
      </c>
      <c r="I78" s="201">
        <f t="shared" si="28"/>
        <v>2.8395061728395062E-2</v>
      </c>
      <c r="J78" s="201">
        <f t="shared" si="28"/>
        <v>2.8395061728395062E-2</v>
      </c>
      <c r="K78" s="201">
        <f t="shared" si="28"/>
        <v>2.8395061728395062E-2</v>
      </c>
      <c r="L78" s="201">
        <f t="shared" si="28"/>
        <v>2.8395061728395062E-2</v>
      </c>
      <c r="M78" s="201">
        <f t="shared" si="28"/>
        <v>2.8395061728395062E-2</v>
      </c>
      <c r="N78" s="201">
        <f t="shared" si="28"/>
        <v>2.8395061728395062E-2</v>
      </c>
      <c r="O78" s="201">
        <f t="shared" si="28"/>
        <v>2.8395061728395062E-2</v>
      </c>
      <c r="P78" s="201">
        <f t="shared" si="28"/>
        <v>2.8395061728395062E-2</v>
      </c>
      <c r="Q78" s="201">
        <f t="shared" si="28"/>
        <v>2.8395061728395062E-2</v>
      </c>
      <c r="R78" s="201">
        <f t="shared" si="28"/>
        <v>2.8395061728395062E-2</v>
      </c>
    </row>
    <row r="79" spans="2:18" x14ac:dyDescent="0.35">
      <c r="E79" s="2" t="s">
        <v>9</v>
      </c>
      <c r="F79" s="201">
        <f>F21/F73</f>
        <v>2.2222222222222222E-3</v>
      </c>
      <c r="G79" s="201">
        <f t="shared" ref="G79:R79" si="29">G21/G73</f>
        <v>0</v>
      </c>
      <c r="H79" s="201">
        <f t="shared" si="29"/>
        <v>2.6666666666666668E-2</v>
      </c>
      <c r="I79" s="201">
        <f t="shared" si="29"/>
        <v>0</v>
      </c>
      <c r="J79" s="201">
        <f t="shared" si="29"/>
        <v>0</v>
      </c>
      <c r="K79" s="201">
        <f t="shared" si="29"/>
        <v>0</v>
      </c>
      <c r="L79" s="201">
        <f t="shared" si="29"/>
        <v>0</v>
      </c>
      <c r="M79" s="201">
        <f t="shared" si="29"/>
        <v>0</v>
      </c>
      <c r="N79" s="201">
        <f t="shared" si="29"/>
        <v>0</v>
      </c>
      <c r="O79" s="201">
        <f t="shared" si="29"/>
        <v>0</v>
      </c>
      <c r="P79" s="201">
        <f t="shared" si="29"/>
        <v>0</v>
      </c>
      <c r="Q79" s="201">
        <f t="shared" si="29"/>
        <v>0</v>
      </c>
      <c r="R79" s="201">
        <f t="shared" si="29"/>
        <v>0</v>
      </c>
    </row>
    <row r="80" spans="2:18" x14ac:dyDescent="0.35">
      <c r="E80" s="2" t="s">
        <v>10</v>
      </c>
      <c r="F80" s="201">
        <f>F22/F74</f>
        <v>9.7736625514403298E-3</v>
      </c>
      <c r="G80" s="201">
        <f t="shared" ref="G80:R80" si="30">G22/G74</f>
        <v>9.876543209876543E-3</v>
      </c>
      <c r="H80" s="201">
        <f t="shared" si="30"/>
        <v>8.6419753086419745E-3</v>
      </c>
      <c r="I80" s="201">
        <f t="shared" si="30"/>
        <v>9.876543209876543E-3</v>
      </c>
      <c r="J80" s="201">
        <f t="shared" si="30"/>
        <v>9.876543209876543E-3</v>
      </c>
      <c r="K80" s="201">
        <f t="shared" si="30"/>
        <v>9.876543209876543E-3</v>
      </c>
      <c r="L80" s="201">
        <f t="shared" si="30"/>
        <v>9.876543209876543E-3</v>
      </c>
      <c r="M80" s="201">
        <f t="shared" si="30"/>
        <v>9.876543209876543E-3</v>
      </c>
      <c r="N80" s="201">
        <f t="shared" si="30"/>
        <v>9.876543209876543E-3</v>
      </c>
      <c r="O80" s="201">
        <f t="shared" si="30"/>
        <v>9.876543209876543E-3</v>
      </c>
      <c r="P80" s="201">
        <f t="shared" si="30"/>
        <v>9.876543209876543E-3</v>
      </c>
      <c r="Q80" s="201">
        <f t="shared" si="30"/>
        <v>9.876543209876543E-3</v>
      </c>
      <c r="R80" s="201">
        <f t="shared" si="30"/>
        <v>9.876543209876543E-3</v>
      </c>
    </row>
    <row r="81" spans="2:18" x14ac:dyDescent="0.35">
      <c r="B81" s="6" t="s">
        <v>443</v>
      </c>
    </row>
    <row r="82" spans="2:18" x14ac:dyDescent="0.35">
      <c r="E82" s="2" t="s">
        <v>6</v>
      </c>
      <c r="F82" s="60">
        <f>SUM(G82:R82)</f>
        <v>2823</v>
      </c>
      <c r="G82" s="84">
        <v>78</v>
      </c>
      <c r="H82" s="84">
        <v>141</v>
      </c>
      <c r="I82" s="84">
        <v>185</v>
      </c>
      <c r="J82" s="2">
        <v>151</v>
      </c>
      <c r="K82" s="2">
        <v>224</v>
      </c>
      <c r="L82" s="2">
        <v>287</v>
      </c>
      <c r="M82" s="2">
        <v>310</v>
      </c>
      <c r="N82" s="2">
        <v>286</v>
      </c>
      <c r="O82" s="2">
        <v>295</v>
      </c>
      <c r="P82" s="2">
        <v>299</v>
      </c>
      <c r="Q82" s="2">
        <v>255</v>
      </c>
      <c r="R82" s="2">
        <v>312</v>
      </c>
    </row>
    <row r="83" spans="2:18" x14ac:dyDescent="0.35">
      <c r="E83" s="2" t="s">
        <v>8</v>
      </c>
      <c r="F83" s="60">
        <f>SUM(G83:R83)</f>
        <v>282</v>
      </c>
      <c r="G83" s="84">
        <v>11</v>
      </c>
      <c r="H83" s="84">
        <v>20</v>
      </c>
      <c r="I83" s="2">
        <v>19</v>
      </c>
      <c r="J83" s="2">
        <v>16</v>
      </c>
      <c r="K83" s="2">
        <v>23</v>
      </c>
      <c r="L83" s="2">
        <v>28</v>
      </c>
      <c r="M83" s="2">
        <v>24</v>
      </c>
      <c r="N83" s="2">
        <v>19</v>
      </c>
      <c r="O83" s="2">
        <v>29</v>
      </c>
      <c r="P83" s="2">
        <v>30</v>
      </c>
      <c r="Q83" s="2">
        <v>32</v>
      </c>
      <c r="R83" s="2">
        <v>31</v>
      </c>
    </row>
    <row r="84" spans="2:18" x14ac:dyDescent="0.35">
      <c r="E84" s="2" t="s">
        <v>7</v>
      </c>
      <c r="F84" s="60">
        <f>SUM(G84:R84)</f>
        <v>184</v>
      </c>
      <c r="G84" s="84">
        <v>1</v>
      </c>
      <c r="H84" s="84">
        <v>4</v>
      </c>
      <c r="I84" s="2">
        <v>7</v>
      </c>
      <c r="J84" s="2">
        <v>1</v>
      </c>
      <c r="K84" s="2">
        <v>90</v>
      </c>
      <c r="L84" s="2">
        <v>11</v>
      </c>
      <c r="M84" s="2">
        <v>19</v>
      </c>
      <c r="N84" s="2">
        <v>6</v>
      </c>
      <c r="O84" s="2">
        <v>28</v>
      </c>
      <c r="P84" s="2">
        <v>4</v>
      </c>
      <c r="Q84" s="2">
        <v>8</v>
      </c>
      <c r="R84" s="2">
        <v>5</v>
      </c>
    </row>
    <row r="85" spans="2:18" x14ac:dyDescent="0.35">
      <c r="E85" s="2" t="s">
        <v>9</v>
      </c>
      <c r="F85" s="60">
        <f>SUM(G85:R85)</f>
        <v>423</v>
      </c>
      <c r="G85" s="84">
        <v>13</v>
      </c>
      <c r="H85" s="84">
        <v>26</v>
      </c>
      <c r="I85" s="84">
        <v>36</v>
      </c>
      <c r="J85" s="2">
        <v>34</v>
      </c>
      <c r="K85" s="2">
        <v>40</v>
      </c>
      <c r="L85" s="2">
        <v>56</v>
      </c>
      <c r="M85" s="2">
        <v>47</v>
      </c>
      <c r="N85" s="2">
        <v>33</v>
      </c>
      <c r="O85" s="2">
        <v>36</v>
      </c>
      <c r="P85" s="2">
        <v>60</v>
      </c>
      <c r="Q85" s="2">
        <v>24</v>
      </c>
      <c r="R85" s="2">
        <v>18</v>
      </c>
    </row>
    <row r="86" spans="2:18" x14ac:dyDescent="0.35">
      <c r="E86" s="2" t="s">
        <v>10</v>
      </c>
      <c r="F86" s="60">
        <f>SUM(G86:R86)</f>
        <v>87</v>
      </c>
      <c r="G86" s="84">
        <v>3</v>
      </c>
      <c r="H86" s="84"/>
      <c r="I86" s="84">
        <v>3</v>
      </c>
      <c r="J86" s="2">
        <v>1</v>
      </c>
      <c r="K86" s="84">
        <v>2</v>
      </c>
      <c r="L86" s="84">
        <v>1</v>
      </c>
      <c r="M86" s="84">
        <v>3</v>
      </c>
      <c r="N86" s="84"/>
      <c r="O86" s="84">
        <v>3</v>
      </c>
      <c r="P86" s="84">
        <v>20</v>
      </c>
      <c r="Q86" s="84">
        <v>33</v>
      </c>
      <c r="R86" s="2">
        <v>18</v>
      </c>
    </row>
    <row r="87" spans="2:18" x14ac:dyDescent="0.35">
      <c r="B87" s="6" t="s">
        <v>441</v>
      </c>
    </row>
    <row r="88" spans="2:18" x14ac:dyDescent="0.35">
      <c r="E88" s="2" t="s">
        <v>6</v>
      </c>
      <c r="F88" s="201">
        <f>F82/F70</f>
        <v>0.29043209876543208</v>
      </c>
      <c r="G88" s="201">
        <f t="shared" ref="G88:R88" si="31">G82/G70</f>
        <v>9.6296296296296297E-2</v>
      </c>
      <c r="H88" s="201">
        <f t="shared" si="31"/>
        <v>0.17407407407407408</v>
      </c>
      <c r="I88" s="201">
        <f t="shared" si="31"/>
        <v>0.22839506172839505</v>
      </c>
      <c r="J88" s="201">
        <f t="shared" si="31"/>
        <v>0.18641975308641975</v>
      </c>
      <c r="K88" s="201">
        <f t="shared" si="31"/>
        <v>0.27654320987654318</v>
      </c>
      <c r="L88" s="201">
        <f t="shared" si="31"/>
        <v>0.35432098765432096</v>
      </c>
      <c r="M88" s="201">
        <f t="shared" si="31"/>
        <v>0.38271604938271603</v>
      </c>
      <c r="N88" s="201">
        <f t="shared" si="31"/>
        <v>0.35308641975308641</v>
      </c>
      <c r="O88" s="201">
        <f t="shared" si="31"/>
        <v>0.36419753086419754</v>
      </c>
      <c r="P88" s="201">
        <f t="shared" si="31"/>
        <v>0.3691358024691358</v>
      </c>
      <c r="Q88" s="201">
        <f t="shared" si="31"/>
        <v>0.31481481481481483</v>
      </c>
      <c r="R88" s="201">
        <f t="shared" si="31"/>
        <v>0.38518518518518519</v>
      </c>
    </row>
    <row r="89" spans="2:18" x14ac:dyDescent="0.35">
      <c r="E89" s="2" t="s">
        <v>8</v>
      </c>
      <c r="F89" s="201">
        <f t="shared" ref="F89:R92" si="32">F83/F71</f>
        <v>2.1759259259259259E-2</v>
      </c>
      <c r="G89" s="201">
        <f t="shared" si="32"/>
        <v>1.0185185185185186E-2</v>
      </c>
      <c r="H89" s="201">
        <f t="shared" si="32"/>
        <v>1.8518518518518517E-2</v>
      </c>
      <c r="I89" s="201">
        <f t="shared" si="32"/>
        <v>1.7592592592592594E-2</v>
      </c>
      <c r="J89" s="201">
        <f t="shared" si="32"/>
        <v>1.4814814814814815E-2</v>
      </c>
      <c r="K89" s="201">
        <f t="shared" si="32"/>
        <v>2.1296296296296296E-2</v>
      </c>
      <c r="L89" s="201">
        <f t="shared" si="32"/>
        <v>2.5925925925925925E-2</v>
      </c>
      <c r="M89" s="201">
        <f t="shared" si="32"/>
        <v>2.2222222222222223E-2</v>
      </c>
      <c r="N89" s="201">
        <f t="shared" si="32"/>
        <v>1.7592592592592594E-2</v>
      </c>
      <c r="O89" s="201">
        <f t="shared" si="32"/>
        <v>2.6851851851851852E-2</v>
      </c>
      <c r="P89" s="201">
        <f t="shared" si="32"/>
        <v>2.7777777777777776E-2</v>
      </c>
      <c r="Q89" s="201">
        <f t="shared" si="32"/>
        <v>2.9629629629629631E-2</v>
      </c>
      <c r="R89" s="201">
        <f t="shared" si="32"/>
        <v>2.8703703703703703E-2</v>
      </c>
    </row>
    <row r="90" spans="2:18" x14ac:dyDescent="0.35">
      <c r="E90" s="2" t="s">
        <v>7</v>
      </c>
      <c r="F90" s="201">
        <f t="shared" si="32"/>
        <v>9.4650205761316868E-3</v>
      </c>
      <c r="G90" s="201">
        <f t="shared" si="32"/>
        <v>6.1728395061728394E-4</v>
      </c>
      <c r="H90" s="201">
        <f t="shared" si="32"/>
        <v>2.4691358024691358E-3</v>
      </c>
      <c r="I90" s="201">
        <f t="shared" si="32"/>
        <v>4.3209876543209872E-3</v>
      </c>
      <c r="J90" s="201">
        <f t="shared" si="32"/>
        <v>6.1728395061728394E-4</v>
      </c>
      <c r="K90" s="201">
        <f t="shared" si="32"/>
        <v>5.5555555555555552E-2</v>
      </c>
      <c r="L90" s="201">
        <f t="shared" si="32"/>
        <v>6.7901234567901234E-3</v>
      </c>
      <c r="M90" s="201">
        <f t="shared" si="32"/>
        <v>1.1728395061728396E-2</v>
      </c>
      <c r="N90" s="201">
        <f t="shared" si="32"/>
        <v>3.7037037037037038E-3</v>
      </c>
      <c r="O90" s="201">
        <f t="shared" si="32"/>
        <v>1.7283950617283949E-2</v>
      </c>
      <c r="P90" s="201">
        <f t="shared" si="32"/>
        <v>2.4691358024691358E-3</v>
      </c>
      <c r="Q90" s="201">
        <f t="shared" si="32"/>
        <v>4.9382716049382715E-3</v>
      </c>
      <c r="R90" s="201">
        <f t="shared" si="32"/>
        <v>3.0864197530864196E-3</v>
      </c>
    </row>
    <row r="91" spans="2:18" x14ac:dyDescent="0.35">
      <c r="E91" s="2" t="s">
        <v>9</v>
      </c>
      <c r="F91" s="201">
        <f t="shared" si="32"/>
        <v>1.7407407407407406E-2</v>
      </c>
      <c r="G91" s="201">
        <f t="shared" si="32"/>
        <v>6.4197530864197527E-3</v>
      </c>
      <c r="H91" s="201">
        <f t="shared" si="32"/>
        <v>1.2839506172839505E-2</v>
      </c>
      <c r="I91" s="201">
        <f t="shared" si="32"/>
        <v>1.7777777777777778E-2</v>
      </c>
      <c r="J91" s="201">
        <f t="shared" si="32"/>
        <v>1.6790123456790124E-2</v>
      </c>
      <c r="K91" s="201">
        <f t="shared" si="32"/>
        <v>1.9753086419753086E-2</v>
      </c>
      <c r="L91" s="201">
        <f t="shared" si="32"/>
        <v>2.7654320987654323E-2</v>
      </c>
      <c r="M91" s="201">
        <f t="shared" si="32"/>
        <v>2.3209876543209877E-2</v>
      </c>
      <c r="N91" s="201">
        <f t="shared" si="32"/>
        <v>1.6296296296296295E-2</v>
      </c>
      <c r="O91" s="201">
        <f t="shared" si="32"/>
        <v>1.7777777777777778E-2</v>
      </c>
      <c r="P91" s="201">
        <f t="shared" si="32"/>
        <v>2.9629629629629631E-2</v>
      </c>
      <c r="Q91" s="201">
        <f t="shared" si="32"/>
        <v>1.1851851851851851E-2</v>
      </c>
      <c r="R91" s="201">
        <f t="shared" si="32"/>
        <v>8.8888888888888889E-3</v>
      </c>
    </row>
    <row r="92" spans="2:18" x14ac:dyDescent="0.35">
      <c r="E92" s="2" t="s">
        <v>10</v>
      </c>
      <c r="F92" s="201">
        <f t="shared" si="32"/>
        <v>4.4753086419753087E-3</v>
      </c>
      <c r="G92" s="201">
        <f t="shared" si="32"/>
        <v>1.8518518518518519E-3</v>
      </c>
      <c r="H92" s="201">
        <f t="shared" si="32"/>
        <v>0</v>
      </c>
      <c r="I92" s="201">
        <f t="shared" si="32"/>
        <v>1.8518518518518519E-3</v>
      </c>
      <c r="J92" s="201">
        <f t="shared" si="32"/>
        <v>6.1728395061728394E-4</v>
      </c>
      <c r="K92" s="201">
        <f t="shared" si="32"/>
        <v>1.2345679012345679E-3</v>
      </c>
      <c r="L92" s="201">
        <f t="shared" si="32"/>
        <v>6.1728395061728394E-4</v>
      </c>
      <c r="M92" s="201">
        <f t="shared" si="32"/>
        <v>1.8518518518518519E-3</v>
      </c>
      <c r="N92" s="201">
        <f t="shared" si="32"/>
        <v>0</v>
      </c>
      <c r="O92" s="201">
        <f t="shared" si="32"/>
        <v>1.8518518518518519E-3</v>
      </c>
      <c r="P92" s="201">
        <f t="shared" si="32"/>
        <v>1.2345679012345678E-2</v>
      </c>
      <c r="Q92" s="201">
        <f t="shared" si="32"/>
        <v>2.0370370370370372E-2</v>
      </c>
      <c r="R92" s="201">
        <f t="shared" si="32"/>
        <v>1.1111111111111112E-2</v>
      </c>
    </row>
  </sheetData>
  <pageMargins left="0.7" right="0.7" top="0.75" bottom="0.75" header="0.3" footer="0.3"/>
  <pageSetup orientation="portrait" r:id="rId1"/>
  <ignoredErrors>
    <ignoredError sqref="G73" formula="1"/>
  </ignoredError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F8C5E-B6F8-43E9-8344-BC3740BF651B}">
  <sheetPr>
    <tabColor rgb="FF2596BE"/>
  </sheetPr>
  <dimension ref="B3:Y83"/>
  <sheetViews>
    <sheetView workbookViewId="0">
      <pane xSplit="5" ySplit="9" topLeftCell="F10" activePane="bottomRight" state="frozen"/>
      <selection activeCell="B10" sqref="B10"/>
      <selection pane="topRight" activeCell="B10" sqref="B10"/>
      <selection pane="bottomLeft" activeCell="B10" sqref="B10"/>
      <selection pane="bottomRight" activeCell="H18" sqref="H18:H20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45.1328125" style="2" customWidth="1"/>
    <col min="6" max="6" width="12.265625" style="2" customWidth="1"/>
    <col min="7" max="8" width="9.1328125" style="2" customWidth="1" outlineLevel="1"/>
    <col min="9" max="9" width="9" style="2" customWidth="1" outlineLevel="1"/>
    <col min="10" max="17" width="9.1328125" style="2" customWidth="1" outlineLevel="1"/>
    <col min="18" max="18" width="10.265625" style="2" bestFit="1" customWidth="1"/>
    <col min="19" max="19" width="12.1328125" style="2" customWidth="1"/>
    <col min="20" max="20" width="10.59765625" style="2" customWidth="1"/>
    <col min="21" max="21" width="18.59765625" style="2" customWidth="1"/>
    <col min="22" max="22" width="11.3984375" style="2" customWidth="1"/>
    <col min="23" max="23" width="12.86328125" style="2" customWidth="1"/>
    <col min="24" max="24" width="13.1328125" style="2" customWidth="1"/>
    <col min="25" max="16384" width="9.1328125" style="2"/>
  </cols>
  <sheetData>
    <row r="3" spans="2:25" x14ac:dyDescent="0.35">
      <c r="I3" s="60"/>
    </row>
    <row r="4" spans="2:25" x14ac:dyDescent="0.35">
      <c r="B4" s="2" t="s">
        <v>25</v>
      </c>
    </row>
    <row r="6" spans="2:25" x14ac:dyDescent="0.35">
      <c r="B6" s="27" t="s">
        <v>299</v>
      </c>
    </row>
    <row r="7" spans="2:25" s="6" customFormat="1" x14ac:dyDescent="0.35">
      <c r="B7" s="6" t="s">
        <v>153</v>
      </c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</row>
    <row r="8" spans="2:25" x14ac:dyDescent="0.35">
      <c r="B8" s="32" t="s">
        <v>212</v>
      </c>
      <c r="G8" s="32" t="s">
        <v>52</v>
      </c>
    </row>
    <row r="9" spans="2:25" ht="13.5" x14ac:dyDescent="0.35">
      <c r="B9" s="45" t="s">
        <v>101</v>
      </c>
      <c r="F9" s="6" t="s">
        <v>309</v>
      </c>
      <c r="G9" s="61">
        <v>1</v>
      </c>
      <c r="H9" s="61">
        <v>2</v>
      </c>
      <c r="I9" s="61">
        <v>3</v>
      </c>
      <c r="J9" s="61">
        <v>4</v>
      </c>
      <c r="K9" s="61">
        <v>5</v>
      </c>
      <c r="L9" s="61">
        <v>6</v>
      </c>
      <c r="M9" s="61">
        <v>7</v>
      </c>
      <c r="N9" s="61">
        <v>8</v>
      </c>
      <c r="O9" s="61">
        <v>9</v>
      </c>
      <c r="P9" s="61">
        <v>10</v>
      </c>
      <c r="Q9" s="61">
        <v>11</v>
      </c>
      <c r="R9" s="61">
        <v>12</v>
      </c>
      <c r="S9" s="113" t="s">
        <v>197</v>
      </c>
      <c r="T9" s="114"/>
      <c r="U9" s="114"/>
      <c r="V9" s="32"/>
      <c r="W9" s="32"/>
      <c r="X9" s="6"/>
      <c r="Y9" s="73"/>
    </row>
    <row r="10" spans="2:25" x14ac:dyDescent="0.35">
      <c r="B10" s="27" t="s">
        <v>520</v>
      </c>
      <c r="D10" s="6"/>
      <c r="R10" s="58"/>
    </row>
    <row r="11" spans="2:25" x14ac:dyDescent="0.35">
      <c r="B11" s="27" t="s">
        <v>300</v>
      </c>
      <c r="D11" s="6"/>
      <c r="R11" s="58"/>
    </row>
    <row r="12" spans="2:25" x14ac:dyDescent="0.35">
      <c r="B12" s="27"/>
      <c r="D12" s="6"/>
      <c r="E12" s="2" t="s">
        <v>6</v>
      </c>
      <c r="G12" s="311">
        <f>'Điểm hòa vốn'!L83/10^6</f>
        <v>2</v>
      </c>
      <c r="H12" s="225">
        <f>$G12</f>
        <v>2</v>
      </c>
      <c r="I12" s="225">
        <f t="shared" ref="I12:R12" si="0">$G12</f>
        <v>2</v>
      </c>
      <c r="J12" s="225">
        <f t="shared" si="0"/>
        <v>2</v>
      </c>
      <c r="K12" s="225">
        <f t="shared" si="0"/>
        <v>2</v>
      </c>
      <c r="L12" s="225">
        <f t="shared" si="0"/>
        <v>2</v>
      </c>
      <c r="M12" s="225">
        <f t="shared" si="0"/>
        <v>2</v>
      </c>
      <c r="N12" s="225">
        <f t="shared" si="0"/>
        <v>2</v>
      </c>
      <c r="O12" s="225">
        <f t="shared" si="0"/>
        <v>2</v>
      </c>
      <c r="P12" s="225">
        <f t="shared" si="0"/>
        <v>2</v>
      </c>
      <c r="Q12" s="225">
        <f t="shared" si="0"/>
        <v>2</v>
      </c>
      <c r="R12" s="225">
        <f t="shared" si="0"/>
        <v>2</v>
      </c>
      <c r="S12" s="2" t="s">
        <v>419</v>
      </c>
    </row>
    <row r="13" spans="2:25" x14ac:dyDescent="0.35">
      <c r="B13" s="27"/>
      <c r="D13" s="6"/>
      <c r="E13" s="2" t="s">
        <v>8</v>
      </c>
      <c r="G13" s="311">
        <f>'Điểm hòa vốn'!L84/10^6</f>
        <v>1</v>
      </c>
      <c r="H13" s="225">
        <f t="shared" ref="H13:R16" si="1">$G13</f>
        <v>1</v>
      </c>
      <c r="I13" s="225">
        <f t="shared" si="1"/>
        <v>1</v>
      </c>
      <c r="J13" s="225">
        <f t="shared" si="1"/>
        <v>1</v>
      </c>
      <c r="K13" s="225">
        <f t="shared" si="1"/>
        <v>1</v>
      </c>
      <c r="L13" s="225">
        <f t="shared" si="1"/>
        <v>1</v>
      </c>
      <c r="M13" s="225">
        <f t="shared" si="1"/>
        <v>1</v>
      </c>
      <c r="N13" s="225">
        <f t="shared" si="1"/>
        <v>1</v>
      </c>
      <c r="O13" s="225">
        <f t="shared" si="1"/>
        <v>1</v>
      </c>
      <c r="P13" s="225">
        <f t="shared" si="1"/>
        <v>1</v>
      </c>
      <c r="Q13" s="225">
        <f t="shared" si="1"/>
        <v>1</v>
      </c>
      <c r="R13" s="225">
        <f t="shared" si="1"/>
        <v>1</v>
      </c>
      <c r="S13" s="2" t="s">
        <v>419</v>
      </c>
    </row>
    <row r="14" spans="2:25" x14ac:dyDescent="0.35">
      <c r="B14" s="27"/>
      <c r="D14" s="6"/>
      <c r="E14" s="2" t="s">
        <v>7</v>
      </c>
      <c r="G14" s="311">
        <f>'Điểm hòa vốn'!L85/10^6</f>
        <v>0.5</v>
      </c>
      <c r="H14" s="225">
        <f t="shared" si="1"/>
        <v>0.5</v>
      </c>
      <c r="I14" s="225">
        <f t="shared" si="1"/>
        <v>0.5</v>
      </c>
      <c r="J14" s="225">
        <f t="shared" si="1"/>
        <v>0.5</v>
      </c>
      <c r="K14" s="225">
        <f t="shared" si="1"/>
        <v>0.5</v>
      </c>
      <c r="L14" s="225">
        <f t="shared" si="1"/>
        <v>0.5</v>
      </c>
      <c r="M14" s="225">
        <f t="shared" si="1"/>
        <v>0.5</v>
      </c>
      <c r="N14" s="225">
        <f t="shared" si="1"/>
        <v>0.5</v>
      </c>
      <c r="O14" s="225">
        <f t="shared" si="1"/>
        <v>0.5</v>
      </c>
      <c r="P14" s="225">
        <f t="shared" si="1"/>
        <v>0.5</v>
      </c>
      <c r="Q14" s="225">
        <f t="shared" si="1"/>
        <v>0.5</v>
      </c>
      <c r="R14" s="225">
        <f t="shared" si="1"/>
        <v>0.5</v>
      </c>
      <c r="S14" s="2" t="s">
        <v>419</v>
      </c>
    </row>
    <row r="15" spans="2:25" x14ac:dyDescent="0.35">
      <c r="B15" s="27"/>
      <c r="D15" s="6"/>
      <c r="E15" s="2" t="s">
        <v>9</v>
      </c>
      <c r="G15" s="311">
        <f>'Điểm hòa vốn'!L86/10^6</f>
        <v>0</v>
      </c>
      <c r="H15" s="225">
        <f t="shared" si="1"/>
        <v>0</v>
      </c>
      <c r="I15" s="225">
        <f t="shared" si="1"/>
        <v>0</v>
      </c>
      <c r="J15" s="225">
        <f t="shared" si="1"/>
        <v>0</v>
      </c>
      <c r="K15" s="225">
        <f t="shared" si="1"/>
        <v>0</v>
      </c>
      <c r="L15" s="225">
        <f t="shared" si="1"/>
        <v>0</v>
      </c>
      <c r="M15" s="225">
        <f t="shared" si="1"/>
        <v>0</v>
      </c>
      <c r="N15" s="225">
        <f t="shared" si="1"/>
        <v>0</v>
      </c>
      <c r="O15" s="225">
        <f t="shared" si="1"/>
        <v>0</v>
      </c>
      <c r="P15" s="225">
        <f t="shared" si="1"/>
        <v>0</v>
      </c>
      <c r="Q15" s="225">
        <f t="shared" si="1"/>
        <v>0</v>
      </c>
      <c r="R15" s="225">
        <f t="shared" si="1"/>
        <v>0</v>
      </c>
    </row>
    <row r="16" spans="2:25" x14ac:dyDescent="0.35">
      <c r="B16" s="27"/>
      <c r="D16" s="6"/>
      <c r="E16" s="2" t="s">
        <v>10</v>
      </c>
      <c r="G16" s="311">
        <f>'Điểm hòa vốn'!L87/10^6</f>
        <v>0</v>
      </c>
      <c r="H16" s="225">
        <f t="shared" si="1"/>
        <v>0</v>
      </c>
      <c r="I16" s="225">
        <f t="shared" si="1"/>
        <v>0</v>
      </c>
      <c r="J16" s="225">
        <f t="shared" si="1"/>
        <v>0</v>
      </c>
      <c r="K16" s="225">
        <f t="shared" si="1"/>
        <v>0</v>
      </c>
      <c r="L16" s="225">
        <f t="shared" si="1"/>
        <v>0</v>
      </c>
      <c r="M16" s="225">
        <f t="shared" si="1"/>
        <v>0</v>
      </c>
      <c r="N16" s="225">
        <f t="shared" si="1"/>
        <v>0</v>
      </c>
      <c r="O16" s="225">
        <f t="shared" si="1"/>
        <v>0</v>
      </c>
      <c r="P16" s="225">
        <f t="shared" si="1"/>
        <v>0</v>
      </c>
      <c r="Q16" s="225">
        <f t="shared" si="1"/>
        <v>0</v>
      </c>
      <c r="R16" s="225">
        <f t="shared" si="1"/>
        <v>0</v>
      </c>
    </row>
    <row r="17" spans="2:19" x14ac:dyDescent="0.35">
      <c r="B17" s="27" t="s">
        <v>301</v>
      </c>
      <c r="D17" s="6"/>
      <c r="R17" s="58"/>
    </row>
    <row r="18" spans="2:19" x14ac:dyDescent="0.35">
      <c r="B18" s="27"/>
      <c r="D18" s="6"/>
      <c r="E18" s="2" t="s">
        <v>6</v>
      </c>
      <c r="F18" s="57">
        <f>SUM(G18:R18)</f>
        <v>6573</v>
      </c>
      <c r="G18" s="62">
        <f>'Điểm hòa vốn'!L98</f>
        <v>580</v>
      </c>
      <c r="H18" s="611">
        <v>193</v>
      </c>
      <c r="I18" s="62">
        <f t="shared" ref="I18:R18" si="2">$G18</f>
        <v>580</v>
      </c>
      <c r="J18" s="62">
        <f t="shared" si="2"/>
        <v>580</v>
      </c>
      <c r="K18" s="62">
        <f t="shared" si="2"/>
        <v>580</v>
      </c>
      <c r="L18" s="62">
        <f t="shared" si="2"/>
        <v>580</v>
      </c>
      <c r="M18" s="62">
        <f t="shared" si="2"/>
        <v>580</v>
      </c>
      <c r="N18" s="62">
        <f t="shared" si="2"/>
        <v>580</v>
      </c>
      <c r="O18" s="62">
        <f t="shared" si="2"/>
        <v>580</v>
      </c>
      <c r="P18" s="62">
        <f t="shared" si="2"/>
        <v>580</v>
      </c>
      <c r="Q18" s="62">
        <f t="shared" si="2"/>
        <v>580</v>
      </c>
      <c r="R18" s="62">
        <f t="shared" si="2"/>
        <v>580</v>
      </c>
      <c r="S18" s="2" t="s">
        <v>429</v>
      </c>
    </row>
    <row r="19" spans="2:19" x14ac:dyDescent="0.35">
      <c r="B19" s="27"/>
      <c r="D19" s="6"/>
      <c r="E19" s="2" t="s">
        <v>8</v>
      </c>
      <c r="F19" s="57">
        <f>SUM(G19:R19)</f>
        <v>1050</v>
      </c>
      <c r="G19" s="62">
        <f>'Điểm hòa vốn'!L99</f>
        <v>94</v>
      </c>
      <c r="H19" s="611">
        <v>16</v>
      </c>
      <c r="I19" s="62">
        <f t="shared" ref="H19:R22" si="3">$G19</f>
        <v>94</v>
      </c>
      <c r="J19" s="62">
        <f t="shared" si="3"/>
        <v>94</v>
      </c>
      <c r="K19" s="62">
        <f t="shared" si="3"/>
        <v>94</v>
      </c>
      <c r="L19" s="62">
        <f t="shared" si="3"/>
        <v>94</v>
      </c>
      <c r="M19" s="62">
        <f t="shared" si="3"/>
        <v>94</v>
      </c>
      <c r="N19" s="62">
        <f t="shared" si="3"/>
        <v>94</v>
      </c>
      <c r="O19" s="62">
        <f t="shared" si="3"/>
        <v>94</v>
      </c>
      <c r="P19" s="62">
        <f t="shared" si="3"/>
        <v>94</v>
      </c>
      <c r="Q19" s="62">
        <f t="shared" si="3"/>
        <v>94</v>
      </c>
      <c r="R19" s="62">
        <f t="shared" si="3"/>
        <v>94</v>
      </c>
      <c r="S19" s="2" t="s">
        <v>429</v>
      </c>
    </row>
    <row r="20" spans="2:19" x14ac:dyDescent="0.35">
      <c r="B20" s="27"/>
      <c r="D20" s="6"/>
      <c r="E20" s="2" t="s">
        <v>7</v>
      </c>
      <c r="F20" s="57">
        <f>SUM(G20:R20)</f>
        <v>531</v>
      </c>
      <c r="G20" s="62">
        <f>'Điểm hòa vốn'!L100</f>
        <v>48</v>
      </c>
      <c r="H20" s="611">
        <v>3</v>
      </c>
      <c r="I20" s="62">
        <f t="shared" si="3"/>
        <v>48</v>
      </c>
      <c r="J20" s="62">
        <f t="shared" si="3"/>
        <v>48</v>
      </c>
      <c r="K20" s="62">
        <f t="shared" si="3"/>
        <v>48</v>
      </c>
      <c r="L20" s="62">
        <f t="shared" si="3"/>
        <v>48</v>
      </c>
      <c r="M20" s="62">
        <f t="shared" si="3"/>
        <v>48</v>
      </c>
      <c r="N20" s="62">
        <f t="shared" si="3"/>
        <v>48</v>
      </c>
      <c r="O20" s="62">
        <f t="shared" si="3"/>
        <v>48</v>
      </c>
      <c r="P20" s="62">
        <f t="shared" si="3"/>
        <v>48</v>
      </c>
      <c r="Q20" s="62">
        <f t="shared" si="3"/>
        <v>48</v>
      </c>
      <c r="R20" s="62">
        <f t="shared" si="3"/>
        <v>48</v>
      </c>
      <c r="S20" s="2" t="s">
        <v>429</v>
      </c>
    </row>
    <row r="21" spans="2:19" x14ac:dyDescent="0.35">
      <c r="B21" s="27"/>
      <c r="D21" s="6"/>
      <c r="E21" s="2" t="s">
        <v>9</v>
      </c>
      <c r="G21" s="62">
        <f>'Điểm hòa vốn'!L101</f>
        <v>0</v>
      </c>
      <c r="H21" s="62">
        <f t="shared" si="3"/>
        <v>0</v>
      </c>
      <c r="I21" s="62">
        <f t="shared" si="3"/>
        <v>0</v>
      </c>
      <c r="J21" s="62">
        <f t="shared" si="3"/>
        <v>0</v>
      </c>
      <c r="K21" s="62">
        <f t="shared" si="3"/>
        <v>0</v>
      </c>
      <c r="L21" s="62">
        <f t="shared" si="3"/>
        <v>0</v>
      </c>
      <c r="M21" s="62">
        <f t="shared" si="3"/>
        <v>0</v>
      </c>
      <c r="N21" s="62">
        <f t="shared" si="3"/>
        <v>0</v>
      </c>
      <c r="O21" s="62">
        <f t="shared" si="3"/>
        <v>0</v>
      </c>
      <c r="P21" s="62">
        <f t="shared" si="3"/>
        <v>0</v>
      </c>
      <c r="Q21" s="62">
        <f t="shared" si="3"/>
        <v>0</v>
      </c>
      <c r="R21" s="62">
        <f t="shared" si="3"/>
        <v>0</v>
      </c>
      <c r="S21" s="2" t="s">
        <v>429</v>
      </c>
    </row>
    <row r="22" spans="2:19" x14ac:dyDescent="0.35">
      <c r="B22" s="27"/>
      <c r="D22" s="6"/>
      <c r="E22" s="2" t="s">
        <v>10</v>
      </c>
      <c r="G22" s="62">
        <f>'Điểm hòa vốn'!L102</f>
        <v>0</v>
      </c>
      <c r="H22" s="62">
        <f t="shared" si="3"/>
        <v>0</v>
      </c>
      <c r="I22" s="62">
        <f t="shared" si="3"/>
        <v>0</v>
      </c>
      <c r="J22" s="62">
        <f t="shared" si="3"/>
        <v>0</v>
      </c>
      <c r="K22" s="62">
        <f t="shared" si="3"/>
        <v>0</v>
      </c>
      <c r="L22" s="62">
        <f t="shared" si="3"/>
        <v>0</v>
      </c>
      <c r="M22" s="62">
        <f t="shared" si="3"/>
        <v>0</v>
      </c>
      <c r="N22" s="62">
        <f t="shared" si="3"/>
        <v>0</v>
      </c>
      <c r="O22" s="62">
        <f t="shared" si="3"/>
        <v>0</v>
      </c>
      <c r="P22" s="62">
        <f t="shared" si="3"/>
        <v>0</v>
      </c>
      <c r="Q22" s="62">
        <f t="shared" si="3"/>
        <v>0</v>
      </c>
      <c r="R22" s="62">
        <f t="shared" si="3"/>
        <v>0</v>
      </c>
      <c r="S22" s="2" t="s">
        <v>429</v>
      </c>
    </row>
    <row r="23" spans="2:19" x14ac:dyDescent="0.35">
      <c r="B23" s="27" t="s">
        <v>314</v>
      </c>
      <c r="D23" s="6"/>
      <c r="R23" s="58"/>
    </row>
    <row r="24" spans="2:19" x14ac:dyDescent="0.35">
      <c r="B24" s="27"/>
      <c r="C24" s="2" t="s">
        <v>23</v>
      </c>
      <c r="D24" s="6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x14ac:dyDescent="0.35">
      <c r="B25" s="27"/>
      <c r="D25" s="6"/>
      <c r="E25" s="2" t="s">
        <v>6</v>
      </c>
      <c r="G25" s="57">
        <f>'Điểm hòa vốn'!L58</f>
        <v>67931.214642262901</v>
      </c>
      <c r="H25" s="62">
        <f t="shared" ref="H25:R40" si="4">$G25</f>
        <v>67931.214642262901</v>
      </c>
      <c r="I25" s="62">
        <f t="shared" si="4"/>
        <v>67931.214642262901</v>
      </c>
      <c r="J25" s="62">
        <f t="shared" si="4"/>
        <v>67931.214642262901</v>
      </c>
      <c r="K25" s="62">
        <f t="shared" si="4"/>
        <v>67931.214642262901</v>
      </c>
      <c r="L25" s="62">
        <f t="shared" si="4"/>
        <v>67931.214642262901</v>
      </c>
      <c r="M25" s="62">
        <f t="shared" si="4"/>
        <v>67931.214642262901</v>
      </c>
      <c r="N25" s="62">
        <f t="shared" si="4"/>
        <v>67931.214642262901</v>
      </c>
      <c r="O25" s="62">
        <f t="shared" si="4"/>
        <v>67931.214642262901</v>
      </c>
      <c r="P25" s="62">
        <f t="shared" si="4"/>
        <v>67931.214642262901</v>
      </c>
      <c r="Q25" s="62">
        <f t="shared" si="4"/>
        <v>67931.214642262901</v>
      </c>
      <c r="R25" s="62">
        <f t="shared" si="4"/>
        <v>67931.214642262901</v>
      </c>
    </row>
    <row r="26" spans="2:19" x14ac:dyDescent="0.35">
      <c r="B26" s="27"/>
      <c r="D26" s="6"/>
      <c r="E26" s="2" t="s">
        <v>8</v>
      </c>
      <c r="G26" s="57">
        <f>'Điểm hòa vốn'!L59</f>
        <v>39495.876606683807</v>
      </c>
      <c r="H26" s="62">
        <f t="shared" si="4"/>
        <v>39495.876606683807</v>
      </c>
      <c r="I26" s="62">
        <f t="shared" si="4"/>
        <v>39495.876606683807</v>
      </c>
      <c r="J26" s="62">
        <f t="shared" si="4"/>
        <v>39495.876606683807</v>
      </c>
      <c r="K26" s="62">
        <f t="shared" si="4"/>
        <v>39495.876606683807</v>
      </c>
      <c r="L26" s="62">
        <f t="shared" si="4"/>
        <v>39495.876606683807</v>
      </c>
      <c r="M26" s="62">
        <f t="shared" si="4"/>
        <v>39495.876606683807</v>
      </c>
      <c r="N26" s="62">
        <f t="shared" si="4"/>
        <v>39495.876606683807</v>
      </c>
      <c r="O26" s="62">
        <f t="shared" si="4"/>
        <v>39495.876606683807</v>
      </c>
      <c r="P26" s="62">
        <f t="shared" si="4"/>
        <v>39495.876606683807</v>
      </c>
      <c r="Q26" s="62">
        <f t="shared" si="4"/>
        <v>39495.876606683807</v>
      </c>
      <c r="R26" s="62">
        <f t="shared" si="4"/>
        <v>39495.876606683807</v>
      </c>
    </row>
    <row r="27" spans="2:19" x14ac:dyDescent="0.35">
      <c r="B27" s="27"/>
      <c r="D27" s="6"/>
      <c r="E27" s="2" t="s">
        <v>7</v>
      </c>
      <c r="G27" s="57">
        <f>'Điểm hòa vốn'!L60</f>
        <v>38745.14572864322</v>
      </c>
      <c r="H27" s="62">
        <f t="shared" si="4"/>
        <v>38745.14572864322</v>
      </c>
      <c r="I27" s="62">
        <f t="shared" si="4"/>
        <v>38745.14572864322</v>
      </c>
      <c r="J27" s="62">
        <f t="shared" si="4"/>
        <v>38745.14572864322</v>
      </c>
      <c r="K27" s="62">
        <f t="shared" si="4"/>
        <v>38745.14572864322</v>
      </c>
      <c r="L27" s="62">
        <f t="shared" si="4"/>
        <v>38745.14572864322</v>
      </c>
      <c r="M27" s="62">
        <f t="shared" si="4"/>
        <v>38745.14572864322</v>
      </c>
      <c r="N27" s="62">
        <f t="shared" si="4"/>
        <v>38745.14572864322</v>
      </c>
      <c r="O27" s="62">
        <f t="shared" si="4"/>
        <v>38745.14572864322</v>
      </c>
      <c r="P27" s="62">
        <f t="shared" si="4"/>
        <v>38745.14572864322</v>
      </c>
      <c r="Q27" s="62">
        <f t="shared" si="4"/>
        <v>38745.14572864322</v>
      </c>
      <c r="R27" s="62">
        <f t="shared" si="4"/>
        <v>38745.14572864322</v>
      </c>
    </row>
    <row r="28" spans="2:19" x14ac:dyDescent="0.35">
      <c r="B28" s="27"/>
      <c r="D28" s="6"/>
      <c r="E28" s="2" t="s">
        <v>9</v>
      </c>
      <c r="G28" s="57">
        <f>'Điểm hòa vốn'!L61</f>
        <v>0</v>
      </c>
      <c r="H28" s="62">
        <f t="shared" si="4"/>
        <v>0</v>
      </c>
      <c r="I28" s="62">
        <f t="shared" si="4"/>
        <v>0</v>
      </c>
      <c r="J28" s="62">
        <f t="shared" si="4"/>
        <v>0</v>
      </c>
      <c r="K28" s="62">
        <f t="shared" si="4"/>
        <v>0</v>
      </c>
      <c r="L28" s="62">
        <f t="shared" si="4"/>
        <v>0</v>
      </c>
      <c r="M28" s="62">
        <f t="shared" si="4"/>
        <v>0</v>
      </c>
      <c r="N28" s="62">
        <f t="shared" si="4"/>
        <v>0</v>
      </c>
      <c r="O28" s="62">
        <f t="shared" si="4"/>
        <v>0</v>
      </c>
      <c r="P28" s="62">
        <f t="shared" si="4"/>
        <v>0</v>
      </c>
      <c r="Q28" s="62">
        <f t="shared" si="4"/>
        <v>0</v>
      </c>
      <c r="R28" s="62">
        <f t="shared" si="4"/>
        <v>0</v>
      </c>
    </row>
    <row r="29" spans="2:19" x14ac:dyDescent="0.35">
      <c r="B29" s="27"/>
      <c r="D29" s="6"/>
      <c r="E29" s="2" t="s">
        <v>10</v>
      </c>
      <c r="G29" s="57">
        <f>'Điểm hòa vốn'!L62</f>
        <v>0</v>
      </c>
      <c r="H29" s="62">
        <f t="shared" si="4"/>
        <v>0</v>
      </c>
      <c r="I29" s="62">
        <f t="shared" si="4"/>
        <v>0</v>
      </c>
      <c r="J29" s="62">
        <f t="shared" si="4"/>
        <v>0</v>
      </c>
      <c r="K29" s="62">
        <f t="shared" si="4"/>
        <v>0</v>
      </c>
      <c r="L29" s="62">
        <f t="shared" si="4"/>
        <v>0</v>
      </c>
      <c r="M29" s="62">
        <f t="shared" si="4"/>
        <v>0</v>
      </c>
      <c r="N29" s="62">
        <f t="shared" si="4"/>
        <v>0</v>
      </c>
      <c r="O29" s="62">
        <f t="shared" si="4"/>
        <v>0</v>
      </c>
      <c r="P29" s="62">
        <f t="shared" si="4"/>
        <v>0</v>
      </c>
      <c r="Q29" s="62">
        <f t="shared" si="4"/>
        <v>0</v>
      </c>
      <c r="R29" s="62">
        <f t="shared" si="4"/>
        <v>0</v>
      </c>
    </row>
    <row r="30" spans="2:19" x14ac:dyDescent="0.35">
      <c r="B30" s="27"/>
      <c r="C30" s="2" t="s">
        <v>417</v>
      </c>
      <c r="D30" s="6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</row>
    <row r="31" spans="2:19" x14ac:dyDescent="0.35">
      <c r="B31" s="27"/>
      <c r="D31" s="6"/>
      <c r="E31" s="2" t="s">
        <v>6</v>
      </c>
      <c r="G31" s="57">
        <f>'Điểm hòa vốn'!L67</f>
        <v>90000</v>
      </c>
      <c r="H31" s="62">
        <f t="shared" si="4"/>
        <v>90000</v>
      </c>
      <c r="I31" s="62">
        <f t="shared" si="4"/>
        <v>90000</v>
      </c>
      <c r="J31" s="62">
        <f t="shared" si="4"/>
        <v>90000</v>
      </c>
      <c r="K31" s="62">
        <f t="shared" si="4"/>
        <v>90000</v>
      </c>
      <c r="L31" s="62">
        <f t="shared" si="4"/>
        <v>90000</v>
      </c>
      <c r="M31" s="62">
        <f t="shared" si="4"/>
        <v>90000</v>
      </c>
      <c r="N31" s="62">
        <f t="shared" si="4"/>
        <v>90000</v>
      </c>
      <c r="O31" s="62">
        <f t="shared" si="4"/>
        <v>90000</v>
      </c>
      <c r="P31" s="62">
        <f t="shared" si="4"/>
        <v>90000</v>
      </c>
      <c r="Q31" s="62">
        <f t="shared" si="4"/>
        <v>90000</v>
      </c>
      <c r="R31" s="62">
        <f t="shared" si="4"/>
        <v>90000</v>
      </c>
    </row>
    <row r="32" spans="2:19" x14ac:dyDescent="0.35">
      <c r="B32" s="27"/>
      <c r="D32" s="6"/>
      <c r="E32" s="2" t="s">
        <v>8</v>
      </c>
      <c r="G32" s="57">
        <f>'Điểm hòa vốn'!L68</f>
        <v>50000</v>
      </c>
      <c r="H32" s="62">
        <f t="shared" si="4"/>
        <v>50000</v>
      </c>
      <c r="I32" s="62">
        <f t="shared" si="4"/>
        <v>50000</v>
      </c>
      <c r="J32" s="62">
        <f t="shared" si="4"/>
        <v>50000</v>
      </c>
      <c r="K32" s="62">
        <f t="shared" si="4"/>
        <v>50000</v>
      </c>
      <c r="L32" s="62">
        <f t="shared" si="4"/>
        <v>50000</v>
      </c>
      <c r="M32" s="62">
        <f t="shared" si="4"/>
        <v>50000</v>
      </c>
      <c r="N32" s="62">
        <f t="shared" si="4"/>
        <v>50000</v>
      </c>
      <c r="O32" s="62">
        <f t="shared" si="4"/>
        <v>50000</v>
      </c>
      <c r="P32" s="62">
        <f t="shared" si="4"/>
        <v>50000</v>
      </c>
      <c r="Q32" s="62">
        <f t="shared" si="4"/>
        <v>50000</v>
      </c>
      <c r="R32" s="62">
        <f t="shared" si="4"/>
        <v>50000</v>
      </c>
    </row>
    <row r="33" spans="2:25" x14ac:dyDescent="0.35">
      <c r="B33" s="27"/>
      <c r="D33" s="6"/>
      <c r="E33" s="2" t="s">
        <v>7</v>
      </c>
      <c r="G33" s="57">
        <f>'Điểm hòa vốn'!L69</f>
        <v>25000</v>
      </c>
      <c r="H33" s="62">
        <f t="shared" si="4"/>
        <v>25000</v>
      </c>
      <c r="I33" s="62">
        <f t="shared" si="4"/>
        <v>25000</v>
      </c>
      <c r="J33" s="62">
        <f t="shared" si="4"/>
        <v>25000</v>
      </c>
      <c r="K33" s="62">
        <f t="shared" si="4"/>
        <v>25000</v>
      </c>
      <c r="L33" s="62">
        <f t="shared" si="4"/>
        <v>25000</v>
      </c>
      <c r="M33" s="62">
        <f t="shared" si="4"/>
        <v>25000</v>
      </c>
      <c r="N33" s="62">
        <f t="shared" si="4"/>
        <v>25000</v>
      </c>
      <c r="O33" s="62">
        <f t="shared" si="4"/>
        <v>25000</v>
      </c>
      <c r="P33" s="62">
        <f t="shared" si="4"/>
        <v>25000</v>
      </c>
      <c r="Q33" s="62">
        <f t="shared" si="4"/>
        <v>25000</v>
      </c>
      <c r="R33" s="62">
        <f t="shared" si="4"/>
        <v>25000</v>
      </c>
    </row>
    <row r="34" spans="2:25" x14ac:dyDescent="0.35">
      <c r="B34" s="27"/>
      <c r="C34" s="2" t="s">
        <v>312</v>
      </c>
      <c r="D34" s="6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</row>
    <row r="35" spans="2:25" x14ac:dyDescent="0.35">
      <c r="B35" s="27"/>
      <c r="D35" s="6"/>
      <c r="E35" s="2" t="s">
        <v>6</v>
      </c>
      <c r="G35" s="57">
        <f>'Điểm hòa vốn'!L71</f>
        <v>350000</v>
      </c>
      <c r="H35" s="62">
        <f t="shared" si="4"/>
        <v>350000</v>
      </c>
      <c r="I35" s="62">
        <f t="shared" si="4"/>
        <v>350000</v>
      </c>
      <c r="J35" s="62">
        <f t="shared" si="4"/>
        <v>350000</v>
      </c>
      <c r="K35" s="62">
        <f t="shared" si="4"/>
        <v>350000</v>
      </c>
      <c r="L35" s="62">
        <f t="shared" si="4"/>
        <v>350000</v>
      </c>
      <c r="M35" s="62">
        <f t="shared" si="4"/>
        <v>350000</v>
      </c>
      <c r="N35" s="62">
        <f t="shared" si="4"/>
        <v>350000</v>
      </c>
      <c r="O35" s="62">
        <f t="shared" si="4"/>
        <v>350000</v>
      </c>
      <c r="P35" s="62">
        <f t="shared" si="4"/>
        <v>350000</v>
      </c>
      <c r="Q35" s="62">
        <f t="shared" si="4"/>
        <v>350000</v>
      </c>
      <c r="R35" s="62">
        <f t="shared" si="4"/>
        <v>350000</v>
      </c>
    </row>
    <row r="36" spans="2:25" x14ac:dyDescent="0.35">
      <c r="B36" s="27"/>
      <c r="D36" s="6"/>
      <c r="E36" s="2" t="s">
        <v>8</v>
      </c>
      <c r="G36" s="57">
        <f>'Điểm hòa vốn'!L72</f>
        <v>100000</v>
      </c>
      <c r="H36" s="62">
        <f t="shared" si="4"/>
        <v>100000</v>
      </c>
      <c r="I36" s="62">
        <f t="shared" si="4"/>
        <v>100000</v>
      </c>
      <c r="J36" s="62">
        <f t="shared" si="4"/>
        <v>100000</v>
      </c>
      <c r="K36" s="62">
        <f t="shared" si="4"/>
        <v>100000</v>
      </c>
      <c r="L36" s="62">
        <f t="shared" si="4"/>
        <v>100000</v>
      </c>
      <c r="M36" s="62">
        <f t="shared" si="4"/>
        <v>100000</v>
      </c>
      <c r="N36" s="62">
        <f t="shared" si="4"/>
        <v>100000</v>
      </c>
      <c r="O36" s="62">
        <f t="shared" si="4"/>
        <v>100000</v>
      </c>
      <c r="P36" s="62">
        <f t="shared" si="4"/>
        <v>100000</v>
      </c>
      <c r="Q36" s="62">
        <f t="shared" si="4"/>
        <v>100000</v>
      </c>
      <c r="R36" s="62">
        <f t="shared" si="4"/>
        <v>100000</v>
      </c>
    </row>
    <row r="37" spans="2:25" x14ac:dyDescent="0.35">
      <c r="B37" s="27"/>
      <c r="D37" s="6"/>
      <c r="E37" s="2" t="s">
        <v>7</v>
      </c>
      <c r="G37" s="57">
        <f>'Điểm hòa vốn'!L73</f>
        <v>100000</v>
      </c>
      <c r="H37" s="62">
        <f t="shared" si="4"/>
        <v>100000</v>
      </c>
      <c r="I37" s="62">
        <f t="shared" si="4"/>
        <v>100000</v>
      </c>
      <c r="J37" s="62">
        <f t="shared" si="4"/>
        <v>100000</v>
      </c>
      <c r="K37" s="62">
        <f t="shared" si="4"/>
        <v>100000</v>
      </c>
      <c r="L37" s="62">
        <f t="shared" si="4"/>
        <v>100000</v>
      </c>
      <c r="M37" s="62">
        <f t="shared" si="4"/>
        <v>100000</v>
      </c>
      <c r="N37" s="62">
        <f t="shared" si="4"/>
        <v>100000</v>
      </c>
      <c r="O37" s="62">
        <f t="shared" si="4"/>
        <v>100000</v>
      </c>
      <c r="P37" s="62">
        <f t="shared" si="4"/>
        <v>100000</v>
      </c>
      <c r="Q37" s="62">
        <f t="shared" si="4"/>
        <v>100000</v>
      </c>
      <c r="R37" s="62">
        <f t="shared" si="4"/>
        <v>100000</v>
      </c>
    </row>
    <row r="38" spans="2:25" x14ac:dyDescent="0.35">
      <c r="B38" s="27"/>
      <c r="C38" s="2" t="s">
        <v>28</v>
      </c>
      <c r="D38" s="6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</row>
    <row r="39" spans="2:25" x14ac:dyDescent="0.35">
      <c r="B39" s="27"/>
      <c r="D39" s="6"/>
      <c r="E39" s="2" t="s">
        <v>6</v>
      </c>
      <c r="G39" s="57">
        <f>'Điểm hòa vốn'!L75</f>
        <v>115000</v>
      </c>
      <c r="H39" s="62">
        <f t="shared" si="4"/>
        <v>115000</v>
      </c>
      <c r="I39" s="62">
        <f t="shared" si="4"/>
        <v>115000</v>
      </c>
      <c r="J39" s="62">
        <f t="shared" si="4"/>
        <v>115000</v>
      </c>
      <c r="K39" s="62">
        <f t="shared" si="4"/>
        <v>115000</v>
      </c>
      <c r="L39" s="62">
        <f t="shared" si="4"/>
        <v>115000</v>
      </c>
      <c r="M39" s="62">
        <f t="shared" si="4"/>
        <v>115000</v>
      </c>
      <c r="N39" s="62">
        <f t="shared" si="4"/>
        <v>115000</v>
      </c>
      <c r="O39" s="62">
        <f t="shared" si="4"/>
        <v>115000</v>
      </c>
      <c r="P39" s="62">
        <f t="shared" si="4"/>
        <v>115000</v>
      </c>
      <c r="Q39" s="62">
        <f t="shared" si="4"/>
        <v>115000</v>
      </c>
      <c r="R39" s="62">
        <f t="shared" si="4"/>
        <v>115000</v>
      </c>
    </row>
    <row r="40" spans="2:25" x14ac:dyDescent="0.35">
      <c r="B40" s="27"/>
      <c r="D40" s="6"/>
      <c r="E40" s="2" t="s">
        <v>8</v>
      </c>
      <c r="G40" s="57">
        <f>'Điểm hòa vốn'!L76</f>
        <v>115000</v>
      </c>
      <c r="H40" s="62">
        <f t="shared" si="4"/>
        <v>115000</v>
      </c>
      <c r="I40" s="62">
        <f t="shared" si="4"/>
        <v>115000</v>
      </c>
      <c r="J40" s="62">
        <f t="shared" si="4"/>
        <v>115000</v>
      </c>
      <c r="K40" s="62">
        <f t="shared" si="4"/>
        <v>115000</v>
      </c>
      <c r="L40" s="62">
        <f t="shared" si="4"/>
        <v>115000</v>
      </c>
      <c r="M40" s="62">
        <f t="shared" si="4"/>
        <v>115000</v>
      </c>
      <c r="N40" s="62">
        <f t="shared" si="4"/>
        <v>115000</v>
      </c>
      <c r="O40" s="62">
        <f t="shared" si="4"/>
        <v>115000</v>
      </c>
      <c r="P40" s="62">
        <f t="shared" si="4"/>
        <v>115000</v>
      </c>
      <c r="Q40" s="62">
        <f t="shared" si="4"/>
        <v>115000</v>
      </c>
      <c r="R40" s="62">
        <f t="shared" si="4"/>
        <v>115000</v>
      </c>
    </row>
    <row r="41" spans="2:25" x14ac:dyDescent="0.35">
      <c r="B41" s="27"/>
      <c r="D41" s="6"/>
      <c r="E41" s="2" t="s">
        <v>7</v>
      </c>
      <c r="G41" s="57">
        <f>'Điểm hòa vốn'!L77</f>
        <v>70000</v>
      </c>
      <c r="H41" s="62">
        <f t="shared" ref="H41:R42" si="5">$G41</f>
        <v>70000</v>
      </c>
      <c r="I41" s="62">
        <f t="shared" si="5"/>
        <v>70000</v>
      </c>
      <c r="J41" s="62">
        <f t="shared" si="5"/>
        <v>70000</v>
      </c>
      <c r="K41" s="62">
        <f t="shared" si="5"/>
        <v>70000</v>
      </c>
      <c r="L41" s="62">
        <f t="shared" si="5"/>
        <v>70000</v>
      </c>
      <c r="M41" s="62">
        <f t="shared" si="5"/>
        <v>70000</v>
      </c>
      <c r="N41" s="62">
        <f t="shared" si="5"/>
        <v>70000</v>
      </c>
      <c r="O41" s="62">
        <f t="shared" si="5"/>
        <v>70000</v>
      </c>
      <c r="P41" s="62">
        <f t="shared" si="5"/>
        <v>70000</v>
      </c>
      <c r="Q41" s="62">
        <f t="shared" si="5"/>
        <v>70000</v>
      </c>
      <c r="R41" s="62">
        <f t="shared" si="5"/>
        <v>70000</v>
      </c>
    </row>
    <row r="42" spans="2:25" x14ac:dyDescent="0.35">
      <c r="B42" s="27"/>
      <c r="D42" s="6"/>
      <c r="E42" s="2" t="s">
        <v>9</v>
      </c>
      <c r="G42" s="57">
        <f>'Điểm hòa vốn'!L78</f>
        <v>0</v>
      </c>
      <c r="H42" s="62">
        <f t="shared" si="5"/>
        <v>0</v>
      </c>
      <c r="I42" s="62">
        <f t="shared" si="5"/>
        <v>0</v>
      </c>
      <c r="J42" s="62">
        <f t="shared" si="5"/>
        <v>0</v>
      </c>
      <c r="K42" s="62">
        <f t="shared" si="5"/>
        <v>0</v>
      </c>
      <c r="L42" s="62">
        <f t="shared" si="5"/>
        <v>0</v>
      </c>
      <c r="M42" s="62">
        <f t="shared" si="5"/>
        <v>0</v>
      </c>
      <c r="N42" s="62">
        <f t="shared" si="5"/>
        <v>0</v>
      </c>
      <c r="O42" s="62">
        <f t="shared" si="5"/>
        <v>0</v>
      </c>
      <c r="P42" s="62">
        <f t="shared" si="5"/>
        <v>0</v>
      </c>
      <c r="Q42" s="62">
        <f t="shared" si="5"/>
        <v>0</v>
      </c>
      <c r="R42" s="62">
        <f t="shared" si="5"/>
        <v>0</v>
      </c>
    </row>
    <row r="43" spans="2:25" x14ac:dyDescent="0.35">
      <c r="B43" s="27" t="s">
        <v>11</v>
      </c>
      <c r="D43" s="6"/>
      <c r="R43" s="58"/>
    </row>
    <row r="44" spans="2:25" outlineLevel="1" x14ac:dyDescent="0.35">
      <c r="E44" s="2" t="s">
        <v>6</v>
      </c>
      <c r="F44" s="57">
        <f>SUM(G44:R44)</f>
        <v>13146</v>
      </c>
      <c r="G44" s="62">
        <f t="shared" ref="G44:R45" si="6">G12*G18</f>
        <v>1160</v>
      </c>
      <c r="H44" s="62">
        <f t="shared" si="6"/>
        <v>386</v>
      </c>
      <c r="I44" s="62">
        <f t="shared" si="6"/>
        <v>1160</v>
      </c>
      <c r="J44" s="62">
        <f t="shared" si="6"/>
        <v>1160</v>
      </c>
      <c r="K44" s="62">
        <f t="shared" si="6"/>
        <v>1160</v>
      </c>
      <c r="L44" s="62">
        <f t="shared" si="6"/>
        <v>1160</v>
      </c>
      <c r="M44" s="62">
        <f t="shared" si="6"/>
        <v>1160</v>
      </c>
      <c r="N44" s="62">
        <f t="shared" si="6"/>
        <v>1160</v>
      </c>
      <c r="O44" s="62">
        <f t="shared" si="6"/>
        <v>1160</v>
      </c>
      <c r="P44" s="62">
        <f t="shared" si="6"/>
        <v>1160</v>
      </c>
      <c r="Q44" s="62">
        <f t="shared" si="6"/>
        <v>1160</v>
      </c>
      <c r="R44" s="62">
        <f t="shared" si="6"/>
        <v>1160</v>
      </c>
      <c r="S44" s="62"/>
      <c r="T44" s="62"/>
      <c r="U44" s="57"/>
      <c r="V44" s="96"/>
      <c r="W44" s="97"/>
      <c r="Y44" s="57"/>
    </row>
    <row r="45" spans="2:25" outlineLevel="1" x14ac:dyDescent="0.35">
      <c r="E45" s="2" t="s">
        <v>8</v>
      </c>
      <c r="F45" s="57">
        <f>SUM(G45:R45)</f>
        <v>1050</v>
      </c>
      <c r="G45" s="62">
        <f>G13*G19</f>
        <v>94</v>
      </c>
      <c r="H45" s="62">
        <f t="shared" si="6"/>
        <v>16</v>
      </c>
      <c r="I45" s="62">
        <f t="shared" si="6"/>
        <v>94</v>
      </c>
      <c r="J45" s="62">
        <f t="shared" si="6"/>
        <v>94</v>
      </c>
      <c r="K45" s="62">
        <f t="shared" si="6"/>
        <v>94</v>
      </c>
      <c r="L45" s="62">
        <f t="shared" si="6"/>
        <v>94</v>
      </c>
      <c r="M45" s="62">
        <f t="shared" si="6"/>
        <v>94</v>
      </c>
      <c r="N45" s="62">
        <f t="shared" si="6"/>
        <v>94</v>
      </c>
      <c r="O45" s="62">
        <f t="shared" si="6"/>
        <v>94</v>
      </c>
      <c r="P45" s="62">
        <f t="shared" si="6"/>
        <v>94</v>
      </c>
      <c r="Q45" s="62">
        <f t="shared" si="6"/>
        <v>94</v>
      </c>
      <c r="R45" s="62">
        <f t="shared" si="6"/>
        <v>94</v>
      </c>
      <c r="S45" s="62"/>
      <c r="T45" s="62"/>
      <c r="U45" s="57"/>
      <c r="V45" s="96"/>
      <c r="W45" s="97"/>
      <c r="Y45" s="57"/>
    </row>
    <row r="46" spans="2:25" outlineLevel="1" x14ac:dyDescent="0.35">
      <c r="E46" s="2" t="s">
        <v>7</v>
      </c>
      <c r="F46" s="57">
        <f>SUM(G46:R46)</f>
        <v>265.5</v>
      </c>
      <c r="G46" s="62">
        <f t="shared" ref="G46:R48" si="7">G14*G20</f>
        <v>24</v>
      </c>
      <c r="H46" s="62">
        <f t="shared" si="7"/>
        <v>1.5</v>
      </c>
      <c r="I46" s="62">
        <f t="shared" si="7"/>
        <v>24</v>
      </c>
      <c r="J46" s="62">
        <f t="shared" si="7"/>
        <v>24</v>
      </c>
      <c r="K46" s="62">
        <f t="shared" si="7"/>
        <v>24</v>
      </c>
      <c r="L46" s="62">
        <f t="shared" si="7"/>
        <v>24</v>
      </c>
      <c r="M46" s="62">
        <f t="shared" si="7"/>
        <v>24</v>
      </c>
      <c r="N46" s="62">
        <f t="shared" si="7"/>
        <v>24</v>
      </c>
      <c r="O46" s="62">
        <f t="shared" si="7"/>
        <v>24</v>
      </c>
      <c r="P46" s="62">
        <f t="shared" si="7"/>
        <v>24</v>
      </c>
      <c r="Q46" s="62">
        <f t="shared" si="7"/>
        <v>24</v>
      </c>
      <c r="R46" s="62">
        <f t="shared" si="7"/>
        <v>24</v>
      </c>
      <c r="S46" s="62"/>
      <c r="T46" s="62"/>
      <c r="U46" s="57"/>
      <c r="V46" s="96"/>
      <c r="W46" s="97"/>
      <c r="Y46" s="57"/>
    </row>
    <row r="47" spans="2:25" outlineLevel="1" x14ac:dyDescent="0.35">
      <c r="E47" s="2" t="s">
        <v>9</v>
      </c>
      <c r="F47" s="57">
        <f>SUM(G47:R47)</f>
        <v>0</v>
      </c>
      <c r="G47" s="62">
        <f t="shared" si="7"/>
        <v>0</v>
      </c>
      <c r="H47" s="62">
        <f t="shared" si="7"/>
        <v>0</v>
      </c>
      <c r="I47" s="62">
        <f t="shared" si="7"/>
        <v>0</v>
      </c>
      <c r="J47" s="62">
        <f t="shared" si="7"/>
        <v>0</v>
      </c>
      <c r="K47" s="62">
        <f t="shared" si="7"/>
        <v>0</v>
      </c>
      <c r="L47" s="62">
        <f t="shared" si="7"/>
        <v>0</v>
      </c>
      <c r="M47" s="62">
        <f t="shared" si="7"/>
        <v>0</v>
      </c>
      <c r="N47" s="62">
        <f t="shared" si="7"/>
        <v>0</v>
      </c>
      <c r="O47" s="62">
        <f t="shared" si="7"/>
        <v>0</v>
      </c>
      <c r="P47" s="62">
        <f t="shared" si="7"/>
        <v>0</v>
      </c>
      <c r="Q47" s="62">
        <f t="shared" si="7"/>
        <v>0</v>
      </c>
      <c r="R47" s="62">
        <f t="shared" si="7"/>
        <v>0</v>
      </c>
      <c r="S47" s="62"/>
      <c r="T47" s="62"/>
      <c r="U47" s="57"/>
      <c r="V47" s="96"/>
      <c r="W47" s="97"/>
      <c r="Y47" s="57"/>
    </row>
    <row r="48" spans="2:25" outlineLevel="1" x14ac:dyDescent="0.35">
      <c r="E48" s="2" t="s">
        <v>10</v>
      </c>
      <c r="F48" s="57">
        <f>SUM(G48:R48)</f>
        <v>0</v>
      </c>
      <c r="G48" s="62">
        <f t="shared" si="7"/>
        <v>0</v>
      </c>
      <c r="H48" s="62">
        <f t="shared" si="7"/>
        <v>0</v>
      </c>
      <c r="I48" s="62">
        <f t="shared" si="7"/>
        <v>0</v>
      </c>
      <c r="J48" s="62">
        <f t="shared" si="7"/>
        <v>0</v>
      </c>
      <c r="K48" s="62">
        <f t="shared" si="7"/>
        <v>0</v>
      </c>
      <c r="L48" s="62">
        <f t="shared" si="7"/>
        <v>0</v>
      </c>
      <c r="M48" s="62">
        <f t="shared" si="7"/>
        <v>0</v>
      </c>
      <c r="N48" s="62">
        <f t="shared" si="7"/>
        <v>0</v>
      </c>
      <c r="O48" s="62">
        <f t="shared" si="7"/>
        <v>0</v>
      </c>
      <c r="P48" s="62">
        <f t="shared" si="7"/>
        <v>0</v>
      </c>
      <c r="Q48" s="62">
        <f t="shared" si="7"/>
        <v>0</v>
      </c>
      <c r="R48" s="62">
        <f t="shared" si="7"/>
        <v>0</v>
      </c>
      <c r="S48" s="62"/>
      <c r="T48" s="62"/>
      <c r="U48" s="57"/>
      <c r="V48" s="96"/>
      <c r="W48" s="97"/>
      <c r="Y48" s="57"/>
    </row>
    <row r="49" spans="2:25" outlineLevel="1" x14ac:dyDescent="0.35">
      <c r="C49" s="309" t="s">
        <v>353</v>
      </c>
      <c r="D49" s="308"/>
      <c r="E49" s="308"/>
      <c r="F49" s="310">
        <f>SUM(F44:F48)</f>
        <v>14461.5</v>
      </c>
      <c r="G49" s="310">
        <f>SUM(G44:G48)</f>
        <v>1278</v>
      </c>
      <c r="H49" s="310">
        <f t="shared" ref="H49:R49" si="8">SUM(H44:H48)</f>
        <v>403.5</v>
      </c>
      <c r="I49" s="310">
        <f t="shared" si="8"/>
        <v>1278</v>
      </c>
      <c r="J49" s="310">
        <f t="shared" si="8"/>
        <v>1278</v>
      </c>
      <c r="K49" s="310">
        <f t="shared" si="8"/>
        <v>1278</v>
      </c>
      <c r="L49" s="310">
        <f t="shared" si="8"/>
        <v>1278</v>
      </c>
      <c r="M49" s="310">
        <f t="shared" si="8"/>
        <v>1278</v>
      </c>
      <c r="N49" s="310">
        <f t="shared" si="8"/>
        <v>1278</v>
      </c>
      <c r="O49" s="310">
        <f t="shared" si="8"/>
        <v>1278</v>
      </c>
      <c r="P49" s="310">
        <f t="shared" si="8"/>
        <v>1278</v>
      </c>
      <c r="Q49" s="310">
        <f t="shared" si="8"/>
        <v>1278</v>
      </c>
      <c r="R49" s="310">
        <f t="shared" si="8"/>
        <v>1278</v>
      </c>
      <c r="S49" s="62"/>
      <c r="T49" s="62"/>
      <c r="U49" s="57"/>
      <c r="V49" s="96"/>
      <c r="W49" s="97"/>
      <c r="Y49" s="57"/>
    </row>
    <row r="50" spans="2:25" x14ac:dyDescent="0.35">
      <c r="B50" s="27" t="s">
        <v>307</v>
      </c>
      <c r="D50" s="55"/>
      <c r="F50" s="58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59"/>
      <c r="S50" s="59"/>
      <c r="T50" s="59"/>
      <c r="U50" s="59"/>
      <c r="V50" s="118"/>
      <c r="Y50" s="59"/>
    </row>
    <row r="51" spans="2:25" x14ac:dyDescent="0.35">
      <c r="B51" s="27"/>
      <c r="D51" s="55"/>
      <c r="E51" s="2" t="s">
        <v>23</v>
      </c>
      <c r="F51" s="57">
        <f t="shared" ref="F51:F60" si="9">SUM(G51:R51)</f>
        <v>508.55621666252148</v>
      </c>
      <c r="G51" s="195">
        <f>SUMPRODUCT(G25:G29,G18:G22)/10^6</f>
        <v>44.972483888515626</v>
      </c>
      <c r="H51" s="195">
        <f t="shared" ref="H51:R51" si="10">SUMPRODUCT(H25:H29,H18:H22)/10^6</f>
        <v>13.858893888849611</v>
      </c>
      <c r="I51" s="195">
        <f t="shared" si="10"/>
        <v>44.972483888515626</v>
      </c>
      <c r="J51" s="195">
        <f t="shared" si="10"/>
        <v>44.972483888515626</v>
      </c>
      <c r="K51" s="195">
        <f t="shared" si="10"/>
        <v>44.972483888515626</v>
      </c>
      <c r="L51" s="195">
        <f t="shared" si="10"/>
        <v>44.972483888515626</v>
      </c>
      <c r="M51" s="195">
        <f t="shared" si="10"/>
        <v>44.972483888515626</v>
      </c>
      <c r="N51" s="195">
        <f t="shared" si="10"/>
        <v>44.972483888515626</v>
      </c>
      <c r="O51" s="195">
        <f t="shared" si="10"/>
        <v>44.972483888515626</v>
      </c>
      <c r="P51" s="195">
        <f t="shared" si="10"/>
        <v>44.972483888515626</v>
      </c>
      <c r="Q51" s="195">
        <f t="shared" si="10"/>
        <v>44.972483888515626</v>
      </c>
      <c r="R51" s="195">
        <f t="shared" si="10"/>
        <v>44.972483888515626</v>
      </c>
      <c r="S51" s="59"/>
      <c r="T51" s="59"/>
      <c r="U51" s="59"/>
      <c r="V51" s="118"/>
      <c r="Y51" s="59"/>
    </row>
    <row r="52" spans="2:25" x14ac:dyDescent="0.35">
      <c r="C52" s="6"/>
      <c r="D52" s="6"/>
      <c r="E52" s="2" t="s">
        <v>179</v>
      </c>
      <c r="F52" s="57">
        <f t="shared" si="9"/>
        <v>657.34500000000014</v>
      </c>
      <c r="G52" s="195">
        <f>SUMPRODUCT(G31:G33,G18:G20)/10^6</f>
        <v>58.1</v>
      </c>
      <c r="H52" s="195">
        <f t="shared" ref="H52:R52" si="11">SUMPRODUCT(H31:H33,H18:H20)/10^6</f>
        <v>18.245000000000001</v>
      </c>
      <c r="I52" s="195">
        <f t="shared" si="11"/>
        <v>58.1</v>
      </c>
      <c r="J52" s="195">
        <f t="shared" si="11"/>
        <v>58.1</v>
      </c>
      <c r="K52" s="195">
        <f t="shared" si="11"/>
        <v>58.1</v>
      </c>
      <c r="L52" s="195">
        <f t="shared" si="11"/>
        <v>58.1</v>
      </c>
      <c r="M52" s="195">
        <f t="shared" si="11"/>
        <v>58.1</v>
      </c>
      <c r="N52" s="195">
        <f t="shared" si="11"/>
        <v>58.1</v>
      </c>
      <c r="O52" s="195">
        <f t="shared" si="11"/>
        <v>58.1</v>
      </c>
      <c r="P52" s="195">
        <f t="shared" si="11"/>
        <v>58.1</v>
      </c>
      <c r="Q52" s="195">
        <f t="shared" si="11"/>
        <v>58.1</v>
      </c>
      <c r="R52" s="195">
        <f t="shared" si="11"/>
        <v>58.1</v>
      </c>
      <c r="S52" s="85"/>
      <c r="T52" s="85"/>
      <c r="U52" s="85"/>
      <c r="V52" s="85"/>
      <c r="W52" s="85"/>
      <c r="X52" s="85"/>
      <c r="Y52" s="85"/>
    </row>
    <row r="53" spans="2:25" x14ac:dyDescent="0.35">
      <c r="C53" s="6"/>
      <c r="D53" s="6"/>
      <c r="E53" s="2" t="s">
        <v>312</v>
      </c>
      <c r="F53" s="57">
        <f t="shared" si="9"/>
        <v>2458.65</v>
      </c>
      <c r="G53" s="195">
        <f>SUMPRODUCT(G35:G37,G18:G20)/10^6</f>
        <v>217.2</v>
      </c>
      <c r="H53" s="195">
        <f t="shared" ref="H53:R53" si="12">SUMPRODUCT(H35:H37,H18:H20)/10^6</f>
        <v>69.45</v>
      </c>
      <c r="I53" s="195">
        <f t="shared" si="12"/>
        <v>217.2</v>
      </c>
      <c r="J53" s="195">
        <f t="shared" si="12"/>
        <v>217.2</v>
      </c>
      <c r="K53" s="195">
        <f t="shared" si="12"/>
        <v>217.2</v>
      </c>
      <c r="L53" s="195">
        <f t="shared" si="12"/>
        <v>217.2</v>
      </c>
      <c r="M53" s="195">
        <f t="shared" si="12"/>
        <v>217.2</v>
      </c>
      <c r="N53" s="195">
        <f t="shared" si="12"/>
        <v>217.2</v>
      </c>
      <c r="O53" s="195">
        <f t="shared" si="12"/>
        <v>217.2</v>
      </c>
      <c r="P53" s="195">
        <f t="shared" si="12"/>
        <v>217.2</v>
      </c>
      <c r="Q53" s="195">
        <f t="shared" si="12"/>
        <v>217.2</v>
      </c>
      <c r="R53" s="195">
        <f t="shared" si="12"/>
        <v>217.2</v>
      </c>
      <c r="S53" s="85"/>
      <c r="T53" s="85"/>
      <c r="U53" s="85"/>
      <c r="V53" s="85"/>
      <c r="W53" s="85"/>
      <c r="X53" s="85"/>
      <c r="Y53" s="85"/>
    </row>
    <row r="54" spans="2:25" x14ac:dyDescent="0.35">
      <c r="E54" s="2" t="s">
        <v>28</v>
      </c>
      <c r="F54" s="57">
        <f t="shared" si="9"/>
        <v>913.81500000000005</v>
      </c>
      <c r="G54" s="195">
        <f>SUMPRODUCT(G39:G41,G18:G20)/10^6</f>
        <v>80.87</v>
      </c>
      <c r="H54" s="195">
        <f t="shared" ref="H54:R54" si="13">SUMPRODUCT(H39:H41,H18:H20)/10^6</f>
        <v>24.245000000000001</v>
      </c>
      <c r="I54" s="195">
        <f t="shared" si="13"/>
        <v>80.87</v>
      </c>
      <c r="J54" s="195">
        <f t="shared" si="13"/>
        <v>80.87</v>
      </c>
      <c r="K54" s="195">
        <f t="shared" si="13"/>
        <v>80.87</v>
      </c>
      <c r="L54" s="195">
        <f t="shared" si="13"/>
        <v>80.87</v>
      </c>
      <c r="M54" s="195">
        <f t="shared" si="13"/>
        <v>80.87</v>
      </c>
      <c r="N54" s="195">
        <f t="shared" si="13"/>
        <v>80.87</v>
      </c>
      <c r="O54" s="195">
        <f t="shared" si="13"/>
        <v>80.87</v>
      </c>
      <c r="P54" s="195">
        <f t="shared" si="13"/>
        <v>80.87</v>
      </c>
      <c r="Q54" s="195">
        <f t="shared" si="13"/>
        <v>80.87</v>
      </c>
      <c r="R54" s="195">
        <f t="shared" si="13"/>
        <v>80.87</v>
      </c>
      <c r="S54" s="62"/>
      <c r="T54" s="62"/>
      <c r="U54" s="57"/>
      <c r="V54" s="96"/>
      <c r="W54" s="97"/>
      <c r="Y54" s="57"/>
    </row>
    <row r="55" spans="2:25" x14ac:dyDescent="0.35">
      <c r="E55" s="2" t="s">
        <v>182</v>
      </c>
      <c r="F55" s="62">
        <f t="shared" si="9"/>
        <v>986.96791666666638</v>
      </c>
      <c r="G55" s="62">
        <f>'Điểm hòa vốn'!L45</f>
        <v>82.247326388888879</v>
      </c>
      <c r="H55" s="62">
        <f>'Điểm hòa vốn'!$L45</f>
        <v>82.247326388888879</v>
      </c>
      <c r="I55" s="62">
        <f>'Điểm hòa vốn'!$L45</f>
        <v>82.247326388888879</v>
      </c>
      <c r="J55" s="62">
        <f>'Điểm hòa vốn'!$L45</f>
        <v>82.247326388888879</v>
      </c>
      <c r="K55" s="62">
        <f>'Điểm hòa vốn'!$L45</f>
        <v>82.247326388888879</v>
      </c>
      <c r="L55" s="62">
        <f>'Điểm hòa vốn'!$L45</f>
        <v>82.247326388888879</v>
      </c>
      <c r="M55" s="62">
        <f>'Điểm hòa vốn'!$L45</f>
        <v>82.247326388888879</v>
      </c>
      <c r="N55" s="62">
        <f>'Điểm hòa vốn'!$L45</f>
        <v>82.247326388888879</v>
      </c>
      <c r="O55" s="62">
        <f>'Điểm hòa vốn'!$L45</f>
        <v>82.247326388888879</v>
      </c>
      <c r="P55" s="62">
        <f>'Điểm hòa vốn'!$L45</f>
        <v>82.247326388888879</v>
      </c>
      <c r="Q55" s="62">
        <f>'Điểm hòa vốn'!$L45</f>
        <v>82.247326388888879</v>
      </c>
      <c r="R55" s="62">
        <f>'Điểm hòa vốn'!$L45</f>
        <v>82.247326388888879</v>
      </c>
      <c r="S55" s="62"/>
      <c r="T55" s="62"/>
      <c r="U55" s="57"/>
      <c r="V55" s="96"/>
      <c r="W55" s="97"/>
      <c r="Y55" s="57"/>
    </row>
    <row r="56" spans="2:25" x14ac:dyDescent="0.35">
      <c r="E56" s="2" t="s">
        <v>310</v>
      </c>
      <c r="F56" s="57">
        <f t="shared" si="9"/>
        <v>999.67</v>
      </c>
      <c r="G56" s="62">
        <f>'Điểm hòa vốn'!L43</f>
        <v>83.305833333333325</v>
      </c>
      <c r="H56" s="62">
        <f>$G56</f>
        <v>83.305833333333325</v>
      </c>
      <c r="I56" s="62">
        <f t="shared" ref="I56:R56" si="14">$G56</f>
        <v>83.305833333333325</v>
      </c>
      <c r="J56" s="62">
        <f t="shared" si="14"/>
        <v>83.305833333333325</v>
      </c>
      <c r="K56" s="62">
        <f t="shared" si="14"/>
        <v>83.305833333333325</v>
      </c>
      <c r="L56" s="62">
        <f t="shared" si="14"/>
        <v>83.305833333333325</v>
      </c>
      <c r="M56" s="62">
        <f t="shared" si="14"/>
        <v>83.305833333333325</v>
      </c>
      <c r="N56" s="62">
        <f t="shared" si="14"/>
        <v>83.305833333333325</v>
      </c>
      <c r="O56" s="62">
        <f t="shared" si="14"/>
        <v>83.305833333333325</v>
      </c>
      <c r="P56" s="62">
        <f t="shared" si="14"/>
        <v>83.305833333333325</v>
      </c>
      <c r="Q56" s="62">
        <f t="shared" si="14"/>
        <v>83.305833333333325</v>
      </c>
      <c r="R56" s="62">
        <f t="shared" si="14"/>
        <v>83.305833333333325</v>
      </c>
      <c r="S56" s="62"/>
      <c r="T56" s="62"/>
      <c r="U56" s="57"/>
      <c r="V56" s="96"/>
      <c r="W56" s="97"/>
      <c r="Y56" s="57"/>
    </row>
    <row r="57" spans="2:25" x14ac:dyDescent="0.35">
      <c r="E57" s="2" t="s">
        <v>408</v>
      </c>
      <c r="F57" s="57">
        <f t="shared" si="9"/>
        <v>1225.0919999999999</v>
      </c>
      <c r="G57" s="62">
        <f>'Điểm hòa vốn'!L42</f>
        <v>102.09099999999999</v>
      </c>
      <c r="H57" s="62">
        <f t="shared" ref="H57:R59" si="15">$G57</f>
        <v>102.09099999999999</v>
      </c>
      <c r="I57" s="62">
        <f t="shared" si="15"/>
        <v>102.09099999999999</v>
      </c>
      <c r="J57" s="62">
        <f t="shared" si="15"/>
        <v>102.09099999999999</v>
      </c>
      <c r="K57" s="62">
        <f t="shared" si="15"/>
        <v>102.09099999999999</v>
      </c>
      <c r="L57" s="62">
        <f t="shared" si="15"/>
        <v>102.09099999999999</v>
      </c>
      <c r="M57" s="62">
        <f t="shared" si="15"/>
        <v>102.09099999999999</v>
      </c>
      <c r="N57" s="62">
        <f t="shared" si="15"/>
        <v>102.09099999999999</v>
      </c>
      <c r="O57" s="62">
        <f t="shared" si="15"/>
        <v>102.09099999999999</v>
      </c>
      <c r="P57" s="62">
        <f t="shared" si="15"/>
        <v>102.09099999999999</v>
      </c>
      <c r="Q57" s="62">
        <f t="shared" si="15"/>
        <v>102.09099999999999</v>
      </c>
      <c r="R57" s="62">
        <f t="shared" si="15"/>
        <v>102.09099999999999</v>
      </c>
      <c r="S57" s="62"/>
      <c r="T57" s="62"/>
      <c r="U57" s="57"/>
      <c r="V57" s="96"/>
      <c r="W57" s="97"/>
      <c r="Y57" s="57"/>
    </row>
    <row r="58" spans="2:25" x14ac:dyDescent="0.35">
      <c r="E58" s="2" t="s">
        <v>420</v>
      </c>
      <c r="F58" s="57">
        <f t="shared" si="9"/>
        <v>849.13737909090878</v>
      </c>
      <c r="G58" s="62">
        <f>'Điểm hòa vốn'!L44+'Điểm hòa vốn'!L54</f>
        <v>70.761448257575751</v>
      </c>
      <c r="H58" s="62">
        <f t="shared" si="15"/>
        <v>70.761448257575751</v>
      </c>
      <c r="I58" s="62">
        <f t="shared" si="15"/>
        <v>70.761448257575751</v>
      </c>
      <c r="J58" s="62">
        <f t="shared" si="15"/>
        <v>70.761448257575751</v>
      </c>
      <c r="K58" s="62">
        <f t="shared" si="15"/>
        <v>70.761448257575751</v>
      </c>
      <c r="L58" s="62">
        <f t="shared" si="15"/>
        <v>70.761448257575751</v>
      </c>
      <c r="M58" s="62">
        <f t="shared" si="15"/>
        <v>70.761448257575751</v>
      </c>
      <c r="N58" s="62">
        <f t="shared" si="15"/>
        <v>70.761448257575751</v>
      </c>
      <c r="O58" s="62">
        <f t="shared" si="15"/>
        <v>70.761448257575751</v>
      </c>
      <c r="P58" s="62">
        <f t="shared" si="15"/>
        <v>70.761448257575751</v>
      </c>
      <c r="Q58" s="62">
        <f t="shared" si="15"/>
        <v>70.761448257575751</v>
      </c>
      <c r="R58" s="62">
        <f t="shared" si="15"/>
        <v>70.761448257575751</v>
      </c>
      <c r="S58" s="62"/>
      <c r="T58" s="62"/>
      <c r="U58" s="57"/>
      <c r="V58" s="96"/>
      <c r="W58" s="97"/>
      <c r="Y58" s="57"/>
    </row>
    <row r="59" spans="2:25" x14ac:dyDescent="0.35">
      <c r="E59" s="2" t="s">
        <v>421</v>
      </c>
      <c r="F59" s="57">
        <f t="shared" si="9"/>
        <v>1533.5999999999997</v>
      </c>
      <c r="G59" s="62">
        <f>10%*G49</f>
        <v>127.80000000000001</v>
      </c>
      <c r="H59" s="62">
        <f t="shared" si="15"/>
        <v>127.80000000000001</v>
      </c>
      <c r="I59" s="62">
        <f t="shared" si="15"/>
        <v>127.80000000000001</v>
      </c>
      <c r="J59" s="62">
        <f t="shared" si="15"/>
        <v>127.80000000000001</v>
      </c>
      <c r="K59" s="62">
        <f t="shared" si="15"/>
        <v>127.80000000000001</v>
      </c>
      <c r="L59" s="62">
        <f t="shared" si="15"/>
        <v>127.80000000000001</v>
      </c>
      <c r="M59" s="62">
        <f t="shared" si="15"/>
        <v>127.80000000000001</v>
      </c>
      <c r="N59" s="62">
        <f t="shared" si="15"/>
        <v>127.80000000000001</v>
      </c>
      <c r="O59" s="62">
        <f t="shared" si="15"/>
        <v>127.80000000000001</v>
      </c>
      <c r="P59" s="62">
        <f t="shared" si="15"/>
        <v>127.80000000000001</v>
      </c>
      <c r="Q59" s="62">
        <f t="shared" si="15"/>
        <v>127.80000000000001</v>
      </c>
      <c r="R59" s="62">
        <f t="shared" si="15"/>
        <v>127.80000000000001</v>
      </c>
      <c r="S59" s="62"/>
      <c r="T59" s="62"/>
      <c r="U59" s="57"/>
      <c r="V59" s="96"/>
      <c r="W59" s="97"/>
      <c r="Y59" s="57"/>
    </row>
    <row r="60" spans="2:25" x14ac:dyDescent="0.35">
      <c r="E60" s="2" t="s">
        <v>691</v>
      </c>
      <c r="F60" s="57">
        <f t="shared" si="9"/>
        <v>723.07499999999993</v>
      </c>
      <c r="G60" s="62">
        <f>5%*G49</f>
        <v>63.900000000000006</v>
      </c>
      <c r="H60" s="62">
        <f t="shared" ref="H60:R60" si="16">5%*H49</f>
        <v>20.175000000000001</v>
      </c>
      <c r="I60" s="62">
        <f t="shared" si="16"/>
        <v>63.900000000000006</v>
      </c>
      <c r="J60" s="62">
        <f t="shared" si="16"/>
        <v>63.900000000000006</v>
      </c>
      <c r="K60" s="62">
        <f t="shared" si="16"/>
        <v>63.900000000000006</v>
      </c>
      <c r="L60" s="62">
        <f t="shared" si="16"/>
        <v>63.900000000000006</v>
      </c>
      <c r="M60" s="62">
        <f t="shared" si="16"/>
        <v>63.900000000000006</v>
      </c>
      <c r="N60" s="62">
        <f t="shared" si="16"/>
        <v>63.900000000000006</v>
      </c>
      <c r="O60" s="62">
        <f t="shared" si="16"/>
        <v>63.900000000000006</v>
      </c>
      <c r="P60" s="62">
        <f t="shared" si="16"/>
        <v>63.900000000000006</v>
      </c>
      <c r="Q60" s="62">
        <f t="shared" si="16"/>
        <v>63.900000000000006</v>
      </c>
      <c r="R60" s="62">
        <f t="shared" si="16"/>
        <v>63.900000000000006</v>
      </c>
      <c r="S60" s="62"/>
      <c r="T60" s="62"/>
      <c r="U60" s="57"/>
      <c r="V60" s="96"/>
      <c r="W60" s="97"/>
      <c r="Y60" s="57"/>
    </row>
    <row r="61" spans="2:25" ht="13.15" thickBot="1" x14ac:dyDescent="0.4">
      <c r="C61" s="223" t="s">
        <v>308</v>
      </c>
      <c r="D61" s="100"/>
      <c r="E61" s="100"/>
      <c r="F61" s="243">
        <f t="shared" ref="F61" si="17">SUM(F51:F59)</f>
        <v>10132.833512420097</v>
      </c>
      <c r="G61" s="243">
        <f>SUM(G51:G60)</f>
        <v>931.24809186831351</v>
      </c>
      <c r="H61" s="243">
        <f t="shared" ref="H61:R61" si="18">SUM(H51:H60)</f>
        <v>612.17950186864755</v>
      </c>
      <c r="I61" s="243">
        <f t="shared" si="18"/>
        <v>931.24809186831351</v>
      </c>
      <c r="J61" s="243">
        <f t="shared" si="18"/>
        <v>931.24809186831351</v>
      </c>
      <c r="K61" s="243">
        <f t="shared" si="18"/>
        <v>931.24809186831351</v>
      </c>
      <c r="L61" s="243">
        <f t="shared" si="18"/>
        <v>931.24809186831351</v>
      </c>
      <c r="M61" s="243">
        <f t="shared" si="18"/>
        <v>931.24809186831351</v>
      </c>
      <c r="N61" s="243">
        <f t="shared" si="18"/>
        <v>931.24809186831351</v>
      </c>
      <c r="O61" s="243">
        <f t="shared" si="18"/>
        <v>931.24809186831351</v>
      </c>
      <c r="P61" s="243">
        <f t="shared" si="18"/>
        <v>931.24809186831351</v>
      </c>
      <c r="Q61" s="243">
        <f t="shared" si="18"/>
        <v>931.24809186831351</v>
      </c>
      <c r="R61" s="243">
        <f t="shared" si="18"/>
        <v>931.24809186831351</v>
      </c>
      <c r="S61" s="62"/>
      <c r="T61" s="62"/>
      <c r="U61" s="57"/>
      <c r="V61" s="96"/>
      <c r="W61" s="97"/>
      <c r="Y61" s="57"/>
    </row>
    <row r="62" spans="2:25" x14ac:dyDescent="0.35">
      <c r="B62" s="89" t="s">
        <v>190</v>
      </c>
      <c r="C62" s="90"/>
      <c r="D62" s="90"/>
      <c r="E62" s="91"/>
      <c r="F62" s="92">
        <f t="shared" ref="F62:R62" si="19">F49-F61</f>
        <v>4328.6664875799033</v>
      </c>
      <c r="G62" s="92">
        <f>G49-G61</f>
        <v>346.75190813168649</v>
      </c>
      <c r="H62" s="92">
        <f t="shared" si="19"/>
        <v>-208.67950186864755</v>
      </c>
      <c r="I62" s="92">
        <f t="shared" si="19"/>
        <v>346.75190813168649</v>
      </c>
      <c r="J62" s="92">
        <f t="shared" si="19"/>
        <v>346.75190813168649</v>
      </c>
      <c r="K62" s="92">
        <f t="shared" si="19"/>
        <v>346.75190813168649</v>
      </c>
      <c r="L62" s="92">
        <f t="shared" si="19"/>
        <v>346.75190813168649</v>
      </c>
      <c r="M62" s="92">
        <f t="shared" si="19"/>
        <v>346.75190813168649</v>
      </c>
      <c r="N62" s="92">
        <f t="shared" si="19"/>
        <v>346.75190813168649</v>
      </c>
      <c r="O62" s="92">
        <f t="shared" si="19"/>
        <v>346.75190813168649</v>
      </c>
      <c r="P62" s="92">
        <f t="shared" si="19"/>
        <v>346.75190813168649</v>
      </c>
      <c r="Q62" s="92">
        <f t="shared" si="19"/>
        <v>346.75190813168649</v>
      </c>
      <c r="R62" s="92">
        <f t="shared" si="19"/>
        <v>346.75190813168649</v>
      </c>
      <c r="S62" s="92"/>
      <c r="T62" s="92"/>
      <c r="U62" s="92"/>
      <c r="V62" s="104"/>
      <c r="W62" s="92"/>
      <c r="X62" s="92"/>
      <c r="Y62" s="92"/>
    </row>
    <row r="63" spans="2:25" x14ac:dyDescent="0.35">
      <c r="E63" s="2" t="s">
        <v>45</v>
      </c>
      <c r="F63" s="62">
        <f>SUM(G63:R63)</f>
        <v>-1062.1986164383561</v>
      </c>
      <c r="G63" s="84">
        <f>-'Điểm hòa vốn'!L46</f>
        <v>-88.516551369863009</v>
      </c>
      <c r="H63" s="84">
        <f>$G$63</f>
        <v>-88.516551369863009</v>
      </c>
      <c r="I63" s="84">
        <f t="shared" ref="I63:R63" si="20">$G$63</f>
        <v>-88.516551369863009</v>
      </c>
      <c r="J63" s="84">
        <f t="shared" si="20"/>
        <v>-88.516551369863009</v>
      </c>
      <c r="K63" s="84">
        <f t="shared" si="20"/>
        <v>-88.516551369863009</v>
      </c>
      <c r="L63" s="84">
        <f t="shared" si="20"/>
        <v>-88.516551369863009</v>
      </c>
      <c r="M63" s="84">
        <f t="shared" si="20"/>
        <v>-88.516551369863009</v>
      </c>
      <c r="N63" s="84">
        <f t="shared" si="20"/>
        <v>-88.516551369863009</v>
      </c>
      <c r="O63" s="84">
        <f t="shared" si="20"/>
        <v>-88.516551369863009</v>
      </c>
      <c r="P63" s="84">
        <f t="shared" si="20"/>
        <v>-88.516551369863009</v>
      </c>
      <c r="Q63" s="84">
        <f t="shared" si="20"/>
        <v>-88.516551369863009</v>
      </c>
      <c r="R63" s="84">
        <f t="shared" si="20"/>
        <v>-88.516551369863009</v>
      </c>
    </row>
    <row r="64" spans="2:25" x14ac:dyDescent="0.35">
      <c r="E64" s="2" t="s">
        <v>41</v>
      </c>
      <c r="F64" s="62">
        <f>SUM(G64:R64)</f>
        <v>-3094.70586</v>
      </c>
      <c r="G64" s="62">
        <f>-'Điểm hòa vốn'!L47</f>
        <v>-257.892155</v>
      </c>
      <c r="H64" s="62">
        <f>$G64</f>
        <v>-257.892155</v>
      </c>
      <c r="I64" s="62">
        <f t="shared" ref="I64:R64" si="21">$G64</f>
        <v>-257.892155</v>
      </c>
      <c r="J64" s="62">
        <f t="shared" si="21"/>
        <v>-257.892155</v>
      </c>
      <c r="K64" s="62">
        <f t="shared" si="21"/>
        <v>-257.892155</v>
      </c>
      <c r="L64" s="62">
        <f t="shared" si="21"/>
        <v>-257.892155</v>
      </c>
      <c r="M64" s="62">
        <f t="shared" si="21"/>
        <v>-257.892155</v>
      </c>
      <c r="N64" s="62">
        <f t="shared" si="21"/>
        <v>-257.892155</v>
      </c>
      <c r="O64" s="62">
        <f t="shared" si="21"/>
        <v>-257.892155</v>
      </c>
      <c r="P64" s="62">
        <f t="shared" si="21"/>
        <v>-257.892155</v>
      </c>
      <c r="Q64" s="62">
        <f t="shared" si="21"/>
        <v>-257.892155</v>
      </c>
      <c r="R64" s="62">
        <f t="shared" si="21"/>
        <v>-257.892155</v>
      </c>
    </row>
    <row r="65" spans="2:18" x14ac:dyDescent="0.35">
      <c r="B65" s="6" t="s">
        <v>422</v>
      </c>
      <c r="F65" s="218">
        <f>SUM(F62:F64)</f>
        <v>171.76201114154719</v>
      </c>
      <c r="G65" s="218">
        <f t="shared" ref="G65:R65" si="22">SUM(G62:G64)</f>
        <v>0.3432017618234795</v>
      </c>
      <c r="H65" s="218">
        <f t="shared" si="22"/>
        <v>-555.08820823851056</v>
      </c>
      <c r="I65" s="218">
        <f t="shared" si="22"/>
        <v>0.3432017618234795</v>
      </c>
      <c r="J65" s="218">
        <f t="shared" si="22"/>
        <v>0.3432017618234795</v>
      </c>
      <c r="K65" s="218">
        <f t="shared" si="22"/>
        <v>0.3432017618234795</v>
      </c>
      <c r="L65" s="218">
        <f t="shared" si="22"/>
        <v>0.3432017618234795</v>
      </c>
      <c r="M65" s="218">
        <f t="shared" si="22"/>
        <v>0.3432017618234795</v>
      </c>
      <c r="N65" s="218">
        <f t="shared" si="22"/>
        <v>0.3432017618234795</v>
      </c>
      <c r="O65" s="218">
        <f t="shared" si="22"/>
        <v>0.3432017618234795</v>
      </c>
      <c r="P65" s="218">
        <f t="shared" si="22"/>
        <v>0.3432017618234795</v>
      </c>
      <c r="Q65" s="218">
        <f t="shared" si="22"/>
        <v>0.3432017618234795</v>
      </c>
      <c r="R65" s="218">
        <f t="shared" si="22"/>
        <v>0.3432017618234795</v>
      </c>
    </row>
    <row r="66" spans="2:18" x14ac:dyDescent="0.35">
      <c r="B66" s="6"/>
      <c r="F66" s="62"/>
    </row>
    <row r="67" spans="2:18" x14ac:dyDescent="0.35">
      <c r="E67" s="2" t="s">
        <v>354</v>
      </c>
      <c r="F67" s="62">
        <f>'VTB_Nha trang.'!C28</f>
        <v>-3046</v>
      </c>
    </row>
    <row r="68" spans="2:18" x14ac:dyDescent="0.35">
      <c r="F68" s="57"/>
    </row>
    <row r="70" spans="2:18" x14ac:dyDescent="0.35">
      <c r="B70" s="6" t="s">
        <v>440</v>
      </c>
      <c r="G70" s="84"/>
    </row>
    <row r="71" spans="2:18" x14ac:dyDescent="0.35">
      <c r="E71" s="2" t="s">
        <v>6</v>
      </c>
      <c r="F71" s="84">
        <f>SUM(G71:R71)</f>
        <v>9720</v>
      </c>
      <c r="G71" s="57">
        <f>30*9*60/20</f>
        <v>810</v>
      </c>
      <c r="H71" s="84">
        <f>$G71</f>
        <v>810</v>
      </c>
      <c r="I71" s="84">
        <f t="shared" ref="I71:R71" si="23">$G71</f>
        <v>810</v>
      </c>
      <c r="J71" s="84">
        <f t="shared" si="23"/>
        <v>810</v>
      </c>
      <c r="K71" s="84">
        <f t="shared" si="23"/>
        <v>810</v>
      </c>
      <c r="L71" s="84">
        <f t="shared" si="23"/>
        <v>810</v>
      </c>
      <c r="M71" s="84">
        <f t="shared" si="23"/>
        <v>810</v>
      </c>
      <c r="N71" s="84">
        <f t="shared" si="23"/>
        <v>810</v>
      </c>
      <c r="O71" s="84">
        <f t="shared" si="23"/>
        <v>810</v>
      </c>
      <c r="P71" s="84">
        <f t="shared" si="23"/>
        <v>810</v>
      </c>
      <c r="Q71" s="84">
        <f t="shared" si="23"/>
        <v>810</v>
      </c>
      <c r="R71" s="84">
        <f t="shared" si="23"/>
        <v>810</v>
      </c>
    </row>
    <row r="72" spans="2:18" x14ac:dyDescent="0.35">
      <c r="E72" s="2" t="s">
        <v>8</v>
      </c>
      <c r="F72" s="84">
        <f>SUM(G72:R72)</f>
        <v>19440</v>
      </c>
      <c r="G72" s="58">
        <f>30*9*60/10</f>
        <v>1620</v>
      </c>
      <c r="H72" s="84">
        <f t="shared" ref="H72:R73" si="24">$G72</f>
        <v>1620</v>
      </c>
      <c r="I72" s="84">
        <f t="shared" si="24"/>
        <v>1620</v>
      </c>
      <c r="J72" s="84">
        <f t="shared" si="24"/>
        <v>1620</v>
      </c>
      <c r="K72" s="84">
        <f t="shared" si="24"/>
        <v>1620</v>
      </c>
      <c r="L72" s="84">
        <f t="shared" si="24"/>
        <v>1620</v>
      </c>
      <c r="M72" s="84">
        <f t="shared" si="24"/>
        <v>1620</v>
      </c>
      <c r="N72" s="84">
        <f t="shared" si="24"/>
        <v>1620</v>
      </c>
      <c r="O72" s="84">
        <f t="shared" si="24"/>
        <v>1620</v>
      </c>
      <c r="P72" s="84">
        <f t="shared" si="24"/>
        <v>1620</v>
      </c>
      <c r="Q72" s="84">
        <f t="shared" si="24"/>
        <v>1620</v>
      </c>
      <c r="R72" s="84">
        <f t="shared" si="24"/>
        <v>1620</v>
      </c>
    </row>
    <row r="73" spans="2:18" x14ac:dyDescent="0.35">
      <c r="E73" s="2" t="s">
        <v>7</v>
      </c>
      <c r="F73" s="84">
        <f>SUM(G73:R73)</f>
        <v>12960</v>
      </c>
      <c r="G73" s="58">
        <f>30*9*60/15</f>
        <v>1080</v>
      </c>
      <c r="H73" s="84">
        <f t="shared" si="24"/>
        <v>1080</v>
      </c>
      <c r="I73" s="84">
        <f t="shared" si="24"/>
        <v>1080</v>
      </c>
      <c r="J73" s="84">
        <f t="shared" si="24"/>
        <v>1080</v>
      </c>
      <c r="K73" s="84">
        <f t="shared" si="24"/>
        <v>1080</v>
      </c>
      <c r="L73" s="84">
        <f t="shared" si="24"/>
        <v>1080</v>
      </c>
      <c r="M73" s="84">
        <f t="shared" si="24"/>
        <v>1080</v>
      </c>
      <c r="N73" s="84">
        <f t="shared" si="24"/>
        <v>1080</v>
      </c>
      <c r="O73" s="84">
        <f t="shared" si="24"/>
        <v>1080</v>
      </c>
      <c r="P73" s="84">
        <f t="shared" si="24"/>
        <v>1080</v>
      </c>
      <c r="Q73" s="84">
        <f t="shared" si="24"/>
        <v>1080</v>
      </c>
      <c r="R73" s="84">
        <f t="shared" si="24"/>
        <v>1080</v>
      </c>
    </row>
    <row r="74" spans="2:18" x14ac:dyDescent="0.35">
      <c r="B74" s="6" t="s">
        <v>439</v>
      </c>
    </row>
    <row r="75" spans="2:18" x14ac:dyDescent="0.35">
      <c r="E75" s="2" t="s">
        <v>6</v>
      </c>
      <c r="F75" s="201">
        <f t="shared" ref="F75:G77" si="25">F18/F71</f>
        <v>0.6762345679012346</v>
      </c>
      <c r="G75" s="201">
        <f t="shared" si="25"/>
        <v>0.71604938271604934</v>
      </c>
      <c r="H75" s="201">
        <f t="shared" ref="H75:R75" si="26">H18/H71</f>
        <v>0.2382716049382716</v>
      </c>
      <c r="I75" s="201">
        <f t="shared" si="26"/>
        <v>0.71604938271604934</v>
      </c>
      <c r="J75" s="201">
        <f t="shared" si="26"/>
        <v>0.71604938271604934</v>
      </c>
      <c r="K75" s="201">
        <f t="shared" si="26"/>
        <v>0.71604938271604934</v>
      </c>
      <c r="L75" s="201">
        <f t="shared" si="26"/>
        <v>0.71604938271604934</v>
      </c>
      <c r="M75" s="201">
        <f t="shared" si="26"/>
        <v>0.71604938271604934</v>
      </c>
      <c r="N75" s="201">
        <f t="shared" si="26"/>
        <v>0.71604938271604934</v>
      </c>
      <c r="O75" s="201">
        <f t="shared" si="26"/>
        <v>0.71604938271604934</v>
      </c>
      <c r="P75" s="201">
        <f t="shared" si="26"/>
        <v>0.71604938271604934</v>
      </c>
      <c r="Q75" s="201">
        <f t="shared" si="26"/>
        <v>0.71604938271604934</v>
      </c>
      <c r="R75" s="201">
        <f t="shared" si="26"/>
        <v>0.71604938271604934</v>
      </c>
    </row>
    <row r="76" spans="2:18" x14ac:dyDescent="0.35">
      <c r="E76" s="2" t="s">
        <v>8</v>
      </c>
      <c r="F76" s="201">
        <f t="shared" si="25"/>
        <v>5.4012345679012343E-2</v>
      </c>
      <c r="G76" s="201">
        <f t="shared" si="25"/>
        <v>5.802469135802469E-2</v>
      </c>
      <c r="H76" s="201">
        <f t="shared" ref="H76:R76" si="27">H19/H72</f>
        <v>9.876543209876543E-3</v>
      </c>
      <c r="I76" s="201">
        <f t="shared" si="27"/>
        <v>5.802469135802469E-2</v>
      </c>
      <c r="J76" s="201">
        <f t="shared" si="27"/>
        <v>5.802469135802469E-2</v>
      </c>
      <c r="K76" s="201">
        <f t="shared" si="27"/>
        <v>5.802469135802469E-2</v>
      </c>
      <c r="L76" s="201">
        <f t="shared" si="27"/>
        <v>5.802469135802469E-2</v>
      </c>
      <c r="M76" s="201">
        <f t="shared" si="27"/>
        <v>5.802469135802469E-2</v>
      </c>
      <c r="N76" s="201">
        <f t="shared" si="27"/>
        <v>5.802469135802469E-2</v>
      </c>
      <c r="O76" s="201">
        <f t="shared" si="27"/>
        <v>5.802469135802469E-2</v>
      </c>
      <c r="P76" s="201">
        <f t="shared" si="27"/>
        <v>5.802469135802469E-2</v>
      </c>
      <c r="Q76" s="201">
        <f t="shared" si="27"/>
        <v>5.802469135802469E-2</v>
      </c>
      <c r="R76" s="201">
        <f t="shared" si="27"/>
        <v>5.802469135802469E-2</v>
      </c>
    </row>
    <row r="77" spans="2:18" x14ac:dyDescent="0.35">
      <c r="E77" s="2" t="s">
        <v>7</v>
      </c>
      <c r="F77" s="201">
        <f t="shared" si="25"/>
        <v>4.0972222222222222E-2</v>
      </c>
      <c r="G77" s="201">
        <f t="shared" si="25"/>
        <v>4.4444444444444446E-2</v>
      </c>
      <c r="H77" s="201">
        <f t="shared" ref="H77:R77" si="28">H20/H73</f>
        <v>2.7777777777777779E-3</v>
      </c>
      <c r="I77" s="201">
        <f t="shared" si="28"/>
        <v>4.4444444444444446E-2</v>
      </c>
      <c r="J77" s="201">
        <f t="shared" si="28"/>
        <v>4.4444444444444446E-2</v>
      </c>
      <c r="K77" s="201">
        <f t="shared" si="28"/>
        <v>4.4444444444444446E-2</v>
      </c>
      <c r="L77" s="201">
        <f t="shared" si="28"/>
        <v>4.4444444444444446E-2</v>
      </c>
      <c r="M77" s="201">
        <f t="shared" si="28"/>
        <v>4.4444444444444446E-2</v>
      </c>
      <c r="N77" s="201">
        <f t="shared" si="28"/>
        <v>4.4444444444444446E-2</v>
      </c>
      <c r="O77" s="201">
        <f t="shared" si="28"/>
        <v>4.4444444444444446E-2</v>
      </c>
      <c r="P77" s="201">
        <f t="shared" si="28"/>
        <v>4.4444444444444446E-2</v>
      </c>
      <c r="Q77" s="201">
        <f t="shared" si="28"/>
        <v>4.4444444444444446E-2</v>
      </c>
      <c r="R77" s="201">
        <f t="shared" si="28"/>
        <v>4.4444444444444446E-2</v>
      </c>
    </row>
    <row r="78" spans="2:18" x14ac:dyDescent="0.35">
      <c r="B78" s="6" t="s">
        <v>441</v>
      </c>
    </row>
    <row r="79" spans="2:18" x14ac:dyDescent="0.35">
      <c r="E79" s="2" t="s">
        <v>6</v>
      </c>
      <c r="F79" s="201">
        <f>NhaTrang!T52/'NhaTrang-2'!F71</f>
        <v>0.27613168724279835</v>
      </c>
      <c r="G79" s="201">
        <f>NhaTrang!F52/'NhaTrang-2'!G71</f>
        <v>0.11604938271604938</v>
      </c>
      <c r="H79" s="201">
        <f>NhaTrang!G52/'NhaTrang-2'!H71</f>
        <v>0.19753086419753085</v>
      </c>
      <c r="I79" s="201">
        <f>NhaTrang!H52/'NhaTrang-2'!I71</f>
        <v>0.26913580246913582</v>
      </c>
      <c r="J79" s="201">
        <f>NhaTrang!I52/'NhaTrang-2'!J71</f>
        <v>0.25555555555555554</v>
      </c>
      <c r="K79" s="201">
        <f>NhaTrang!J52/'NhaTrang-2'!K71</f>
        <v>0.24938271604938272</v>
      </c>
      <c r="L79" s="201">
        <f>NhaTrang!K52/'NhaTrang-2'!L71</f>
        <v>0.30740740740740741</v>
      </c>
      <c r="M79" s="201">
        <f>NhaTrang!L52/'NhaTrang-2'!M71</f>
        <v>0.32962962962962961</v>
      </c>
      <c r="N79" s="201">
        <f>NhaTrang!M52/'NhaTrang-2'!N71</f>
        <v>0.30987654320987656</v>
      </c>
      <c r="O79" s="201">
        <f>NhaTrang!N52/'NhaTrang-2'!O71</f>
        <v>0.27283950617283953</v>
      </c>
      <c r="P79" s="201">
        <f>NhaTrang!O52/'NhaTrang-2'!P71</f>
        <v>0.39753086419753086</v>
      </c>
      <c r="Q79" s="201">
        <f>NhaTrang!P52/'NhaTrang-2'!Q71</f>
        <v>0.26296296296296295</v>
      </c>
      <c r="R79" s="201">
        <f>NhaTrang!Q52/'NhaTrang-2'!R71</f>
        <v>0.34567901234567899</v>
      </c>
    </row>
    <row r="80" spans="2:18" x14ac:dyDescent="0.35">
      <c r="E80" s="2" t="s">
        <v>8</v>
      </c>
      <c r="F80" s="201">
        <f>NhaTrang!T53/'NhaTrang-2'!F72</f>
        <v>2.2427983539094649E-2</v>
      </c>
      <c r="G80" s="201">
        <f>NhaTrang!F53/'NhaTrang-2'!G72</f>
        <v>4.9382716049382715E-3</v>
      </c>
      <c r="H80" s="201">
        <f>NhaTrang!G53/'NhaTrang-2'!H72</f>
        <v>9.876543209876543E-3</v>
      </c>
      <c r="I80" s="201">
        <f>NhaTrang!H53/'NhaTrang-2'!I72</f>
        <v>1.1728395061728396E-2</v>
      </c>
      <c r="J80" s="201">
        <f>NhaTrang!I53/'NhaTrang-2'!J72</f>
        <v>1.7901234567901235E-2</v>
      </c>
      <c r="K80" s="201">
        <f>NhaTrang!J53/'NhaTrang-2'!K72</f>
        <v>9.2592592592592587E-3</v>
      </c>
      <c r="L80" s="201">
        <f>NhaTrang!K53/'NhaTrang-2'!L72</f>
        <v>9.876543209876543E-3</v>
      </c>
      <c r="M80" s="201">
        <f>NhaTrang!L53/'NhaTrang-2'!M72</f>
        <v>9.876543209876543E-3</v>
      </c>
      <c r="N80" s="201">
        <f>NhaTrang!M53/'NhaTrang-2'!N72</f>
        <v>1.0493827160493827E-2</v>
      </c>
      <c r="O80" s="201">
        <f>NhaTrang!N53/'NhaTrang-2'!O72</f>
        <v>2.9012345679012345E-2</v>
      </c>
      <c r="P80" s="201">
        <f>NhaTrang!O53/'NhaTrang-2'!P72</f>
        <v>3.888888888888889E-2</v>
      </c>
      <c r="Q80" s="201">
        <f>NhaTrang!P53/'NhaTrang-2'!Q72</f>
        <v>8.8271604938271603E-2</v>
      </c>
      <c r="R80" s="201">
        <f>NhaTrang!Q53/'NhaTrang-2'!R72</f>
        <v>2.9012345679012345E-2</v>
      </c>
    </row>
    <row r="81" spans="5:18" x14ac:dyDescent="0.35">
      <c r="E81" s="2" t="s">
        <v>7</v>
      </c>
      <c r="F81" s="201">
        <f>NhaTrang!T54/'NhaTrang-2'!F73</f>
        <v>1.5895061728395062E-2</v>
      </c>
      <c r="G81" s="201">
        <f>NhaTrang!F54/'NhaTrang-2'!G73</f>
        <v>5.5555555555555558E-3</v>
      </c>
      <c r="H81" s="201">
        <f>NhaTrang!G54/'NhaTrang-2'!H73</f>
        <v>2.7777777777777779E-3</v>
      </c>
      <c r="I81" s="201">
        <f>NhaTrang!H54/'NhaTrang-2'!I73</f>
        <v>8.3333333333333332E-3</v>
      </c>
      <c r="J81" s="201">
        <f>NhaTrang!I54/'NhaTrang-2'!J73</f>
        <v>6.4814814814814813E-3</v>
      </c>
      <c r="K81" s="201">
        <f>NhaTrang!J54/'NhaTrang-2'!K73</f>
        <v>3.7037037037037038E-3</v>
      </c>
      <c r="L81" s="201">
        <f>NhaTrang!K54/'NhaTrang-2'!L73</f>
        <v>3.7037037037037038E-3</v>
      </c>
      <c r="M81" s="201">
        <f>NhaTrang!L54/'NhaTrang-2'!M73</f>
        <v>1.1111111111111112E-2</v>
      </c>
      <c r="N81" s="201">
        <f>NhaTrang!M54/'NhaTrang-2'!N73</f>
        <v>4.6296296296296294E-3</v>
      </c>
      <c r="O81" s="201">
        <f>NhaTrang!N54/'NhaTrang-2'!O73</f>
        <v>5.4629629629629632E-2</v>
      </c>
      <c r="P81" s="201">
        <f>NhaTrang!O54/'NhaTrang-2'!P73</f>
        <v>3.9814814814814817E-2</v>
      </c>
      <c r="Q81" s="201">
        <f>NhaTrang!P54/'NhaTrang-2'!Q73</f>
        <v>4.3518518518518519E-2</v>
      </c>
      <c r="R81" s="201">
        <f>NhaTrang!Q54/'NhaTrang-2'!R73</f>
        <v>6.4814814814814813E-3</v>
      </c>
    </row>
    <row r="83" spans="5:18" x14ac:dyDescent="0.35"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</row>
  </sheetData>
  <pageMargins left="0.7" right="0.7" top="0.75" bottom="0.75" header="0.3" footer="0.3"/>
  <pageSetup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0954-A2E6-4B42-A022-252CA24094C9}">
  <sheetPr>
    <tabColor rgb="FF2596BE"/>
  </sheetPr>
  <dimension ref="B3:Y38"/>
  <sheetViews>
    <sheetView workbookViewId="0">
      <pane xSplit="5" ySplit="9" topLeftCell="F10" activePane="bottomRight" state="frozen"/>
      <selection pane="topRight" activeCell="E1" sqref="E1"/>
      <selection pane="bottomLeft" activeCell="A4" sqref="A4"/>
      <selection pane="bottomRight" activeCell="H15" sqref="H15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45.1328125" style="2" customWidth="1"/>
    <col min="6" max="6" width="12.265625" style="2" customWidth="1"/>
    <col min="7" max="8" width="9.1328125" style="2" customWidth="1" outlineLevel="1"/>
    <col min="9" max="9" width="9" style="2" customWidth="1" outlineLevel="1"/>
    <col min="10" max="17" width="9.1328125" style="2" customWidth="1" outlineLevel="1"/>
    <col min="18" max="18" width="10.265625" style="2" bestFit="1" customWidth="1"/>
    <col min="19" max="19" width="12.1328125" style="2" customWidth="1"/>
    <col min="20" max="20" width="10.59765625" style="2" customWidth="1"/>
    <col min="21" max="21" width="18.59765625" style="2" customWidth="1"/>
    <col min="22" max="22" width="11.3984375" style="2" customWidth="1"/>
    <col min="23" max="23" width="12.86328125" style="2" customWidth="1"/>
    <col min="24" max="24" width="13.1328125" style="2" customWidth="1"/>
    <col min="25" max="16384" width="9.1328125" style="2"/>
  </cols>
  <sheetData>
    <row r="3" spans="2:25" x14ac:dyDescent="0.35">
      <c r="I3" s="60"/>
    </row>
    <row r="4" spans="2:25" x14ac:dyDescent="0.35">
      <c r="B4" s="2" t="s">
        <v>25</v>
      </c>
    </row>
    <row r="6" spans="2:25" x14ac:dyDescent="0.35">
      <c r="B6" s="27" t="s">
        <v>299</v>
      </c>
    </row>
    <row r="7" spans="2:25" s="6" customFormat="1" x14ac:dyDescent="0.35">
      <c r="B7" s="6" t="s">
        <v>270</v>
      </c>
      <c r="G7" s="74" t="s">
        <v>142</v>
      </c>
      <c r="H7" s="74" t="s">
        <v>142</v>
      </c>
      <c r="I7" s="74" t="s">
        <v>142</v>
      </c>
      <c r="J7" s="74" t="s">
        <v>142</v>
      </c>
      <c r="K7" s="74" t="s">
        <v>142</v>
      </c>
      <c r="L7" s="74" t="s">
        <v>142</v>
      </c>
      <c r="M7" s="74" t="s">
        <v>142</v>
      </c>
      <c r="N7" s="74" t="s">
        <v>142</v>
      </c>
      <c r="O7" s="74" t="s">
        <v>142</v>
      </c>
      <c r="P7" s="74" t="s">
        <v>142</v>
      </c>
      <c r="Q7" s="74" t="s">
        <v>142</v>
      </c>
      <c r="R7" s="74" t="s">
        <v>142</v>
      </c>
    </row>
    <row r="8" spans="2:25" x14ac:dyDescent="0.35">
      <c r="B8" s="32" t="s">
        <v>212</v>
      </c>
      <c r="G8" s="32" t="s">
        <v>52</v>
      </c>
    </row>
    <row r="9" spans="2:25" ht="13.5" x14ac:dyDescent="0.35">
      <c r="B9" s="45" t="s">
        <v>101</v>
      </c>
      <c r="F9" s="6" t="s">
        <v>309</v>
      </c>
      <c r="G9" s="61">
        <v>1</v>
      </c>
      <c r="H9" s="61">
        <v>2</v>
      </c>
      <c r="I9" s="61">
        <v>3</v>
      </c>
      <c r="J9" s="61">
        <v>4</v>
      </c>
      <c r="K9" s="61">
        <v>5</v>
      </c>
      <c r="L9" s="61">
        <v>6</v>
      </c>
      <c r="M9" s="61">
        <v>7</v>
      </c>
      <c r="N9" s="61">
        <v>8</v>
      </c>
      <c r="O9" s="61">
        <v>9</v>
      </c>
      <c r="P9" s="61">
        <v>10</v>
      </c>
      <c r="Q9" s="61">
        <v>11</v>
      </c>
      <c r="R9" s="61">
        <v>12</v>
      </c>
      <c r="S9" s="113" t="s">
        <v>197</v>
      </c>
      <c r="T9" s="114"/>
      <c r="U9" s="114"/>
      <c r="V9" s="32"/>
      <c r="W9" s="32"/>
      <c r="X9" s="6"/>
      <c r="Y9" s="73"/>
    </row>
    <row r="10" spans="2:25" x14ac:dyDescent="0.35">
      <c r="B10" s="27"/>
      <c r="D10" s="6"/>
      <c r="R10" s="58"/>
    </row>
    <row r="11" spans="2:25" x14ac:dyDescent="0.35">
      <c r="B11" s="27" t="s">
        <v>300</v>
      </c>
      <c r="D11" s="6"/>
      <c r="R11" s="58"/>
    </row>
    <row r="12" spans="2:25" x14ac:dyDescent="0.35">
      <c r="B12" s="27"/>
      <c r="D12" s="6"/>
      <c r="E12" s="2" t="s">
        <v>6</v>
      </c>
      <c r="G12" s="225">
        <f>'Điểm hòa vốn'!N83/10^6</f>
        <v>2.2000000000000002</v>
      </c>
      <c r="H12" s="225">
        <f>$G$12</f>
        <v>2.2000000000000002</v>
      </c>
      <c r="I12" s="225">
        <f t="shared" ref="I12:R12" si="0">$G$12</f>
        <v>2.2000000000000002</v>
      </c>
      <c r="J12" s="225">
        <f t="shared" si="0"/>
        <v>2.2000000000000002</v>
      </c>
      <c r="K12" s="225">
        <f t="shared" si="0"/>
        <v>2.2000000000000002</v>
      </c>
      <c r="L12" s="225">
        <f t="shared" si="0"/>
        <v>2.2000000000000002</v>
      </c>
      <c r="M12" s="225">
        <f t="shared" si="0"/>
        <v>2.2000000000000002</v>
      </c>
      <c r="N12" s="225">
        <f t="shared" si="0"/>
        <v>2.2000000000000002</v>
      </c>
      <c r="O12" s="225">
        <f t="shared" si="0"/>
        <v>2.2000000000000002</v>
      </c>
      <c r="P12" s="225">
        <f t="shared" si="0"/>
        <v>2.2000000000000002</v>
      </c>
      <c r="Q12" s="225">
        <f t="shared" si="0"/>
        <v>2.2000000000000002</v>
      </c>
      <c r="R12" s="225">
        <f t="shared" si="0"/>
        <v>2.2000000000000002</v>
      </c>
      <c r="S12" s="2" t="s">
        <v>450</v>
      </c>
    </row>
    <row r="13" spans="2:25" x14ac:dyDescent="0.35">
      <c r="B13" s="27" t="s">
        <v>301</v>
      </c>
      <c r="D13" s="6"/>
      <c r="R13" s="58"/>
    </row>
    <row r="14" spans="2:25" x14ac:dyDescent="0.35">
      <c r="B14" s="27"/>
      <c r="D14" s="6"/>
      <c r="E14" s="2" t="s">
        <v>6</v>
      </c>
      <c r="G14" s="2">
        <v>80</v>
      </c>
      <c r="H14" s="2">
        <v>42</v>
      </c>
      <c r="I14" s="2">
        <v>80</v>
      </c>
      <c r="J14" s="2">
        <v>70</v>
      </c>
      <c r="K14" s="2">
        <f>'Điểm hòa vốn'!N92</f>
        <v>111</v>
      </c>
      <c r="L14" s="2">
        <f>$K$14</f>
        <v>111</v>
      </c>
      <c r="M14" s="2">
        <f t="shared" ref="M14:P14" si="1">$K$14</f>
        <v>111</v>
      </c>
      <c r="N14" s="2">
        <f t="shared" si="1"/>
        <v>111</v>
      </c>
      <c r="O14" s="2">
        <f t="shared" si="1"/>
        <v>111</v>
      </c>
      <c r="P14" s="2">
        <f t="shared" si="1"/>
        <v>111</v>
      </c>
      <c r="Q14" s="2">
        <f>'Điểm hòa vốn'!N98</f>
        <v>172</v>
      </c>
      <c r="R14" s="58">
        <f>Q14</f>
        <v>172</v>
      </c>
    </row>
    <row r="15" spans="2:25" x14ac:dyDescent="0.35">
      <c r="B15" s="27" t="s">
        <v>314</v>
      </c>
      <c r="D15" s="6"/>
      <c r="R15" s="58"/>
    </row>
    <row r="16" spans="2:25" x14ac:dyDescent="0.35">
      <c r="B16" s="27"/>
      <c r="D16" s="6"/>
      <c r="E16" s="2" t="s">
        <v>302</v>
      </c>
      <c r="G16" s="57">
        <f>'Điểm hòa vốn'!N58</f>
        <v>81320.967741935485</v>
      </c>
      <c r="H16" s="57">
        <f>$G16</f>
        <v>81320.967741935485</v>
      </c>
      <c r="I16" s="57">
        <f t="shared" ref="I16:R16" si="2">$G16</f>
        <v>81320.967741935485</v>
      </c>
      <c r="J16" s="57">
        <f t="shared" si="2"/>
        <v>81320.967741935485</v>
      </c>
      <c r="K16" s="57">
        <f t="shared" si="2"/>
        <v>81320.967741935485</v>
      </c>
      <c r="L16" s="57">
        <f t="shared" si="2"/>
        <v>81320.967741935485</v>
      </c>
      <c r="M16" s="57">
        <f t="shared" si="2"/>
        <v>81320.967741935485</v>
      </c>
      <c r="N16" s="57">
        <f t="shared" si="2"/>
        <v>81320.967741935485</v>
      </c>
      <c r="O16" s="57">
        <f t="shared" si="2"/>
        <v>81320.967741935485</v>
      </c>
      <c r="P16" s="57">
        <f t="shared" si="2"/>
        <v>81320.967741935485</v>
      </c>
      <c r="Q16" s="57">
        <f t="shared" si="2"/>
        <v>81320.967741935485</v>
      </c>
      <c r="R16" s="57">
        <f t="shared" si="2"/>
        <v>81320.967741935485</v>
      </c>
      <c r="S16" s="2" t="s">
        <v>450</v>
      </c>
    </row>
    <row r="17" spans="2:25" x14ac:dyDescent="0.35">
      <c r="B17" s="27"/>
      <c r="D17" s="6"/>
      <c r="E17" s="2" t="s">
        <v>303</v>
      </c>
      <c r="G17" s="57">
        <v>0</v>
      </c>
      <c r="H17" s="57">
        <f t="shared" ref="H17:R20" si="3">$G17</f>
        <v>0</v>
      </c>
      <c r="I17" s="57">
        <f t="shared" si="3"/>
        <v>0</v>
      </c>
      <c r="J17" s="57">
        <f t="shared" si="3"/>
        <v>0</v>
      </c>
      <c r="K17" s="57">
        <f t="shared" si="3"/>
        <v>0</v>
      </c>
      <c r="L17" s="57">
        <f t="shared" si="3"/>
        <v>0</v>
      </c>
      <c r="M17" s="57">
        <f t="shared" si="3"/>
        <v>0</v>
      </c>
      <c r="N17" s="57">
        <f t="shared" si="3"/>
        <v>0</v>
      </c>
      <c r="O17" s="57">
        <f t="shared" si="3"/>
        <v>0</v>
      </c>
      <c r="P17" s="57">
        <f t="shared" si="3"/>
        <v>0</v>
      </c>
      <c r="Q17" s="57">
        <f t="shared" si="3"/>
        <v>0</v>
      </c>
      <c r="R17" s="57">
        <f t="shared" si="3"/>
        <v>0</v>
      </c>
    </row>
    <row r="18" spans="2:25" x14ac:dyDescent="0.35">
      <c r="B18" s="27"/>
      <c r="D18" s="6"/>
      <c r="E18" s="2" t="s">
        <v>304</v>
      </c>
      <c r="G18" s="57">
        <f>'Điểm hòa vốn'!N67</f>
        <v>90000</v>
      </c>
      <c r="H18" s="57">
        <f t="shared" si="3"/>
        <v>90000</v>
      </c>
      <c r="I18" s="57">
        <f t="shared" si="3"/>
        <v>90000</v>
      </c>
      <c r="J18" s="57">
        <f t="shared" si="3"/>
        <v>90000</v>
      </c>
      <c r="K18" s="57">
        <f t="shared" si="3"/>
        <v>90000</v>
      </c>
      <c r="L18" s="57">
        <f t="shared" si="3"/>
        <v>90000</v>
      </c>
      <c r="M18" s="57">
        <f t="shared" si="3"/>
        <v>90000</v>
      </c>
      <c r="N18" s="57">
        <f t="shared" si="3"/>
        <v>90000</v>
      </c>
      <c r="O18" s="57">
        <f t="shared" si="3"/>
        <v>90000</v>
      </c>
      <c r="P18" s="57">
        <f t="shared" si="3"/>
        <v>90000</v>
      </c>
      <c r="Q18" s="57">
        <f t="shared" si="3"/>
        <v>90000</v>
      </c>
      <c r="R18" s="57">
        <f t="shared" si="3"/>
        <v>90000</v>
      </c>
      <c r="S18" s="2" t="s">
        <v>450</v>
      </c>
    </row>
    <row r="19" spans="2:25" x14ac:dyDescent="0.35">
      <c r="B19" s="27"/>
      <c r="D19" s="6"/>
      <c r="E19" s="2" t="s">
        <v>305</v>
      </c>
      <c r="G19" s="57">
        <f>'Điểm hòa vốn'!N71</f>
        <v>300000</v>
      </c>
      <c r="H19" s="57">
        <f t="shared" si="3"/>
        <v>300000</v>
      </c>
      <c r="I19" s="57">
        <f t="shared" si="3"/>
        <v>300000</v>
      </c>
      <c r="J19" s="57">
        <f t="shared" si="3"/>
        <v>300000</v>
      </c>
      <c r="K19" s="57">
        <f t="shared" si="3"/>
        <v>300000</v>
      </c>
      <c r="L19" s="57">
        <f t="shared" si="3"/>
        <v>300000</v>
      </c>
      <c r="M19" s="57">
        <f t="shared" si="3"/>
        <v>300000</v>
      </c>
      <c r="N19" s="57">
        <f t="shared" si="3"/>
        <v>300000</v>
      </c>
      <c r="O19" s="57">
        <f t="shared" si="3"/>
        <v>300000</v>
      </c>
      <c r="P19" s="57">
        <f t="shared" si="3"/>
        <v>300000</v>
      </c>
      <c r="Q19" s="57">
        <f t="shared" si="3"/>
        <v>300000</v>
      </c>
      <c r="R19" s="57">
        <f t="shared" si="3"/>
        <v>300000</v>
      </c>
      <c r="S19" s="2" t="s">
        <v>450</v>
      </c>
    </row>
    <row r="20" spans="2:25" x14ac:dyDescent="0.35">
      <c r="B20" s="27"/>
      <c r="D20" s="6"/>
      <c r="E20" s="2" t="s">
        <v>306</v>
      </c>
      <c r="G20" s="57">
        <f>'Điểm hòa vốn'!N75</f>
        <v>115000</v>
      </c>
      <c r="H20" s="57">
        <f t="shared" si="3"/>
        <v>115000</v>
      </c>
      <c r="I20" s="57">
        <f t="shared" si="3"/>
        <v>115000</v>
      </c>
      <c r="J20" s="57">
        <f t="shared" si="3"/>
        <v>115000</v>
      </c>
      <c r="K20" s="57">
        <f t="shared" si="3"/>
        <v>115000</v>
      </c>
      <c r="L20" s="57">
        <f t="shared" si="3"/>
        <v>115000</v>
      </c>
      <c r="M20" s="57">
        <f t="shared" si="3"/>
        <v>115000</v>
      </c>
      <c r="N20" s="57">
        <f t="shared" si="3"/>
        <v>115000</v>
      </c>
      <c r="O20" s="57">
        <f t="shared" si="3"/>
        <v>115000</v>
      </c>
      <c r="P20" s="57">
        <f t="shared" si="3"/>
        <v>115000</v>
      </c>
      <c r="Q20" s="57">
        <f t="shared" si="3"/>
        <v>115000</v>
      </c>
      <c r="R20" s="57">
        <f t="shared" si="3"/>
        <v>115000</v>
      </c>
      <c r="S20" s="2" t="s">
        <v>450</v>
      </c>
    </row>
    <row r="21" spans="2:25" x14ac:dyDescent="0.35">
      <c r="B21" s="27" t="s">
        <v>11</v>
      </c>
      <c r="D21" s="6"/>
      <c r="R21" s="58"/>
    </row>
    <row r="22" spans="2:25" outlineLevel="1" x14ac:dyDescent="0.35">
      <c r="E22" s="2" t="s">
        <v>6</v>
      </c>
      <c r="F22" s="57">
        <f>SUM(G22:R22)</f>
        <v>2820.4</v>
      </c>
      <c r="G22" s="62">
        <f t="shared" ref="G22:R22" si="4">G12*G14</f>
        <v>176</v>
      </c>
      <c r="H22" s="62">
        <f t="shared" si="4"/>
        <v>92.4</v>
      </c>
      <c r="I22" s="62">
        <f t="shared" si="4"/>
        <v>176</v>
      </c>
      <c r="J22" s="62">
        <f t="shared" si="4"/>
        <v>154</v>
      </c>
      <c r="K22" s="62">
        <f t="shared" si="4"/>
        <v>244.20000000000002</v>
      </c>
      <c r="L22" s="62">
        <f t="shared" si="4"/>
        <v>244.20000000000002</v>
      </c>
      <c r="M22" s="62">
        <f t="shared" si="4"/>
        <v>244.20000000000002</v>
      </c>
      <c r="N22" s="62">
        <f t="shared" si="4"/>
        <v>244.20000000000002</v>
      </c>
      <c r="O22" s="62">
        <f t="shared" si="4"/>
        <v>244.20000000000002</v>
      </c>
      <c r="P22" s="62">
        <f t="shared" si="4"/>
        <v>244.20000000000002</v>
      </c>
      <c r="Q22" s="62">
        <f t="shared" si="4"/>
        <v>378.40000000000003</v>
      </c>
      <c r="R22" s="62">
        <f t="shared" si="4"/>
        <v>378.40000000000003</v>
      </c>
      <c r="S22" s="62"/>
      <c r="T22" s="62">
        <f>SUM(G22:R22)</f>
        <v>2820.4</v>
      </c>
      <c r="U22" s="57"/>
      <c r="V22" s="96"/>
      <c r="W22" s="97"/>
      <c r="Y22" s="57"/>
    </row>
    <row r="23" spans="2:25" x14ac:dyDescent="0.35">
      <c r="B23" s="27" t="s">
        <v>307</v>
      </c>
      <c r="D23" s="55"/>
      <c r="F23" s="58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59"/>
      <c r="S23" s="59"/>
      <c r="T23" s="59"/>
      <c r="U23" s="59"/>
      <c r="V23" s="118"/>
      <c r="Y23" s="59"/>
    </row>
    <row r="24" spans="2:25" x14ac:dyDescent="0.35">
      <c r="B24" s="27"/>
      <c r="D24" s="55"/>
      <c r="E24" s="2" t="s">
        <v>23</v>
      </c>
      <c r="F24" s="57">
        <f t="shared" ref="F24:F35" si="5">SUM(G24:R24)</f>
        <v>104.25348064516129</v>
      </c>
      <c r="G24" s="195">
        <f t="shared" ref="G24:R24" si="6">G16*G$14/10^6</f>
        <v>6.5056774193548392</v>
      </c>
      <c r="H24" s="195">
        <f t="shared" si="6"/>
        <v>3.4154806451612902</v>
      </c>
      <c r="I24" s="195">
        <f t="shared" si="6"/>
        <v>6.5056774193548392</v>
      </c>
      <c r="J24" s="195">
        <f t="shared" si="6"/>
        <v>5.6924677419354843</v>
      </c>
      <c r="K24" s="195">
        <f t="shared" si="6"/>
        <v>9.0266274193548384</v>
      </c>
      <c r="L24" s="195">
        <f t="shared" si="6"/>
        <v>9.0266274193548384</v>
      </c>
      <c r="M24" s="195">
        <f t="shared" si="6"/>
        <v>9.0266274193548384</v>
      </c>
      <c r="N24" s="195">
        <f t="shared" si="6"/>
        <v>9.0266274193548384</v>
      </c>
      <c r="O24" s="195">
        <f t="shared" si="6"/>
        <v>9.0266274193548384</v>
      </c>
      <c r="P24" s="195">
        <f t="shared" si="6"/>
        <v>9.0266274193548384</v>
      </c>
      <c r="Q24" s="195">
        <f t="shared" si="6"/>
        <v>13.987206451612902</v>
      </c>
      <c r="R24" s="195">
        <f t="shared" si="6"/>
        <v>13.987206451612902</v>
      </c>
      <c r="S24" s="59"/>
      <c r="T24" s="62">
        <f t="shared" ref="T24:T33" si="7">SUM(G24:R24)</f>
        <v>104.25348064516129</v>
      </c>
      <c r="U24" s="59"/>
      <c r="V24" s="118"/>
      <c r="Y24" s="59"/>
    </row>
    <row r="25" spans="2:25" x14ac:dyDescent="0.35">
      <c r="B25" s="27"/>
      <c r="D25" s="55"/>
      <c r="E25" s="2" t="s">
        <v>311</v>
      </c>
      <c r="F25" s="57">
        <f t="shared" si="5"/>
        <v>0</v>
      </c>
      <c r="G25" s="195">
        <f t="shared" ref="G25:R25" si="8">G17*G$14/10^6</f>
        <v>0</v>
      </c>
      <c r="H25" s="195">
        <f t="shared" si="8"/>
        <v>0</v>
      </c>
      <c r="I25" s="195">
        <f t="shared" si="8"/>
        <v>0</v>
      </c>
      <c r="J25" s="195">
        <f t="shared" si="8"/>
        <v>0</v>
      </c>
      <c r="K25" s="195">
        <f t="shared" si="8"/>
        <v>0</v>
      </c>
      <c r="L25" s="195">
        <f t="shared" si="8"/>
        <v>0</v>
      </c>
      <c r="M25" s="195">
        <f t="shared" si="8"/>
        <v>0</v>
      </c>
      <c r="N25" s="195">
        <f t="shared" si="8"/>
        <v>0</v>
      </c>
      <c r="O25" s="195">
        <f t="shared" si="8"/>
        <v>0</v>
      </c>
      <c r="P25" s="195">
        <f t="shared" si="8"/>
        <v>0</v>
      </c>
      <c r="Q25" s="195">
        <f t="shared" si="8"/>
        <v>0</v>
      </c>
      <c r="R25" s="195">
        <f t="shared" si="8"/>
        <v>0</v>
      </c>
      <c r="S25" s="59"/>
      <c r="T25" s="62">
        <f t="shared" si="7"/>
        <v>0</v>
      </c>
      <c r="U25" s="59"/>
      <c r="V25" s="118"/>
      <c r="Y25" s="59"/>
    </row>
    <row r="26" spans="2:25" x14ac:dyDescent="0.35">
      <c r="C26" s="6"/>
      <c r="D26" s="6"/>
      <c r="E26" s="2" t="s">
        <v>179</v>
      </c>
      <c r="F26" s="57">
        <f t="shared" si="5"/>
        <v>115.38</v>
      </c>
      <c r="G26" s="195">
        <f t="shared" ref="G26:R26" si="9">G18*G$14/10^6</f>
        <v>7.2</v>
      </c>
      <c r="H26" s="195">
        <f t="shared" si="9"/>
        <v>3.78</v>
      </c>
      <c r="I26" s="195">
        <f t="shared" si="9"/>
        <v>7.2</v>
      </c>
      <c r="J26" s="195">
        <f t="shared" si="9"/>
        <v>6.3</v>
      </c>
      <c r="K26" s="195">
        <f t="shared" si="9"/>
        <v>9.99</v>
      </c>
      <c r="L26" s="195">
        <f t="shared" si="9"/>
        <v>9.99</v>
      </c>
      <c r="M26" s="195">
        <f t="shared" si="9"/>
        <v>9.99</v>
      </c>
      <c r="N26" s="195">
        <f t="shared" si="9"/>
        <v>9.99</v>
      </c>
      <c r="O26" s="195">
        <f t="shared" si="9"/>
        <v>9.99</v>
      </c>
      <c r="P26" s="195">
        <f t="shared" si="9"/>
        <v>9.99</v>
      </c>
      <c r="Q26" s="195">
        <f t="shared" si="9"/>
        <v>15.48</v>
      </c>
      <c r="R26" s="195">
        <f t="shared" si="9"/>
        <v>15.48</v>
      </c>
      <c r="S26" s="85"/>
      <c r="T26" s="62">
        <f t="shared" si="7"/>
        <v>115.38</v>
      </c>
      <c r="U26" s="85"/>
      <c r="V26" s="85"/>
      <c r="W26" s="85"/>
      <c r="X26" s="85"/>
      <c r="Y26" s="85"/>
    </row>
    <row r="27" spans="2:25" x14ac:dyDescent="0.35">
      <c r="C27" s="6"/>
      <c r="D27" s="6"/>
      <c r="E27" s="2" t="s">
        <v>312</v>
      </c>
      <c r="F27" s="57">
        <f t="shared" si="5"/>
        <v>384.60000000000008</v>
      </c>
      <c r="G27" s="195">
        <f t="shared" ref="G27:R27" si="10">G19*G$14/10^6</f>
        <v>24</v>
      </c>
      <c r="H27" s="195">
        <f t="shared" si="10"/>
        <v>12.6</v>
      </c>
      <c r="I27" s="195">
        <f t="shared" si="10"/>
        <v>24</v>
      </c>
      <c r="J27" s="195">
        <f t="shared" si="10"/>
        <v>21</v>
      </c>
      <c r="K27" s="195">
        <f t="shared" si="10"/>
        <v>33.299999999999997</v>
      </c>
      <c r="L27" s="195">
        <f t="shared" si="10"/>
        <v>33.299999999999997</v>
      </c>
      <c r="M27" s="195">
        <f t="shared" si="10"/>
        <v>33.299999999999997</v>
      </c>
      <c r="N27" s="195">
        <f t="shared" si="10"/>
        <v>33.299999999999997</v>
      </c>
      <c r="O27" s="195">
        <f t="shared" si="10"/>
        <v>33.299999999999997</v>
      </c>
      <c r="P27" s="195">
        <f t="shared" si="10"/>
        <v>33.299999999999997</v>
      </c>
      <c r="Q27" s="195">
        <f t="shared" si="10"/>
        <v>51.6</v>
      </c>
      <c r="R27" s="195">
        <f t="shared" si="10"/>
        <v>51.6</v>
      </c>
      <c r="S27" s="85"/>
      <c r="T27" s="62">
        <f t="shared" si="7"/>
        <v>384.60000000000008</v>
      </c>
      <c r="U27" s="85"/>
      <c r="V27" s="85"/>
      <c r="W27" s="85"/>
      <c r="X27" s="85"/>
      <c r="Y27" s="85"/>
    </row>
    <row r="28" spans="2:25" x14ac:dyDescent="0.35">
      <c r="E28" s="2" t="s">
        <v>28</v>
      </c>
      <c r="F28" s="57">
        <f t="shared" si="5"/>
        <v>147.43</v>
      </c>
      <c r="G28" s="195">
        <f t="shared" ref="G28:R28" si="11">G20*G$14/10^6</f>
        <v>9.1999999999999993</v>
      </c>
      <c r="H28" s="195">
        <f t="shared" si="11"/>
        <v>4.83</v>
      </c>
      <c r="I28" s="195">
        <f t="shared" si="11"/>
        <v>9.1999999999999993</v>
      </c>
      <c r="J28" s="195">
        <f t="shared" si="11"/>
        <v>8.0500000000000007</v>
      </c>
      <c r="K28" s="195">
        <f t="shared" si="11"/>
        <v>12.765000000000001</v>
      </c>
      <c r="L28" s="195">
        <f t="shared" si="11"/>
        <v>12.765000000000001</v>
      </c>
      <c r="M28" s="195">
        <f t="shared" si="11"/>
        <v>12.765000000000001</v>
      </c>
      <c r="N28" s="195">
        <f t="shared" si="11"/>
        <v>12.765000000000001</v>
      </c>
      <c r="O28" s="195">
        <f t="shared" si="11"/>
        <v>12.765000000000001</v>
      </c>
      <c r="P28" s="195">
        <f t="shared" si="11"/>
        <v>12.765000000000001</v>
      </c>
      <c r="Q28" s="195">
        <f t="shared" si="11"/>
        <v>19.78</v>
      </c>
      <c r="R28" s="195">
        <f t="shared" si="11"/>
        <v>19.78</v>
      </c>
      <c r="S28" s="62"/>
      <c r="T28" s="62">
        <f t="shared" si="7"/>
        <v>147.43</v>
      </c>
      <c r="U28" s="57">
        <f>SUM(T24:T28)</f>
        <v>751.66348064516137</v>
      </c>
      <c r="V28" s="96">
        <f>U28/T22</f>
        <v>0.26650953079178885</v>
      </c>
      <c r="W28" s="97"/>
      <c r="Y28" s="57"/>
    </row>
    <row r="29" spans="2:25" x14ac:dyDescent="0.35">
      <c r="E29" s="2" t="s">
        <v>182</v>
      </c>
      <c r="F29" s="57">
        <f t="shared" si="5"/>
        <v>583.63458333333324</v>
      </c>
      <c r="G29" s="62">
        <f>'Điểm hòa vốn'!N45</f>
        <v>48.636215277777779</v>
      </c>
      <c r="H29" s="62">
        <f>$G29</f>
        <v>48.636215277777779</v>
      </c>
      <c r="I29" s="62">
        <f t="shared" ref="I29:R31" si="12">$G29</f>
        <v>48.636215277777779</v>
      </c>
      <c r="J29" s="62">
        <f t="shared" si="12"/>
        <v>48.636215277777779</v>
      </c>
      <c r="K29" s="62">
        <f t="shared" si="12"/>
        <v>48.636215277777779</v>
      </c>
      <c r="L29" s="62">
        <f t="shared" si="12"/>
        <v>48.636215277777779</v>
      </c>
      <c r="M29" s="62">
        <f t="shared" si="12"/>
        <v>48.636215277777779</v>
      </c>
      <c r="N29" s="62">
        <f t="shared" si="12"/>
        <v>48.636215277777779</v>
      </c>
      <c r="O29" s="62">
        <f t="shared" si="12"/>
        <v>48.636215277777779</v>
      </c>
      <c r="P29" s="62">
        <f t="shared" si="12"/>
        <v>48.636215277777779</v>
      </c>
      <c r="Q29" s="62">
        <f t="shared" si="12"/>
        <v>48.636215277777779</v>
      </c>
      <c r="R29" s="62">
        <f t="shared" si="12"/>
        <v>48.636215277777779</v>
      </c>
      <c r="S29" s="62"/>
      <c r="T29" s="62">
        <f t="shared" si="7"/>
        <v>583.63458333333324</v>
      </c>
      <c r="U29" s="57"/>
      <c r="V29" s="96"/>
      <c r="W29" s="97"/>
      <c r="Y29" s="57"/>
    </row>
    <row r="30" spans="2:25" x14ac:dyDescent="0.35">
      <c r="E30" s="2" t="s">
        <v>310</v>
      </c>
      <c r="F30" s="57">
        <f t="shared" si="5"/>
        <v>678.00300000000016</v>
      </c>
      <c r="G30" s="62">
        <f>'Điểm hòa vốn'!N43</f>
        <v>56.500250000000001</v>
      </c>
      <c r="H30" s="62">
        <f>$G30</f>
        <v>56.500250000000001</v>
      </c>
      <c r="I30" s="62">
        <f t="shared" si="12"/>
        <v>56.500250000000001</v>
      </c>
      <c r="J30" s="62">
        <f t="shared" si="12"/>
        <v>56.500250000000001</v>
      </c>
      <c r="K30" s="62">
        <f t="shared" si="12"/>
        <v>56.500250000000001</v>
      </c>
      <c r="L30" s="62">
        <f t="shared" si="12"/>
        <v>56.500250000000001</v>
      </c>
      <c r="M30" s="62">
        <f t="shared" si="12"/>
        <v>56.500250000000001</v>
      </c>
      <c r="N30" s="62">
        <f t="shared" si="12"/>
        <v>56.500250000000001</v>
      </c>
      <c r="O30" s="62">
        <f t="shared" si="12"/>
        <v>56.500250000000001</v>
      </c>
      <c r="P30" s="62">
        <f t="shared" si="12"/>
        <v>56.500250000000001</v>
      </c>
      <c r="Q30" s="62">
        <f t="shared" si="12"/>
        <v>56.500250000000001</v>
      </c>
      <c r="R30" s="62">
        <f t="shared" si="12"/>
        <v>56.500250000000001</v>
      </c>
      <c r="S30" s="62"/>
      <c r="T30" s="62">
        <f t="shared" si="7"/>
        <v>678.00300000000016</v>
      </c>
      <c r="U30" s="57"/>
      <c r="V30" s="96"/>
      <c r="W30" s="97"/>
      <c r="Y30" s="57"/>
    </row>
    <row r="31" spans="2:25" x14ac:dyDescent="0.35">
      <c r="E31" s="2" t="s">
        <v>408</v>
      </c>
      <c r="F31" s="57">
        <f t="shared" si="5"/>
        <v>264</v>
      </c>
      <c r="G31" s="62">
        <f>'Điểm hòa vốn'!N42</f>
        <v>22</v>
      </c>
      <c r="H31" s="62">
        <f>$G31</f>
        <v>22</v>
      </c>
      <c r="I31" s="62">
        <f t="shared" si="12"/>
        <v>22</v>
      </c>
      <c r="J31" s="62">
        <f t="shared" si="12"/>
        <v>22</v>
      </c>
      <c r="K31" s="62">
        <f t="shared" si="12"/>
        <v>22</v>
      </c>
      <c r="L31" s="62">
        <f t="shared" si="12"/>
        <v>22</v>
      </c>
      <c r="M31" s="62">
        <f t="shared" si="12"/>
        <v>22</v>
      </c>
      <c r="N31" s="62">
        <f t="shared" si="12"/>
        <v>22</v>
      </c>
      <c r="O31" s="62">
        <f t="shared" si="12"/>
        <v>22</v>
      </c>
      <c r="P31" s="62">
        <f t="shared" si="12"/>
        <v>22</v>
      </c>
      <c r="Q31" s="62">
        <f t="shared" si="12"/>
        <v>22</v>
      </c>
      <c r="R31" s="62">
        <f t="shared" si="12"/>
        <v>22</v>
      </c>
      <c r="S31" s="62"/>
      <c r="T31" s="62">
        <f t="shared" si="7"/>
        <v>264</v>
      </c>
      <c r="U31" s="57"/>
      <c r="V31" s="96"/>
      <c r="W31" s="97"/>
      <c r="Y31" s="57"/>
    </row>
    <row r="32" spans="2:25" x14ac:dyDescent="0.35">
      <c r="E32" s="2" t="s">
        <v>420</v>
      </c>
      <c r="F32" s="57">
        <f t="shared" si="5"/>
        <v>180</v>
      </c>
      <c r="G32" s="62">
        <f>'Điểm hòa vốn'!N44+'Điểm hòa vốn'!N54</f>
        <v>15</v>
      </c>
      <c r="H32" s="62">
        <f>$G32</f>
        <v>15</v>
      </c>
      <c r="I32" s="62">
        <f t="shared" ref="I32:R33" si="13">$G32</f>
        <v>15</v>
      </c>
      <c r="J32" s="62">
        <f t="shared" si="13"/>
        <v>15</v>
      </c>
      <c r="K32" s="62">
        <f t="shared" si="13"/>
        <v>15</v>
      </c>
      <c r="L32" s="62">
        <f t="shared" si="13"/>
        <v>15</v>
      </c>
      <c r="M32" s="62">
        <f t="shared" si="13"/>
        <v>15</v>
      </c>
      <c r="N32" s="62">
        <f t="shared" si="13"/>
        <v>15</v>
      </c>
      <c r="O32" s="62">
        <f t="shared" si="13"/>
        <v>15</v>
      </c>
      <c r="P32" s="62">
        <f t="shared" si="13"/>
        <v>15</v>
      </c>
      <c r="Q32" s="62">
        <f t="shared" si="13"/>
        <v>15</v>
      </c>
      <c r="R32" s="62">
        <f t="shared" si="13"/>
        <v>15</v>
      </c>
      <c r="S32" s="62"/>
      <c r="T32" s="62">
        <f t="shared" si="7"/>
        <v>180</v>
      </c>
      <c r="U32" s="57"/>
      <c r="V32" s="96"/>
      <c r="W32" s="97"/>
      <c r="Y32" s="57"/>
    </row>
    <row r="33" spans="2:25" x14ac:dyDescent="0.35">
      <c r="E33" s="2" t="s">
        <v>421</v>
      </c>
      <c r="F33" s="57">
        <f t="shared" si="5"/>
        <v>211.19999999999996</v>
      </c>
      <c r="G33" s="62">
        <f>10%*G22</f>
        <v>17.600000000000001</v>
      </c>
      <c r="H33" s="62">
        <f>$G33</f>
        <v>17.600000000000001</v>
      </c>
      <c r="I33" s="62">
        <f t="shared" si="13"/>
        <v>17.600000000000001</v>
      </c>
      <c r="J33" s="62">
        <f t="shared" si="13"/>
        <v>17.600000000000001</v>
      </c>
      <c r="K33" s="62">
        <f t="shared" si="13"/>
        <v>17.600000000000001</v>
      </c>
      <c r="L33" s="62">
        <f t="shared" si="13"/>
        <v>17.600000000000001</v>
      </c>
      <c r="M33" s="62">
        <f t="shared" si="13"/>
        <v>17.600000000000001</v>
      </c>
      <c r="N33" s="62">
        <f t="shared" si="13"/>
        <v>17.600000000000001</v>
      </c>
      <c r="O33" s="62">
        <f t="shared" si="13"/>
        <v>17.600000000000001</v>
      </c>
      <c r="P33" s="62">
        <f t="shared" si="13"/>
        <v>17.600000000000001</v>
      </c>
      <c r="Q33" s="62">
        <f t="shared" si="13"/>
        <v>17.600000000000001</v>
      </c>
      <c r="R33" s="62">
        <f t="shared" si="13"/>
        <v>17.600000000000001</v>
      </c>
      <c r="S33" s="62"/>
      <c r="T33" s="62">
        <f t="shared" si="7"/>
        <v>211.19999999999996</v>
      </c>
      <c r="U33" s="57"/>
      <c r="V33" s="96"/>
      <c r="W33" s="97"/>
      <c r="Y33" s="57"/>
    </row>
    <row r="34" spans="2:25" x14ac:dyDescent="0.35">
      <c r="E34" s="2" t="s">
        <v>691</v>
      </c>
      <c r="F34" s="57"/>
      <c r="G34" s="62">
        <f>5%*G22</f>
        <v>8.8000000000000007</v>
      </c>
      <c r="H34" s="62">
        <f t="shared" ref="H34:R34" si="14">5%*H22</f>
        <v>4.62</v>
      </c>
      <c r="I34" s="62">
        <f t="shared" si="14"/>
        <v>8.8000000000000007</v>
      </c>
      <c r="J34" s="62">
        <f t="shared" si="14"/>
        <v>7.7</v>
      </c>
      <c r="K34" s="62">
        <f t="shared" si="14"/>
        <v>12.21</v>
      </c>
      <c r="L34" s="62">
        <f t="shared" si="14"/>
        <v>12.21</v>
      </c>
      <c r="M34" s="62">
        <f t="shared" si="14"/>
        <v>12.21</v>
      </c>
      <c r="N34" s="62">
        <f t="shared" si="14"/>
        <v>12.21</v>
      </c>
      <c r="O34" s="62">
        <f t="shared" si="14"/>
        <v>12.21</v>
      </c>
      <c r="P34" s="62">
        <f t="shared" si="14"/>
        <v>12.21</v>
      </c>
      <c r="Q34" s="62">
        <f t="shared" si="14"/>
        <v>18.920000000000002</v>
      </c>
      <c r="R34" s="62">
        <f t="shared" si="14"/>
        <v>18.920000000000002</v>
      </c>
      <c r="S34" s="62"/>
      <c r="T34" s="62"/>
      <c r="U34" s="57"/>
      <c r="V34" s="96"/>
      <c r="W34" s="97"/>
      <c r="Y34" s="57"/>
    </row>
    <row r="35" spans="2:25" ht="13.15" thickBot="1" x14ac:dyDescent="0.4">
      <c r="C35" s="223" t="s">
        <v>308</v>
      </c>
      <c r="D35" s="100"/>
      <c r="E35" s="100"/>
      <c r="F35" s="243">
        <f t="shared" si="5"/>
        <v>2809.521063978495</v>
      </c>
      <c r="G35" s="226">
        <f>SUM(G24:G34)</f>
        <v>215.44214269713262</v>
      </c>
      <c r="H35" s="226">
        <f t="shared" ref="H35:R35" si="15">SUM(H24:H34)</f>
        <v>188.98194592293908</v>
      </c>
      <c r="I35" s="226">
        <f t="shared" si="15"/>
        <v>215.44214269713262</v>
      </c>
      <c r="J35" s="226">
        <f t="shared" si="15"/>
        <v>208.47893301971325</v>
      </c>
      <c r="K35" s="226">
        <f t="shared" si="15"/>
        <v>237.02809269713262</v>
      </c>
      <c r="L35" s="226">
        <f t="shared" si="15"/>
        <v>237.02809269713262</v>
      </c>
      <c r="M35" s="226">
        <f t="shared" si="15"/>
        <v>237.02809269713262</v>
      </c>
      <c r="N35" s="226">
        <f t="shared" si="15"/>
        <v>237.02809269713262</v>
      </c>
      <c r="O35" s="226">
        <f t="shared" si="15"/>
        <v>237.02809269713262</v>
      </c>
      <c r="P35" s="226">
        <f t="shared" si="15"/>
        <v>237.02809269713262</v>
      </c>
      <c r="Q35" s="226">
        <f t="shared" si="15"/>
        <v>279.5036717293907</v>
      </c>
      <c r="R35" s="226">
        <f t="shared" si="15"/>
        <v>279.5036717293907</v>
      </c>
      <c r="S35" s="62"/>
      <c r="T35" s="62"/>
      <c r="U35" s="57"/>
      <c r="V35" s="96"/>
      <c r="W35" s="97"/>
      <c r="Y35" s="57"/>
    </row>
    <row r="36" spans="2:25" x14ac:dyDescent="0.35">
      <c r="B36" s="89" t="s">
        <v>190</v>
      </c>
      <c r="C36" s="90"/>
      <c r="D36" s="90"/>
      <c r="E36" s="91"/>
      <c r="F36" s="92">
        <f>F22-F35</f>
        <v>10.878936021505069</v>
      </c>
      <c r="G36" s="92">
        <f>G22-G35</f>
        <v>-39.442142697132624</v>
      </c>
      <c r="H36" s="92">
        <f t="shared" ref="H36:R36" si="16">H22-H35</f>
        <v>-96.58194592293907</v>
      </c>
      <c r="I36" s="92">
        <f t="shared" si="16"/>
        <v>-39.442142697132624</v>
      </c>
      <c r="J36" s="92">
        <f t="shared" si="16"/>
        <v>-54.478933019713253</v>
      </c>
      <c r="K36" s="92">
        <f t="shared" si="16"/>
        <v>7.1719073028673961</v>
      </c>
      <c r="L36" s="92">
        <f t="shared" si="16"/>
        <v>7.1719073028673961</v>
      </c>
      <c r="M36" s="92">
        <f t="shared" si="16"/>
        <v>7.1719073028673961</v>
      </c>
      <c r="N36" s="92">
        <f t="shared" si="16"/>
        <v>7.1719073028673961</v>
      </c>
      <c r="O36" s="92">
        <f t="shared" si="16"/>
        <v>7.1719073028673961</v>
      </c>
      <c r="P36" s="92">
        <f t="shared" si="16"/>
        <v>7.1719073028673961</v>
      </c>
      <c r="Q36" s="92">
        <f t="shared" si="16"/>
        <v>98.896328270609331</v>
      </c>
      <c r="R36" s="92">
        <f t="shared" si="16"/>
        <v>98.896328270609331</v>
      </c>
      <c r="S36" s="92"/>
      <c r="T36" s="92"/>
      <c r="U36" s="92"/>
      <c r="V36" s="104"/>
      <c r="W36" s="92"/>
      <c r="X36" s="92"/>
      <c r="Y36" s="92"/>
    </row>
    <row r="37" spans="2:25" x14ac:dyDescent="0.35">
      <c r="B37" s="27"/>
      <c r="D37" s="6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96"/>
      <c r="W37" s="57"/>
      <c r="X37" s="57"/>
      <c r="Y37" s="57"/>
    </row>
    <row r="38" spans="2:25" x14ac:dyDescent="0.35">
      <c r="B38" s="2" t="s">
        <v>41</v>
      </c>
      <c r="F38" s="240">
        <f>SUM(G38:R38)</f>
        <v>939.38324399999976</v>
      </c>
      <c r="G38" s="240">
        <v>78.281936999999999</v>
      </c>
      <c r="H38" s="240">
        <f>$G$38</f>
        <v>78.281936999999999</v>
      </c>
      <c r="I38" s="240">
        <f t="shared" ref="I38:R38" si="17">$G$38</f>
        <v>78.281936999999999</v>
      </c>
      <c r="J38" s="240">
        <f t="shared" si="17"/>
        <v>78.281936999999999</v>
      </c>
      <c r="K38" s="240">
        <f t="shared" si="17"/>
        <v>78.281936999999999</v>
      </c>
      <c r="L38" s="240">
        <f t="shared" si="17"/>
        <v>78.281936999999999</v>
      </c>
      <c r="M38" s="240">
        <f t="shared" si="17"/>
        <v>78.281936999999999</v>
      </c>
      <c r="N38" s="240">
        <f t="shared" si="17"/>
        <v>78.281936999999999</v>
      </c>
      <c r="O38" s="240">
        <f t="shared" si="17"/>
        <v>78.281936999999999</v>
      </c>
      <c r="P38" s="240">
        <f t="shared" si="17"/>
        <v>78.281936999999999</v>
      </c>
      <c r="Q38" s="240">
        <f t="shared" si="17"/>
        <v>78.281936999999999</v>
      </c>
      <c r="R38" s="240">
        <f t="shared" si="17"/>
        <v>78.281936999999999</v>
      </c>
    </row>
  </sheetData>
  <pageMargins left="0.7" right="0.7" top="0.75" bottom="0.75" header="0.3" footer="0.3"/>
  <pageSetup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B8444-197A-475E-B60F-632D6D33D421}">
  <sheetPr>
    <tabColor rgb="FF2596BE"/>
  </sheetPr>
  <dimension ref="B3:AA48"/>
  <sheetViews>
    <sheetView workbookViewId="0">
      <pane xSplit="5" ySplit="9" topLeftCell="F10" activePane="bottomRight" state="frozen"/>
      <selection activeCell="X38" sqref="X38"/>
      <selection pane="topRight" activeCell="X38" sqref="X38"/>
      <selection pane="bottomLeft" activeCell="X38" sqref="X38"/>
      <selection pane="bottomRight" activeCell="G39" sqref="G39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45.1328125" style="2" customWidth="1"/>
    <col min="6" max="13" width="9.86328125" style="2" customWidth="1" outlineLevel="1"/>
    <col min="14" max="16" width="9.1328125" style="2" customWidth="1" outlineLevel="1"/>
    <col min="17" max="17" width="10.265625" style="2" bestFit="1" customWidth="1"/>
    <col min="18" max="18" width="10.86328125" style="2" customWidth="1"/>
    <col min="19" max="19" width="9.3984375" style="2" customWidth="1"/>
    <col min="20" max="20" width="8.73046875" style="2" customWidth="1"/>
    <col min="21" max="23" width="6.73046875" style="2" customWidth="1"/>
    <col min="24" max="24" width="12.86328125" style="2" customWidth="1"/>
    <col min="25" max="25" width="8.86328125" style="2" customWidth="1"/>
    <col min="26" max="26" width="12.265625" style="2" customWidth="1"/>
    <col min="27" max="16384" width="9.1328125" style="2"/>
  </cols>
  <sheetData>
    <row r="3" spans="2:27" x14ac:dyDescent="0.35">
      <c r="H3" s="60"/>
    </row>
    <row r="4" spans="2:27" x14ac:dyDescent="0.35">
      <c r="B4" s="2" t="s">
        <v>25</v>
      </c>
    </row>
    <row r="6" spans="2:27" x14ac:dyDescent="0.35">
      <c r="B6" s="27" t="s">
        <v>299</v>
      </c>
      <c r="Z6" s="84"/>
    </row>
    <row r="7" spans="2:27" s="6" customFormat="1" x14ac:dyDescent="0.35">
      <c r="B7" s="6" t="s">
        <v>218</v>
      </c>
      <c r="F7" s="74" t="s">
        <v>141</v>
      </c>
      <c r="G7" s="74" t="s">
        <v>141</v>
      </c>
      <c r="H7" s="74" t="s">
        <v>141</v>
      </c>
      <c r="I7" s="74" t="s">
        <v>141</v>
      </c>
      <c r="J7" s="74" t="s">
        <v>141</v>
      </c>
      <c r="K7" s="74" t="s">
        <v>141</v>
      </c>
      <c r="L7" s="74" t="s">
        <v>141</v>
      </c>
      <c r="M7" s="74" t="s">
        <v>141</v>
      </c>
      <c r="N7" s="74" t="s">
        <v>141</v>
      </c>
      <c r="O7" s="74" t="s">
        <v>141</v>
      </c>
      <c r="P7" s="74" t="s">
        <v>141</v>
      </c>
      <c r="Q7" s="74" t="s">
        <v>141</v>
      </c>
    </row>
    <row r="8" spans="2:27" x14ac:dyDescent="0.35">
      <c r="B8" s="32" t="s">
        <v>212</v>
      </c>
      <c r="F8" s="32" t="s">
        <v>52</v>
      </c>
      <c r="R8" s="381" t="s">
        <v>622</v>
      </c>
      <c r="S8" s="380"/>
      <c r="T8" s="380"/>
      <c r="U8" s="381" t="s">
        <v>487</v>
      </c>
      <c r="V8" s="380"/>
      <c r="W8" s="380"/>
      <c r="X8" s="381" t="s">
        <v>505</v>
      </c>
      <c r="Y8" s="380"/>
    </row>
    <row r="9" spans="2:27" ht="13.5" x14ac:dyDescent="0.35">
      <c r="B9" s="45" t="s">
        <v>101</v>
      </c>
      <c r="F9" s="61">
        <v>1</v>
      </c>
      <c r="G9" s="61">
        <v>2</v>
      </c>
      <c r="H9" s="61">
        <v>3</v>
      </c>
      <c r="I9" s="61">
        <v>4</v>
      </c>
      <c r="J9" s="61">
        <v>5</v>
      </c>
      <c r="K9" s="61">
        <v>6</v>
      </c>
      <c r="L9" s="61">
        <v>7</v>
      </c>
      <c r="M9" s="61">
        <v>8</v>
      </c>
      <c r="N9" s="61">
        <v>9</v>
      </c>
      <c r="O9" s="61">
        <v>10</v>
      </c>
      <c r="P9" s="61">
        <v>11</v>
      </c>
      <c r="Q9" s="61">
        <v>12</v>
      </c>
      <c r="R9" s="32" t="s">
        <v>4</v>
      </c>
      <c r="S9" s="32" t="s">
        <v>5</v>
      </c>
      <c r="T9" s="32" t="s">
        <v>3</v>
      </c>
      <c r="U9" s="114" t="s">
        <v>484</v>
      </c>
      <c r="V9" s="113" t="s">
        <v>485</v>
      </c>
      <c r="W9" s="113" t="s">
        <v>486</v>
      </c>
      <c r="X9" s="537" t="s">
        <v>498</v>
      </c>
      <c r="Y9" s="537" t="s">
        <v>499</v>
      </c>
      <c r="Z9" s="73" t="s">
        <v>198</v>
      </c>
    </row>
    <row r="10" spans="2:27" x14ac:dyDescent="0.35">
      <c r="B10" s="27" t="s">
        <v>11</v>
      </c>
      <c r="D10" s="6"/>
      <c r="Q10" s="58"/>
    </row>
    <row r="11" spans="2:27" x14ac:dyDescent="0.35">
      <c r="D11" s="6" t="s">
        <v>12</v>
      </c>
      <c r="F11" s="596"/>
      <c r="G11" s="596"/>
      <c r="H11" s="596"/>
      <c r="I11" s="596"/>
      <c r="J11" s="596"/>
      <c r="K11" s="596"/>
      <c r="L11" s="596"/>
      <c r="M11" s="596"/>
      <c r="Q11" s="58"/>
    </row>
    <row r="12" spans="2:27" outlineLevel="1" x14ac:dyDescent="0.35">
      <c r="E12" s="2" t="s">
        <v>8</v>
      </c>
      <c r="F12" s="103">
        <f>F38*F41/10^6</f>
        <v>273</v>
      </c>
      <c r="G12" s="103">
        <f t="shared" ref="G12:Q12" si="0">G38*G41/10^6</f>
        <v>180</v>
      </c>
      <c r="H12" s="103">
        <f t="shared" si="0"/>
        <v>273</v>
      </c>
      <c r="I12" s="103">
        <f t="shared" si="0"/>
        <v>273</v>
      </c>
      <c r="J12" s="103">
        <f t="shared" si="0"/>
        <v>273</v>
      </c>
      <c r="K12" s="103">
        <f t="shared" si="0"/>
        <v>273</v>
      </c>
      <c r="L12" s="103">
        <f t="shared" si="0"/>
        <v>273</v>
      </c>
      <c r="M12" s="103">
        <f t="shared" si="0"/>
        <v>273</v>
      </c>
      <c r="N12" s="103">
        <f t="shared" si="0"/>
        <v>273</v>
      </c>
      <c r="O12" s="103">
        <f t="shared" si="0"/>
        <v>273</v>
      </c>
      <c r="P12" s="103">
        <f t="shared" si="0"/>
        <v>273</v>
      </c>
      <c r="Q12" s="103">
        <f t="shared" si="0"/>
        <v>273</v>
      </c>
      <c r="R12" s="62">
        <f>SUMIFS($F12:$Q12,$F$7:$Q$7,"A")</f>
        <v>3183</v>
      </c>
      <c r="S12" s="62">
        <f>SUMIFS($F12:$Q12,$F$7:$Q$7,"B")</f>
        <v>0</v>
      </c>
      <c r="T12" s="57">
        <f>SUM(R12:S12)</f>
        <v>3183</v>
      </c>
      <c r="U12" s="96">
        <f t="shared" ref="U12:W27" si="1">IFERROR(R12/R$13,"")</f>
        <v>2.9148351648351647</v>
      </c>
      <c r="V12" s="96" t="str">
        <f t="shared" si="1"/>
        <v/>
      </c>
      <c r="W12" s="96">
        <f>IFERROR(T12/T$13,"")</f>
        <v>2.9148351648351647</v>
      </c>
      <c r="X12" s="97"/>
      <c r="Z12" s="57">
        <f>Z38*Z41/10^6</f>
        <v>3276</v>
      </c>
      <c r="AA12" s="84"/>
    </row>
    <row r="13" spans="2:27" x14ac:dyDescent="0.35">
      <c r="B13" s="65" t="s">
        <v>20</v>
      </c>
      <c r="C13" s="66"/>
      <c r="D13" s="65"/>
      <c r="E13" s="66"/>
      <c r="F13" s="598"/>
      <c r="G13" s="598"/>
      <c r="H13" s="598"/>
      <c r="I13" s="598"/>
      <c r="J13" s="598"/>
      <c r="K13" s="598"/>
      <c r="L13" s="598"/>
      <c r="M13" s="598"/>
      <c r="N13" s="328">
        <f>SUM(N12)</f>
        <v>273</v>
      </c>
      <c r="O13" s="328">
        <f>SUM(O12)</f>
        <v>273</v>
      </c>
      <c r="P13" s="328">
        <f>SUM(P12)</f>
        <v>273</v>
      </c>
      <c r="Q13" s="328">
        <f>SUM(Q12)</f>
        <v>273</v>
      </c>
      <c r="R13" s="328">
        <f>SUMIFS($F13:$Q13,$F$7:$Q$7,"A")</f>
        <v>1092</v>
      </c>
      <c r="S13" s="328">
        <f>SUMIFS($F13:$Q13,$F$7:$Q$7,"B")</f>
        <v>0</v>
      </c>
      <c r="T13" s="72">
        <f>SUM(R13:S13)</f>
        <v>1092</v>
      </c>
      <c r="U13" s="98">
        <f t="shared" si="1"/>
        <v>1</v>
      </c>
      <c r="V13" s="98" t="str">
        <f t="shared" si="1"/>
        <v/>
      </c>
      <c r="W13" s="98">
        <f t="shared" si="1"/>
        <v>1</v>
      </c>
      <c r="X13" s="70"/>
      <c r="Y13" s="70"/>
      <c r="Z13" s="72">
        <f>Z12</f>
        <v>3276</v>
      </c>
    </row>
    <row r="14" spans="2:27" x14ac:dyDescent="0.35">
      <c r="B14" s="55" t="s">
        <v>21</v>
      </c>
      <c r="D14" s="55"/>
      <c r="F14" s="599"/>
      <c r="G14" s="599"/>
      <c r="H14" s="599"/>
      <c r="I14" s="599"/>
      <c r="J14" s="599"/>
      <c r="K14" s="599"/>
      <c r="L14" s="599"/>
      <c r="M14" s="599"/>
      <c r="N14" s="222">
        <v>0</v>
      </c>
      <c r="O14" s="222">
        <v>0</v>
      </c>
      <c r="P14" s="222">
        <v>0</v>
      </c>
      <c r="Q14" s="222">
        <v>0</v>
      </c>
      <c r="R14" s="222">
        <f>SUMIFS($F14:$Q14,$F$7:$Q$7,"A")</f>
        <v>0</v>
      </c>
      <c r="S14" s="222">
        <f>SUMIFS($F14:$Q14,$F$7:$Q$7,"B")</f>
        <v>0</v>
      </c>
      <c r="T14" s="59">
        <f>SUM(R14:S14)</f>
        <v>0</v>
      </c>
      <c r="U14" s="118">
        <f t="shared" si="1"/>
        <v>0</v>
      </c>
      <c r="V14" s="118" t="str">
        <f t="shared" si="1"/>
        <v/>
      </c>
      <c r="W14" s="118">
        <f t="shared" si="1"/>
        <v>0</v>
      </c>
      <c r="Z14" s="59"/>
    </row>
    <row r="15" spans="2:27" x14ac:dyDescent="0.35">
      <c r="B15" s="27" t="s">
        <v>307</v>
      </c>
      <c r="D15" s="55"/>
      <c r="F15" s="599"/>
      <c r="G15" s="599"/>
      <c r="H15" s="599"/>
      <c r="I15" s="599"/>
      <c r="J15" s="599"/>
      <c r="K15" s="599"/>
      <c r="L15" s="599"/>
      <c r="M15" s="599"/>
      <c r="N15" s="222"/>
      <c r="O15" s="222"/>
      <c r="P15" s="222"/>
      <c r="Q15" s="222"/>
      <c r="R15" s="222"/>
      <c r="S15" s="222"/>
      <c r="T15" s="59"/>
      <c r="U15" s="118">
        <f t="shared" si="1"/>
        <v>0</v>
      </c>
      <c r="V15" s="118" t="str">
        <f t="shared" si="1"/>
        <v/>
      </c>
      <c r="W15" s="118">
        <f t="shared" si="1"/>
        <v>0</v>
      </c>
      <c r="Z15" s="59"/>
    </row>
    <row r="16" spans="2:27" x14ac:dyDescent="0.35">
      <c r="B16" s="27"/>
      <c r="D16" s="6" t="s">
        <v>177</v>
      </c>
      <c r="F16" s="599"/>
      <c r="G16" s="599"/>
      <c r="H16" s="599"/>
      <c r="I16" s="599"/>
      <c r="J16" s="599"/>
      <c r="K16" s="599"/>
      <c r="L16" s="599"/>
      <c r="M16" s="599"/>
      <c r="N16" s="222"/>
      <c r="O16" s="222"/>
      <c r="P16" s="222"/>
      <c r="Q16" s="222"/>
      <c r="R16" s="222"/>
      <c r="S16" s="222"/>
      <c r="T16" s="59"/>
      <c r="U16" s="118">
        <f t="shared" si="1"/>
        <v>0</v>
      </c>
      <c r="V16" s="118" t="str">
        <f t="shared" si="1"/>
        <v/>
      </c>
      <c r="W16" s="118">
        <f t="shared" si="1"/>
        <v>0</v>
      </c>
      <c r="Z16" s="59"/>
    </row>
    <row r="17" spans="2:26" x14ac:dyDescent="0.35">
      <c r="B17" s="27"/>
      <c r="D17" s="55"/>
      <c r="E17" s="2" t="s">
        <v>23</v>
      </c>
      <c r="F17" s="605">
        <f>F43*F$38/10^6</f>
        <v>16.10940882352941</v>
      </c>
      <c r="G17" s="605">
        <f>$F17</f>
        <v>16.10940882352941</v>
      </c>
      <c r="H17" s="605">
        <f t="shared" ref="H17:Q17" si="2">$F17</f>
        <v>16.10940882352941</v>
      </c>
      <c r="I17" s="605">
        <f t="shared" si="2"/>
        <v>16.10940882352941</v>
      </c>
      <c r="J17" s="605">
        <f t="shared" si="2"/>
        <v>16.10940882352941</v>
      </c>
      <c r="K17" s="605">
        <f t="shared" si="2"/>
        <v>16.10940882352941</v>
      </c>
      <c r="L17" s="605">
        <f t="shared" si="2"/>
        <v>16.10940882352941</v>
      </c>
      <c r="M17" s="605">
        <f t="shared" si="2"/>
        <v>16.10940882352941</v>
      </c>
      <c r="N17" s="605">
        <f t="shared" si="2"/>
        <v>16.10940882352941</v>
      </c>
      <c r="O17" s="605">
        <f t="shared" si="2"/>
        <v>16.10940882352941</v>
      </c>
      <c r="P17" s="605">
        <f t="shared" si="2"/>
        <v>16.10940882352941</v>
      </c>
      <c r="Q17" s="605">
        <f t="shared" si="2"/>
        <v>16.10940882352941</v>
      </c>
      <c r="R17" s="62">
        <f>SUMIFS($F17:$Q17,$F$7:$Q$7,"A")</f>
        <v>193.31290588235291</v>
      </c>
      <c r="S17" s="62">
        <f>SUMIFS($F17:$Q17,$F$7:$Q$7,"B")</f>
        <v>0</v>
      </c>
      <c r="T17" s="57">
        <f t="shared" ref="T17:T36" si="3">SUM(R17:S17)</f>
        <v>193.31290588235291</v>
      </c>
      <c r="U17" s="118">
        <f t="shared" si="1"/>
        <v>0.17702647058823526</v>
      </c>
      <c r="V17" s="118" t="str">
        <f t="shared" si="1"/>
        <v/>
      </c>
      <c r="W17" s="118">
        <f t="shared" si="1"/>
        <v>0.17702647058823526</v>
      </c>
      <c r="Z17" s="57" t="e">
        <f>#REF!*$Z$38/10^6</f>
        <v>#REF!</v>
      </c>
    </row>
    <row r="18" spans="2:26" x14ac:dyDescent="0.35">
      <c r="B18" s="27"/>
      <c r="D18" s="55"/>
      <c r="E18" s="2" t="s">
        <v>642</v>
      </c>
      <c r="F18" s="605">
        <f t="shared" ref="F18:F20" si="4">F44*F$38/10^6</f>
        <v>13.65</v>
      </c>
      <c r="G18" s="605">
        <f t="shared" ref="G18:Q27" si="5">$F18</f>
        <v>13.65</v>
      </c>
      <c r="H18" s="605">
        <f t="shared" si="5"/>
        <v>13.65</v>
      </c>
      <c r="I18" s="605">
        <f t="shared" si="5"/>
        <v>13.65</v>
      </c>
      <c r="J18" s="605">
        <f t="shared" si="5"/>
        <v>13.65</v>
      </c>
      <c r="K18" s="605">
        <f t="shared" si="5"/>
        <v>13.65</v>
      </c>
      <c r="L18" s="605">
        <f t="shared" si="5"/>
        <v>13.65</v>
      </c>
      <c r="M18" s="605">
        <f t="shared" si="5"/>
        <v>13.65</v>
      </c>
      <c r="N18" s="605">
        <f t="shared" si="5"/>
        <v>13.65</v>
      </c>
      <c r="O18" s="605">
        <f t="shared" si="5"/>
        <v>13.65</v>
      </c>
      <c r="P18" s="605">
        <f t="shared" si="5"/>
        <v>13.65</v>
      </c>
      <c r="Q18" s="605">
        <f t="shared" si="5"/>
        <v>13.65</v>
      </c>
      <c r="R18" s="62">
        <f>SUMIFS($F18:$Q18,$F$7:$Q$7,"A")</f>
        <v>163.80000000000004</v>
      </c>
      <c r="S18" s="62">
        <f>SUMIFS($F18:$Q18,$F$7:$Q$7,"B")</f>
        <v>0</v>
      </c>
      <c r="T18" s="57">
        <f t="shared" si="3"/>
        <v>163.80000000000004</v>
      </c>
      <c r="U18" s="118">
        <f t="shared" si="1"/>
        <v>0.15000000000000005</v>
      </c>
      <c r="V18" s="118" t="str">
        <f t="shared" si="1"/>
        <v/>
      </c>
      <c r="W18" s="118">
        <f t="shared" si="1"/>
        <v>0.15000000000000005</v>
      </c>
      <c r="Z18" s="57" t="e">
        <f>#REF!*$Z$38/10^6</f>
        <v>#REF!</v>
      </c>
    </row>
    <row r="19" spans="2:26" x14ac:dyDescent="0.35">
      <c r="B19" s="27"/>
      <c r="D19" s="55"/>
      <c r="E19" s="2" t="s">
        <v>612</v>
      </c>
      <c r="F19" s="605">
        <f t="shared" si="4"/>
        <v>40.950000000000003</v>
      </c>
      <c r="G19" s="605">
        <f t="shared" si="5"/>
        <v>40.950000000000003</v>
      </c>
      <c r="H19" s="605">
        <f t="shared" si="5"/>
        <v>40.950000000000003</v>
      </c>
      <c r="I19" s="605">
        <f t="shared" si="5"/>
        <v>40.950000000000003</v>
      </c>
      <c r="J19" s="605">
        <f t="shared" si="5"/>
        <v>40.950000000000003</v>
      </c>
      <c r="K19" s="605">
        <f t="shared" si="5"/>
        <v>40.950000000000003</v>
      </c>
      <c r="L19" s="605">
        <f t="shared" si="5"/>
        <v>40.950000000000003</v>
      </c>
      <c r="M19" s="605">
        <f t="shared" si="5"/>
        <v>40.950000000000003</v>
      </c>
      <c r="N19" s="605">
        <f t="shared" si="5"/>
        <v>40.950000000000003</v>
      </c>
      <c r="O19" s="605">
        <f t="shared" si="5"/>
        <v>40.950000000000003</v>
      </c>
      <c r="P19" s="605">
        <f t="shared" si="5"/>
        <v>40.950000000000003</v>
      </c>
      <c r="Q19" s="605">
        <f t="shared" si="5"/>
        <v>40.950000000000003</v>
      </c>
      <c r="R19" s="62">
        <f>SUMIFS($F19:$Q19,$F$7:$Q$7,"A")</f>
        <v>491.39999999999992</v>
      </c>
      <c r="S19" s="62">
        <f>SUMIFS($F19:$Q19,$F$7:$Q$7,"B")</f>
        <v>0</v>
      </c>
      <c r="T19" s="57">
        <f t="shared" si="3"/>
        <v>491.39999999999992</v>
      </c>
      <c r="U19" s="118">
        <f t="shared" si="1"/>
        <v>0.4499999999999999</v>
      </c>
      <c r="V19" s="118" t="str">
        <f t="shared" si="1"/>
        <v/>
      </c>
      <c r="W19" s="118">
        <f t="shared" si="1"/>
        <v>0.4499999999999999</v>
      </c>
      <c r="Z19" s="57" t="e">
        <f>#REF!*$Z$38/10^6</f>
        <v>#REF!</v>
      </c>
    </row>
    <row r="20" spans="2:26" x14ac:dyDescent="0.35">
      <c r="B20" s="55"/>
      <c r="D20" s="55"/>
      <c r="E20" s="2" t="s">
        <v>28</v>
      </c>
      <c r="F20" s="605">
        <f t="shared" si="4"/>
        <v>31.395</v>
      </c>
      <c r="G20" s="605">
        <f t="shared" si="5"/>
        <v>31.395</v>
      </c>
      <c r="H20" s="605">
        <f t="shared" si="5"/>
        <v>31.395</v>
      </c>
      <c r="I20" s="605">
        <f t="shared" si="5"/>
        <v>31.395</v>
      </c>
      <c r="J20" s="605">
        <f t="shared" si="5"/>
        <v>31.395</v>
      </c>
      <c r="K20" s="605">
        <f t="shared" si="5"/>
        <v>31.395</v>
      </c>
      <c r="L20" s="605">
        <f t="shared" si="5"/>
        <v>31.395</v>
      </c>
      <c r="M20" s="605">
        <f t="shared" si="5"/>
        <v>31.395</v>
      </c>
      <c r="N20" s="605">
        <f t="shared" si="5"/>
        <v>31.395</v>
      </c>
      <c r="O20" s="605">
        <f t="shared" si="5"/>
        <v>31.395</v>
      </c>
      <c r="P20" s="605">
        <f t="shared" si="5"/>
        <v>31.395</v>
      </c>
      <c r="Q20" s="605">
        <f t="shared" si="5"/>
        <v>31.395</v>
      </c>
      <c r="R20" s="62">
        <f>SUMIFS($F20:$Q20,$F$7:$Q$7,"A")</f>
        <v>376.73999999999995</v>
      </c>
      <c r="S20" s="62">
        <f>SUMIFS($F20:$Q20,$F$7:$Q$7,"B")</f>
        <v>0</v>
      </c>
      <c r="T20" s="57">
        <f t="shared" si="3"/>
        <v>376.73999999999995</v>
      </c>
      <c r="U20" s="118">
        <f t="shared" si="1"/>
        <v>0.34499999999999997</v>
      </c>
      <c r="V20" s="118" t="str">
        <f t="shared" si="1"/>
        <v/>
      </c>
      <c r="W20" s="118">
        <f t="shared" si="1"/>
        <v>0.34499999999999997</v>
      </c>
      <c r="Z20" s="57" t="e">
        <f>#REF!*$Z$38/10^6</f>
        <v>#REF!</v>
      </c>
    </row>
    <row r="21" spans="2:26" x14ac:dyDescent="0.35">
      <c r="B21" s="55"/>
      <c r="D21" s="55"/>
      <c r="E21" s="2" t="s">
        <v>183</v>
      </c>
      <c r="F21" s="605">
        <f>F47*F12</f>
        <v>27.3</v>
      </c>
      <c r="G21" s="605">
        <f t="shared" si="5"/>
        <v>27.3</v>
      </c>
      <c r="H21" s="605">
        <f t="shared" si="5"/>
        <v>27.3</v>
      </c>
      <c r="I21" s="605">
        <f t="shared" si="5"/>
        <v>27.3</v>
      </c>
      <c r="J21" s="605">
        <f t="shared" si="5"/>
        <v>27.3</v>
      </c>
      <c r="K21" s="605">
        <f t="shared" si="5"/>
        <v>27.3</v>
      </c>
      <c r="L21" s="605">
        <f t="shared" si="5"/>
        <v>27.3</v>
      </c>
      <c r="M21" s="605">
        <f t="shared" si="5"/>
        <v>27.3</v>
      </c>
      <c r="N21" s="605">
        <f t="shared" si="5"/>
        <v>27.3</v>
      </c>
      <c r="O21" s="605">
        <f t="shared" si="5"/>
        <v>27.3</v>
      </c>
      <c r="P21" s="605">
        <f t="shared" si="5"/>
        <v>27.3</v>
      </c>
      <c r="Q21" s="605">
        <f t="shared" si="5"/>
        <v>27.3</v>
      </c>
      <c r="R21" s="62"/>
      <c r="S21" s="62"/>
      <c r="T21" s="57"/>
      <c r="U21" s="118"/>
      <c r="V21" s="118"/>
      <c r="W21" s="118"/>
      <c r="Z21" s="57"/>
    </row>
    <row r="22" spans="2:26" x14ac:dyDescent="0.35">
      <c r="B22" s="55"/>
      <c r="D22" s="6" t="s">
        <v>181</v>
      </c>
      <c r="F22" s="599"/>
      <c r="G22" s="605">
        <f t="shared" si="5"/>
        <v>0</v>
      </c>
      <c r="H22" s="605">
        <f t="shared" si="5"/>
        <v>0</v>
      </c>
      <c r="I22" s="605">
        <f t="shared" si="5"/>
        <v>0</v>
      </c>
      <c r="J22" s="605">
        <f t="shared" si="5"/>
        <v>0</v>
      </c>
      <c r="K22" s="605">
        <f t="shared" si="5"/>
        <v>0</v>
      </c>
      <c r="L22" s="605">
        <f t="shared" si="5"/>
        <v>0</v>
      </c>
      <c r="M22" s="605">
        <f t="shared" si="5"/>
        <v>0</v>
      </c>
      <c r="N22" s="605">
        <f t="shared" si="5"/>
        <v>0</v>
      </c>
      <c r="O22" s="605">
        <f t="shared" si="5"/>
        <v>0</v>
      </c>
      <c r="P22" s="605">
        <f t="shared" si="5"/>
        <v>0</v>
      </c>
      <c r="Q22" s="605">
        <f t="shared" si="5"/>
        <v>0</v>
      </c>
      <c r="R22" s="222"/>
      <c r="S22" s="222"/>
      <c r="T22" s="57"/>
      <c r="U22" s="118"/>
      <c r="V22" s="118"/>
      <c r="W22" s="118"/>
      <c r="Z22" s="59"/>
    </row>
    <row r="23" spans="2:26" x14ac:dyDescent="0.35">
      <c r="B23" s="55"/>
      <c r="D23" s="55"/>
      <c r="E23" s="2" t="s">
        <v>310</v>
      </c>
      <c r="F23" s="605">
        <f>'Điểm hòa vốn'!M43</f>
        <v>24.16</v>
      </c>
      <c r="G23" s="605">
        <f t="shared" si="5"/>
        <v>24.16</v>
      </c>
      <c r="H23" s="605">
        <f t="shared" si="5"/>
        <v>24.16</v>
      </c>
      <c r="I23" s="605">
        <f t="shared" si="5"/>
        <v>24.16</v>
      </c>
      <c r="J23" s="605">
        <f t="shared" si="5"/>
        <v>24.16</v>
      </c>
      <c r="K23" s="605">
        <f t="shared" si="5"/>
        <v>24.16</v>
      </c>
      <c r="L23" s="605">
        <f t="shared" si="5"/>
        <v>24.16</v>
      </c>
      <c r="M23" s="605">
        <f t="shared" si="5"/>
        <v>24.16</v>
      </c>
      <c r="N23" s="605">
        <f t="shared" si="5"/>
        <v>24.16</v>
      </c>
      <c r="O23" s="605">
        <f t="shared" si="5"/>
        <v>24.16</v>
      </c>
      <c r="P23" s="605">
        <f t="shared" si="5"/>
        <v>24.16</v>
      </c>
      <c r="Q23" s="605">
        <f t="shared" si="5"/>
        <v>24.16</v>
      </c>
      <c r="R23" s="605">
        <f>SUMIFS($F23:$Q23,$F$7:$Q$7,"A")</f>
        <v>289.92</v>
      </c>
      <c r="S23" s="62">
        <f>SUMIFS($F23:$Q23,$F$7:$Q$7,"B")</f>
        <v>0</v>
      </c>
      <c r="T23" s="57">
        <f t="shared" si="3"/>
        <v>289.92</v>
      </c>
      <c r="U23" s="118">
        <f t="shared" si="1"/>
        <v>0.26549450549450548</v>
      </c>
      <c r="V23" s="118" t="str">
        <f t="shared" si="1"/>
        <v/>
      </c>
      <c r="W23" s="118">
        <f t="shared" si="1"/>
        <v>0.26549450549450548</v>
      </c>
      <c r="Z23" s="57">
        <f>'Điểm hòa vốn'!M43*12</f>
        <v>289.92</v>
      </c>
    </row>
    <row r="24" spans="2:26" x14ac:dyDescent="0.35">
      <c r="B24" s="55"/>
      <c r="D24" s="55"/>
      <c r="E24" s="2" t="s">
        <v>408</v>
      </c>
      <c r="F24" s="605">
        <f>'Điểm hòa vốn'!M42</f>
        <v>11</v>
      </c>
      <c r="G24" s="605">
        <f t="shared" si="5"/>
        <v>11</v>
      </c>
      <c r="H24" s="605">
        <f t="shared" si="5"/>
        <v>11</v>
      </c>
      <c r="I24" s="605">
        <f t="shared" si="5"/>
        <v>11</v>
      </c>
      <c r="J24" s="605">
        <f t="shared" si="5"/>
        <v>11</v>
      </c>
      <c r="K24" s="605">
        <f t="shared" si="5"/>
        <v>11</v>
      </c>
      <c r="L24" s="605">
        <f t="shared" si="5"/>
        <v>11</v>
      </c>
      <c r="M24" s="605">
        <f t="shared" si="5"/>
        <v>11</v>
      </c>
      <c r="N24" s="605">
        <f t="shared" si="5"/>
        <v>11</v>
      </c>
      <c r="O24" s="605">
        <f t="shared" si="5"/>
        <v>11</v>
      </c>
      <c r="P24" s="605">
        <f t="shared" si="5"/>
        <v>11</v>
      </c>
      <c r="Q24" s="605">
        <f t="shared" si="5"/>
        <v>11</v>
      </c>
      <c r="R24" s="605">
        <f>SUMIFS($F24:$Q24,$F$7:$Q$7,"A")</f>
        <v>132</v>
      </c>
      <c r="S24" s="62">
        <f>SUMIFS($F24:$Q24,$F$7:$Q$7,"B")</f>
        <v>0</v>
      </c>
      <c r="T24" s="57">
        <f t="shared" si="3"/>
        <v>132</v>
      </c>
      <c r="U24" s="118">
        <f t="shared" si="1"/>
        <v>0.12087912087912088</v>
      </c>
      <c r="V24" s="118" t="str">
        <f t="shared" si="1"/>
        <v/>
      </c>
      <c r="W24" s="118">
        <f t="shared" si="1"/>
        <v>0.12087912087912088</v>
      </c>
      <c r="Z24" s="57">
        <f>'Điểm hòa vốn'!M42*12</f>
        <v>132</v>
      </c>
    </row>
    <row r="25" spans="2:26" x14ac:dyDescent="0.35">
      <c r="B25" s="55"/>
      <c r="D25" s="55"/>
      <c r="E25" s="2" t="s">
        <v>182</v>
      </c>
      <c r="F25" s="605">
        <f>'Điểm hòa vốn'!M45</f>
        <v>33.611111111111107</v>
      </c>
      <c r="G25" s="605">
        <f t="shared" si="5"/>
        <v>33.611111111111107</v>
      </c>
      <c r="H25" s="605">
        <f t="shared" si="5"/>
        <v>33.611111111111107</v>
      </c>
      <c r="I25" s="605">
        <f t="shared" si="5"/>
        <v>33.611111111111107</v>
      </c>
      <c r="J25" s="605">
        <f t="shared" si="5"/>
        <v>33.611111111111107</v>
      </c>
      <c r="K25" s="605">
        <f t="shared" si="5"/>
        <v>33.611111111111107</v>
      </c>
      <c r="L25" s="605">
        <f t="shared" si="5"/>
        <v>33.611111111111107</v>
      </c>
      <c r="M25" s="605">
        <f t="shared" si="5"/>
        <v>33.611111111111107</v>
      </c>
      <c r="N25" s="605">
        <f t="shared" si="5"/>
        <v>33.611111111111107</v>
      </c>
      <c r="O25" s="605">
        <f t="shared" si="5"/>
        <v>33.611111111111107</v>
      </c>
      <c r="P25" s="605">
        <f t="shared" si="5"/>
        <v>33.611111111111107</v>
      </c>
      <c r="Q25" s="605">
        <f t="shared" si="5"/>
        <v>33.611111111111107</v>
      </c>
      <c r="R25" s="605"/>
      <c r="S25" s="62"/>
      <c r="T25" s="57"/>
      <c r="U25" s="118"/>
      <c r="V25" s="118"/>
      <c r="W25" s="118"/>
      <c r="Z25" s="57"/>
    </row>
    <row r="26" spans="2:26" x14ac:dyDescent="0.35">
      <c r="B26" s="55"/>
      <c r="D26" s="55"/>
      <c r="E26" s="2" t="s">
        <v>631</v>
      </c>
      <c r="F26" s="605">
        <f>'Điểm hòa vốn'!M44+'Điểm hòa vốn'!M54</f>
        <v>15</v>
      </c>
      <c r="G26" s="605">
        <f t="shared" si="5"/>
        <v>15</v>
      </c>
      <c r="H26" s="605">
        <f t="shared" si="5"/>
        <v>15</v>
      </c>
      <c r="I26" s="605">
        <f t="shared" si="5"/>
        <v>15</v>
      </c>
      <c r="J26" s="605">
        <f t="shared" si="5"/>
        <v>15</v>
      </c>
      <c r="K26" s="605">
        <f t="shared" si="5"/>
        <v>15</v>
      </c>
      <c r="L26" s="605">
        <f t="shared" si="5"/>
        <v>15</v>
      </c>
      <c r="M26" s="605">
        <f t="shared" si="5"/>
        <v>15</v>
      </c>
      <c r="N26" s="605">
        <f t="shared" si="5"/>
        <v>15</v>
      </c>
      <c r="O26" s="605">
        <f t="shared" si="5"/>
        <v>15</v>
      </c>
      <c r="P26" s="605">
        <f t="shared" si="5"/>
        <v>15</v>
      </c>
      <c r="Q26" s="605">
        <f t="shared" si="5"/>
        <v>15</v>
      </c>
      <c r="R26" s="605">
        <f>SUMIFS($F26:$Q26,$F$7:$Q$7,"A")</f>
        <v>180</v>
      </c>
      <c r="S26" s="62">
        <f>SUMIFS($F26:$Q26,$F$7:$Q$7,"B")</f>
        <v>0</v>
      </c>
      <c r="T26" s="57">
        <f t="shared" si="3"/>
        <v>180</v>
      </c>
      <c r="U26" s="118">
        <f t="shared" si="1"/>
        <v>0.16483516483516483</v>
      </c>
      <c r="V26" s="118" t="str">
        <f t="shared" si="1"/>
        <v/>
      </c>
      <c r="W26" s="118">
        <f t="shared" si="1"/>
        <v>0.16483516483516483</v>
      </c>
      <c r="Z26" s="57">
        <f>'Điểm hòa vốn'!M44*12</f>
        <v>120</v>
      </c>
    </row>
    <row r="27" spans="2:26" x14ac:dyDescent="0.35">
      <c r="B27" s="55"/>
      <c r="D27" s="55"/>
      <c r="E27" s="2" t="s">
        <v>691</v>
      </c>
      <c r="F27" s="605">
        <f>F48*F12</f>
        <v>13.65</v>
      </c>
      <c r="G27" s="605">
        <f t="shared" si="5"/>
        <v>13.65</v>
      </c>
      <c r="H27" s="605">
        <f t="shared" si="5"/>
        <v>13.65</v>
      </c>
      <c r="I27" s="605">
        <f t="shared" si="5"/>
        <v>13.65</v>
      </c>
      <c r="J27" s="605">
        <f t="shared" si="5"/>
        <v>13.65</v>
      </c>
      <c r="K27" s="605">
        <f t="shared" si="5"/>
        <v>13.65</v>
      </c>
      <c r="L27" s="605">
        <f t="shared" si="5"/>
        <v>13.65</v>
      </c>
      <c r="M27" s="605">
        <f t="shared" si="5"/>
        <v>13.65</v>
      </c>
      <c r="N27" s="605">
        <f t="shared" si="5"/>
        <v>13.65</v>
      </c>
      <c r="O27" s="605">
        <f t="shared" si="5"/>
        <v>13.65</v>
      </c>
      <c r="P27" s="605">
        <f t="shared" si="5"/>
        <v>13.65</v>
      </c>
      <c r="Q27" s="605">
        <f t="shared" si="5"/>
        <v>13.65</v>
      </c>
      <c r="R27" s="605">
        <f t="shared" ref="R27:R36" si="6">SUMIFS($F27:$Q27,$F$7:$Q$7,"A")</f>
        <v>163.80000000000004</v>
      </c>
      <c r="S27" s="62">
        <f t="shared" ref="S27:S36" si="7">SUMIFS($F27:$Q27,$F$7:$Q$7,"B")</f>
        <v>0</v>
      </c>
      <c r="T27" s="57">
        <f t="shared" si="3"/>
        <v>163.80000000000004</v>
      </c>
      <c r="U27" s="118">
        <f t="shared" si="1"/>
        <v>0.15000000000000005</v>
      </c>
      <c r="V27" s="118" t="str">
        <f t="shared" si="1"/>
        <v/>
      </c>
      <c r="W27" s="118">
        <f t="shared" si="1"/>
        <v>0.15000000000000005</v>
      </c>
      <c r="Z27" s="57">
        <f>'Điểm hòa vốn'!M45*12</f>
        <v>403.33333333333326</v>
      </c>
    </row>
    <row r="28" spans="2:26" ht="13.15" thickBot="1" x14ac:dyDescent="0.4">
      <c r="B28" s="604" t="s">
        <v>687</v>
      </c>
      <c r="C28" s="100"/>
      <c r="D28" s="604"/>
      <c r="E28" s="100"/>
      <c r="F28" s="609">
        <f>SUM(F17:F27)</f>
        <v>226.82551993464054</v>
      </c>
      <c r="G28" s="609">
        <f t="shared" ref="G28:Q28" si="8">SUM(G17:G27)</f>
        <v>226.82551993464054</v>
      </c>
      <c r="H28" s="609">
        <f t="shared" si="8"/>
        <v>226.82551993464054</v>
      </c>
      <c r="I28" s="609">
        <f t="shared" si="8"/>
        <v>226.82551993464054</v>
      </c>
      <c r="J28" s="609">
        <f t="shared" si="8"/>
        <v>226.82551993464054</v>
      </c>
      <c r="K28" s="609">
        <f t="shared" si="8"/>
        <v>226.82551993464054</v>
      </c>
      <c r="L28" s="609">
        <f t="shared" si="8"/>
        <v>226.82551993464054</v>
      </c>
      <c r="M28" s="609">
        <f t="shared" si="8"/>
        <v>226.82551993464054</v>
      </c>
      <c r="N28" s="609">
        <f t="shared" si="8"/>
        <v>226.82551993464054</v>
      </c>
      <c r="O28" s="609">
        <f t="shared" si="8"/>
        <v>226.82551993464054</v>
      </c>
      <c r="P28" s="609">
        <f t="shared" si="8"/>
        <v>226.82551993464054</v>
      </c>
      <c r="Q28" s="609">
        <f t="shared" si="8"/>
        <v>226.82551993464054</v>
      </c>
      <c r="R28" s="99"/>
      <c r="S28" s="99"/>
      <c r="T28" s="227"/>
      <c r="U28" s="422"/>
      <c r="V28" s="422"/>
      <c r="W28" s="422"/>
      <c r="X28" s="100"/>
      <c r="Y28" s="100"/>
      <c r="Z28" s="227"/>
    </row>
    <row r="29" spans="2:26" x14ac:dyDescent="0.35">
      <c r="B29" s="89" t="s">
        <v>190</v>
      </c>
      <c r="C29" s="90"/>
      <c r="D29" s="90"/>
      <c r="E29" s="91"/>
      <c r="F29" s="600">
        <f t="shared" ref="F29:M29" si="9">SUM(F31:F31)</f>
        <v>33.333333000000003</v>
      </c>
      <c r="G29" s="600">
        <f t="shared" si="9"/>
        <v>0</v>
      </c>
      <c r="H29" s="600">
        <f t="shared" si="9"/>
        <v>0</v>
      </c>
      <c r="I29" s="600">
        <f t="shared" si="9"/>
        <v>0</v>
      </c>
      <c r="J29" s="600">
        <f t="shared" si="9"/>
        <v>0</v>
      </c>
      <c r="K29" s="600">
        <f t="shared" si="9"/>
        <v>0</v>
      </c>
      <c r="L29" s="600">
        <f t="shared" si="9"/>
        <v>0</v>
      </c>
      <c r="M29" s="600">
        <f t="shared" si="9"/>
        <v>0</v>
      </c>
      <c r="N29" s="92">
        <f>N13-SUM(N17:N27)</f>
        <v>46.174480065359461</v>
      </c>
      <c r="O29" s="92">
        <f>O13-SUM(O17:O27)</f>
        <v>46.174480065359461</v>
      </c>
      <c r="P29" s="92">
        <f>P13-SUM(P17:P27)</f>
        <v>46.174480065359461</v>
      </c>
      <c r="Q29" s="92">
        <f>Q13-SUM(Q17:Q27)</f>
        <v>46.174480065359461</v>
      </c>
      <c r="R29" s="92">
        <f t="shared" si="6"/>
        <v>218.03125326143785</v>
      </c>
      <c r="S29" s="92">
        <f t="shared" si="7"/>
        <v>0</v>
      </c>
      <c r="T29" s="92">
        <f t="shared" si="3"/>
        <v>218.03125326143785</v>
      </c>
      <c r="U29" s="104">
        <f t="shared" ref="U29:W36" si="10">IFERROR(R29/R$13,"")</f>
        <v>0.19966231983648156</v>
      </c>
      <c r="V29" s="104" t="str">
        <f t="shared" si="10"/>
        <v/>
      </c>
      <c r="W29" s="104">
        <f t="shared" si="10"/>
        <v>0.19966231983648156</v>
      </c>
      <c r="X29" s="92"/>
      <c r="Y29" s="92"/>
      <c r="Z29" s="92" t="e">
        <f>Z13-SUM(Z17:Z27)</f>
        <v>#REF!</v>
      </c>
    </row>
    <row r="30" spans="2:26" x14ac:dyDescent="0.35">
      <c r="B30" s="568" t="s">
        <v>45</v>
      </c>
      <c r="C30" s="6"/>
      <c r="D30" s="6"/>
      <c r="F30" s="606"/>
      <c r="G30" s="601"/>
      <c r="H30" s="601"/>
      <c r="I30" s="601"/>
      <c r="J30" s="601"/>
      <c r="K30" s="601"/>
      <c r="L30" s="601"/>
      <c r="M30" s="601"/>
      <c r="N30" s="85"/>
      <c r="O30" s="85"/>
      <c r="P30" s="85"/>
      <c r="Q30" s="85"/>
      <c r="R30" s="85">
        <f t="shared" si="6"/>
        <v>0</v>
      </c>
      <c r="S30" s="85">
        <f t="shared" si="7"/>
        <v>0</v>
      </c>
      <c r="T30" s="85">
        <f t="shared" si="3"/>
        <v>0</v>
      </c>
      <c r="U30" s="105">
        <f t="shared" si="10"/>
        <v>0</v>
      </c>
      <c r="V30" s="105" t="str">
        <f t="shared" si="10"/>
        <v/>
      </c>
      <c r="W30" s="105">
        <f t="shared" si="10"/>
        <v>0</v>
      </c>
      <c r="X30" s="85"/>
      <c r="Y30" s="85"/>
      <c r="Z30" s="85"/>
    </row>
    <row r="31" spans="2:26" x14ac:dyDescent="0.35">
      <c r="B31" s="2" t="s">
        <v>641</v>
      </c>
      <c r="F31" s="103">
        <f>'Điểm hòa vốn'!M47</f>
        <v>33.333333000000003</v>
      </c>
      <c r="G31" s="597"/>
      <c r="H31" s="597"/>
      <c r="I31" s="597"/>
      <c r="J31" s="597"/>
      <c r="K31" s="597"/>
      <c r="L31" s="597"/>
      <c r="M31" s="597"/>
      <c r="N31" s="62">
        <f>33333333/(10^6)</f>
        <v>33.333333000000003</v>
      </c>
      <c r="O31" s="62">
        <f>33333333/(10^6)</f>
        <v>33.333333000000003</v>
      </c>
      <c r="P31" s="62">
        <f>33333333/(10^6)</f>
        <v>33.333333000000003</v>
      </c>
      <c r="Q31" s="57">
        <f>P31</f>
        <v>33.333333000000003</v>
      </c>
      <c r="R31" s="62">
        <f t="shared" si="6"/>
        <v>166.66666500000002</v>
      </c>
      <c r="S31" s="62">
        <f t="shared" si="7"/>
        <v>0</v>
      </c>
      <c r="T31" s="57">
        <f t="shared" si="3"/>
        <v>166.66666500000002</v>
      </c>
      <c r="U31" s="118">
        <f t="shared" si="10"/>
        <v>0.15262515109890112</v>
      </c>
      <c r="V31" s="118" t="str">
        <f t="shared" si="10"/>
        <v/>
      </c>
      <c r="W31" s="118">
        <f t="shared" si="10"/>
        <v>0.15262515109890112</v>
      </c>
      <c r="X31" s="97"/>
      <c r="Z31" s="57">
        <f>Q31*12</f>
        <v>399.99999600000001</v>
      </c>
    </row>
    <row r="32" spans="2:26" x14ac:dyDescent="0.35">
      <c r="B32" s="2" t="s">
        <v>195</v>
      </c>
      <c r="F32" s="103"/>
      <c r="G32" s="597"/>
      <c r="H32" s="597"/>
      <c r="I32" s="597"/>
      <c r="J32" s="597"/>
      <c r="K32" s="597"/>
      <c r="L32" s="597"/>
      <c r="M32" s="597"/>
      <c r="N32" s="62"/>
      <c r="O32" s="62"/>
      <c r="P32" s="62"/>
      <c r="Q32" s="57"/>
      <c r="R32" s="62">
        <f t="shared" si="6"/>
        <v>0</v>
      </c>
      <c r="S32" s="62">
        <f t="shared" si="7"/>
        <v>0</v>
      </c>
      <c r="T32" s="57">
        <f t="shared" si="3"/>
        <v>0</v>
      </c>
      <c r="U32" s="118">
        <f t="shared" si="10"/>
        <v>0</v>
      </c>
      <c r="V32" s="118" t="str">
        <f t="shared" si="10"/>
        <v/>
      </c>
      <c r="W32" s="118">
        <f t="shared" si="10"/>
        <v>0</v>
      </c>
      <c r="X32" s="97"/>
      <c r="Z32" s="57"/>
    </row>
    <row r="33" spans="2:26" x14ac:dyDescent="0.35">
      <c r="B33" s="2" t="s">
        <v>647</v>
      </c>
      <c r="F33" s="103"/>
      <c r="G33" s="597"/>
      <c r="H33" s="597"/>
      <c r="I33" s="597"/>
      <c r="J33" s="597"/>
      <c r="K33" s="597"/>
      <c r="L33" s="597"/>
      <c r="M33" s="597"/>
      <c r="N33" s="62"/>
      <c r="O33" s="62"/>
      <c r="P33" s="62"/>
      <c r="Q33" s="57"/>
      <c r="R33" s="62">
        <f t="shared" si="6"/>
        <v>0</v>
      </c>
      <c r="S33" s="62">
        <f t="shared" si="7"/>
        <v>0</v>
      </c>
      <c r="T33" s="57">
        <f t="shared" si="3"/>
        <v>0</v>
      </c>
      <c r="U33" s="118">
        <f t="shared" si="10"/>
        <v>0</v>
      </c>
      <c r="V33" s="118" t="str">
        <f t="shared" si="10"/>
        <v/>
      </c>
      <c r="W33" s="118">
        <f t="shared" si="10"/>
        <v>0</v>
      </c>
      <c r="X33" s="97"/>
      <c r="Z33" s="57"/>
    </row>
    <row r="34" spans="2:26" x14ac:dyDescent="0.35">
      <c r="B34" s="308" t="s">
        <v>216</v>
      </c>
      <c r="C34" s="66"/>
      <c r="D34" s="66"/>
      <c r="E34" s="66"/>
      <c r="F34" s="607">
        <f>F29-SUBTOTAL(9,F30:F33)</f>
        <v>0</v>
      </c>
      <c r="G34" s="602">
        <f t="shared" ref="G34:Q34" si="11">G29-SUBTOTAL(9,G30:G33)</f>
        <v>0</v>
      </c>
      <c r="H34" s="602">
        <f t="shared" si="11"/>
        <v>0</v>
      </c>
      <c r="I34" s="602">
        <f t="shared" si="11"/>
        <v>0</v>
      </c>
      <c r="J34" s="602">
        <f t="shared" si="11"/>
        <v>0</v>
      </c>
      <c r="K34" s="602">
        <f t="shared" si="11"/>
        <v>0</v>
      </c>
      <c r="L34" s="602">
        <f t="shared" si="11"/>
        <v>0</v>
      </c>
      <c r="M34" s="602">
        <f t="shared" si="11"/>
        <v>0</v>
      </c>
      <c r="N34" s="116">
        <f t="shared" si="11"/>
        <v>12.841147065359458</v>
      </c>
      <c r="O34" s="116">
        <f t="shared" si="11"/>
        <v>12.841147065359458</v>
      </c>
      <c r="P34" s="116">
        <f t="shared" si="11"/>
        <v>12.841147065359458</v>
      </c>
      <c r="Q34" s="116">
        <f t="shared" si="11"/>
        <v>12.841147065359458</v>
      </c>
      <c r="R34" s="116">
        <f t="shared" si="6"/>
        <v>51.364588261437831</v>
      </c>
      <c r="S34" s="576">
        <f t="shared" si="7"/>
        <v>0</v>
      </c>
      <c r="T34" s="116">
        <f t="shared" si="3"/>
        <v>51.364588261437831</v>
      </c>
      <c r="U34" s="563">
        <f t="shared" si="10"/>
        <v>4.7037168737580431E-2</v>
      </c>
      <c r="V34" s="563" t="str">
        <f t="shared" si="10"/>
        <v/>
      </c>
      <c r="W34" s="563">
        <f t="shared" si="10"/>
        <v>4.7037168737580431E-2</v>
      </c>
      <c r="X34" s="577"/>
      <c r="Y34" s="66"/>
      <c r="Z34" s="229">
        <f>W34*Z13</f>
        <v>154.09376478431349</v>
      </c>
    </row>
    <row r="35" spans="2:26" ht="13.15" thickBot="1" x14ac:dyDescent="0.4">
      <c r="C35" s="2" t="s">
        <v>638</v>
      </c>
      <c r="D35" s="55"/>
      <c r="F35" s="608">
        <f>IF(F34&lt;0,0,F34*20%)</f>
        <v>0</v>
      </c>
      <c r="G35" s="59"/>
      <c r="H35" s="59"/>
      <c r="I35" s="59"/>
      <c r="J35" s="59"/>
      <c r="K35" s="59"/>
      <c r="L35" s="59"/>
      <c r="M35" s="59"/>
      <c r="N35" s="356">
        <f>IF(N34&lt;0,0,N34*20%)</f>
        <v>2.5682294130718919</v>
      </c>
      <c r="O35" s="356">
        <f t="shared" ref="O35:Q35" si="12">IF(O34&lt;0,0,O34*20%)</f>
        <v>2.5682294130718919</v>
      </c>
      <c r="P35" s="356">
        <f t="shared" si="12"/>
        <v>2.5682294130718919</v>
      </c>
      <c r="Q35" s="356">
        <f t="shared" si="12"/>
        <v>2.5682294130718919</v>
      </c>
      <c r="R35" s="59">
        <f t="shared" si="6"/>
        <v>10.272917652287568</v>
      </c>
      <c r="S35" s="59">
        <f t="shared" si="7"/>
        <v>0</v>
      </c>
      <c r="T35" s="59">
        <f t="shared" si="3"/>
        <v>10.272917652287568</v>
      </c>
      <c r="U35" s="540">
        <f t="shared" si="10"/>
        <v>9.407433747516087E-3</v>
      </c>
      <c r="V35" s="540" t="str">
        <f t="shared" si="10"/>
        <v/>
      </c>
      <c r="W35" s="540">
        <f t="shared" si="10"/>
        <v>9.407433747516087E-3</v>
      </c>
      <c r="X35" s="105"/>
      <c r="Y35" s="105"/>
      <c r="Z35" s="57"/>
    </row>
    <row r="36" spans="2:26" outlineLevel="1" x14ac:dyDescent="0.35">
      <c r="B36" s="89" t="s">
        <v>194</v>
      </c>
      <c r="C36" s="90"/>
      <c r="D36" s="90"/>
      <c r="E36" s="91"/>
      <c r="F36" s="92">
        <f>F34-F35</f>
        <v>0</v>
      </c>
      <c r="G36" s="92">
        <f t="shared" ref="G36:Q36" si="13">G34-G35</f>
        <v>0</v>
      </c>
      <c r="H36" s="92">
        <f t="shared" si="13"/>
        <v>0</v>
      </c>
      <c r="I36" s="92">
        <f t="shared" si="13"/>
        <v>0</v>
      </c>
      <c r="J36" s="92">
        <f t="shared" si="13"/>
        <v>0</v>
      </c>
      <c r="K36" s="92">
        <f t="shared" si="13"/>
        <v>0</v>
      </c>
      <c r="L36" s="92">
        <f t="shared" si="13"/>
        <v>0</v>
      </c>
      <c r="M36" s="92">
        <f t="shared" si="13"/>
        <v>0</v>
      </c>
      <c r="N36" s="92">
        <f t="shared" si="13"/>
        <v>10.272917652287566</v>
      </c>
      <c r="O36" s="92">
        <f t="shared" si="13"/>
        <v>10.272917652287566</v>
      </c>
      <c r="P36" s="92">
        <f t="shared" si="13"/>
        <v>10.272917652287566</v>
      </c>
      <c r="Q36" s="92">
        <f t="shared" si="13"/>
        <v>10.272917652287566</v>
      </c>
      <c r="R36" s="92">
        <f t="shared" si="6"/>
        <v>41.091670609150263</v>
      </c>
      <c r="S36" s="92">
        <f t="shared" si="7"/>
        <v>0</v>
      </c>
      <c r="T36" s="92">
        <f t="shared" si="3"/>
        <v>41.091670609150263</v>
      </c>
      <c r="U36" s="104">
        <f t="shared" si="10"/>
        <v>3.7629734990064341E-2</v>
      </c>
      <c r="V36" s="104" t="str">
        <f t="shared" si="10"/>
        <v/>
      </c>
      <c r="W36" s="104">
        <f t="shared" si="10"/>
        <v>3.7629734990064341E-2</v>
      </c>
      <c r="X36" s="92"/>
      <c r="Y36" s="92"/>
      <c r="Z36" s="95"/>
    </row>
    <row r="38" spans="2:26" x14ac:dyDescent="0.35">
      <c r="B38" s="6" t="s">
        <v>301</v>
      </c>
      <c r="F38" s="84">
        <f>Z38/12</f>
        <v>273</v>
      </c>
      <c r="G38" s="84">
        <v>180</v>
      </c>
      <c r="H38" s="84">
        <f t="shared" ref="H38:Q38" si="14">$F$38</f>
        <v>273</v>
      </c>
      <c r="I38" s="84">
        <f t="shared" si="14"/>
        <v>273</v>
      </c>
      <c r="J38" s="84">
        <f t="shared" si="14"/>
        <v>273</v>
      </c>
      <c r="K38" s="84">
        <f t="shared" si="14"/>
        <v>273</v>
      </c>
      <c r="L38" s="84">
        <f t="shared" si="14"/>
        <v>273</v>
      </c>
      <c r="M38" s="84">
        <f t="shared" si="14"/>
        <v>273</v>
      </c>
      <c r="N38" s="84">
        <f t="shared" si="14"/>
        <v>273</v>
      </c>
      <c r="O38" s="84">
        <f t="shared" si="14"/>
        <v>273</v>
      </c>
      <c r="P38" s="84">
        <f t="shared" si="14"/>
        <v>273</v>
      </c>
      <c r="Q38" s="84">
        <f t="shared" si="14"/>
        <v>273</v>
      </c>
      <c r="R38" s="62">
        <f>SUMIFS($F38:$Q38,$F$7:$Q$7,"A")</f>
        <v>3183</v>
      </c>
      <c r="S38" s="62">
        <f>SUMIFS($F38:$Q38,$F$7:$Q$7,"B")</f>
        <v>0</v>
      </c>
      <c r="T38" s="57">
        <f>SUM(N38:Q38)</f>
        <v>1092</v>
      </c>
      <c r="U38" s="57"/>
      <c r="V38" s="57"/>
      <c r="Z38" s="57">
        <f>Z40*Z39</f>
        <v>3276</v>
      </c>
    </row>
    <row r="39" spans="2:26" x14ac:dyDescent="0.35">
      <c r="B39" s="6" t="s">
        <v>438</v>
      </c>
      <c r="F39" s="97">
        <v>0.16851851851851851</v>
      </c>
      <c r="G39" s="97">
        <v>0.16851851851851851</v>
      </c>
      <c r="H39" s="97">
        <v>0.16851851851851851</v>
      </c>
      <c r="I39" s="97">
        <v>0.16851851851851851</v>
      </c>
      <c r="J39" s="97">
        <v>0.16851851851851851</v>
      </c>
      <c r="K39" s="97">
        <v>0.16851851851851851</v>
      </c>
      <c r="L39" s="97">
        <v>0.16851851851851851</v>
      </c>
      <c r="M39" s="97">
        <v>0.16851851851851851</v>
      </c>
      <c r="N39" s="58">
        <f>30*9*60/10</f>
        <v>1620</v>
      </c>
      <c r="O39" s="58">
        <f>30*9*60/10</f>
        <v>1620</v>
      </c>
      <c r="P39" s="58">
        <f>30*9*60/10</f>
        <v>1620</v>
      </c>
      <c r="Q39" s="58">
        <f>30*9*60/10</f>
        <v>1620</v>
      </c>
      <c r="R39" s="62">
        <f>SUMIFS($F39:$Q39,$F$7:$Q$7,"A")</f>
        <v>6481.3481481481485</v>
      </c>
      <c r="S39" s="62">
        <f>SUMIFS($F39:$Q39,$F$7:$Q$7,"B")</f>
        <v>0</v>
      </c>
      <c r="T39" s="58">
        <f>SUM(N39:Q39)</f>
        <v>6480</v>
      </c>
      <c r="U39" s="58"/>
      <c r="V39" s="58"/>
      <c r="Z39" s="62">
        <f>Q39*12</f>
        <v>19440</v>
      </c>
    </row>
    <row r="40" spans="2:26" x14ac:dyDescent="0.35">
      <c r="B40" s="6" t="s">
        <v>439</v>
      </c>
      <c r="F40" s="97">
        <v>0.16851851851851851</v>
      </c>
      <c r="G40" s="97">
        <v>0.16851851851851851</v>
      </c>
      <c r="H40" s="97">
        <v>0.16851851851851851</v>
      </c>
      <c r="I40" s="97">
        <v>0.16851851851851851</v>
      </c>
      <c r="J40" s="97">
        <v>0.16851851851851851</v>
      </c>
      <c r="K40" s="97">
        <v>0.16851851851851851</v>
      </c>
      <c r="L40" s="97">
        <v>0.16851851851851851</v>
      </c>
      <c r="M40" s="97">
        <v>0.16851851851851851</v>
      </c>
      <c r="N40" s="96">
        <f>N38/N39</f>
        <v>0.16851851851851851</v>
      </c>
      <c r="O40" s="96">
        <f>O38/O39</f>
        <v>0.16851851851851851</v>
      </c>
      <c r="P40" s="96">
        <f>P38/P39</f>
        <v>0.16851851851851851</v>
      </c>
      <c r="Q40" s="96">
        <f>Q38/Q39</f>
        <v>0.16851851851851851</v>
      </c>
      <c r="R40" s="96">
        <f>R38/R39</f>
        <v>0.49110153123149958</v>
      </c>
      <c r="T40" s="96">
        <f>T38/T39</f>
        <v>0.16851851851851851</v>
      </c>
      <c r="U40" s="96"/>
      <c r="V40" s="96"/>
      <c r="Z40" s="97">
        <v>0.16851851851851851</v>
      </c>
    </row>
    <row r="41" spans="2:26" x14ac:dyDescent="0.35">
      <c r="B41" s="6" t="s">
        <v>444</v>
      </c>
      <c r="F41" s="240">
        <v>1000000</v>
      </c>
      <c r="G41" s="240">
        <v>1000000</v>
      </c>
      <c r="H41" s="240">
        <v>1000000</v>
      </c>
      <c r="I41" s="240">
        <v>1000000</v>
      </c>
      <c r="J41" s="240">
        <v>1000000</v>
      </c>
      <c r="K41" s="240">
        <v>1000000</v>
      </c>
      <c r="L41" s="240">
        <v>1000000</v>
      </c>
      <c r="M41" s="240">
        <v>1000000</v>
      </c>
      <c r="N41" s="284">
        <v>1000000</v>
      </c>
      <c r="O41" s="284">
        <v>1000000</v>
      </c>
      <c r="P41" s="284">
        <v>1000000</v>
      </c>
      <c r="Q41" s="284">
        <v>1000000</v>
      </c>
      <c r="R41" s="62">
        <f>R13*10^6/R38</f>
        <v>343072.57304429781</v>
      </c>
      <c r="T41" s="62">
        <f>T13*10^6/T38</f>
        <v>1000000</v>
      </c>
      <c r="U41" s="62"/>
      <c r="V41" s="62"/>
      <c r="Z41" s="238">
        <f>'Điểm hòa vốn'!M84</f>
        <v>1000000</v>
      </c>
    </row>
    <row r="43" spans="2:26" x14ac:dyDescent="0.35">
      <c r="B43" s="6" t="s">
        <v>23</v>
      </c>
      <c r="F43" s="62">
        <f>'Điểm hòa vốn'!M59</f>
        <v>59008.823529411762</v>
      </c>
    </row>
    <row r="44" spans="2:26" x14ac:dyDescent="0.35">
      <c r="B44" s="6" t="s">
        <v>642</v>
      </c>
      <c r="F44" s="62">
        <f>'Điểm hòa vốn'!M68</f>
        <v>50000</v>
      </c>
    </row>
    <row r="45" spans="2:26" x14ac:dyDescent="0.35">
      <c r="B45" s="6" t="s">
        <v>612</v>
      </c>
      <c r="F45" s="62">
        <f>'Điểm hòa vốn'!M72</f>
        <v>150000</v>
      </c>
    </row>
    <row r="46" spans="2:26" x14ac:dyDescent="0.35">
      <c r="B46" s="6" t="s">
        <v>28</v>
      </c>
      <c r="F46" s="62">
        <f>'Điểm hòa vốn'!M76</f>
        <v>115000</v>
      </c>
    </row>
    <row r="47" spans="2:26" x14ac:dyDescent="0.35">
      <c r="B47" s="6" t="s">
        <v>686</v>
      </c>
      <c r="F47" s="603">
        <v>0.1</v>
      </c>
    </row>
    <row r="48" spans="2:26" x14ac:dyDescent="0.35">
      <c r="B48" s="6" t="s">
        <v>691</v>
      </c>
      <c r="F48" s="97">
        <v>0.05</v>
      </c>
    </row>
  </sheetData>
  <pageMargins left="0.7" right="0.7" top="0.75" bottom="0.75" header="0.3" footer="0.3"/>
  <pageSetup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84F5-5EF8-463D-BA56-7D2D66EA95D4}">
  <sheetPr>
    <tabColor rgb="FF2596BE"/>
  </sheetPr>
  <dimension ref="B3:Y64"/>
  <sheetViews>
    <sheetView workbookViewId="0">
      <pane xSplit="5" ySplit="9" topLeftCell="F22" activePane="bottomRight" state="frozen"/>
      <selection pane="topRight" activeCell="E1" sqref="E1"/>
      <selection pane="bottomLeft" activeCell="A4" sqref="A4"/>
      <selection pane="bottomRight" activeCell="H21" sqref="H21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45.1328125" style="2" customWidth="1"/>
    <col min="6" max="6" width="12.265625" style="2" customWidth="1"/>
    <col min="7" max="7" width="9.1328125" style="2" customWidth="1" outlineLevel="1"/>
    <col min="8" max="8" width="10.3984375" style="2" customWidth="1" outlineLevel="1"/>
    <col min="9" max="9" width="10.73046875" style="2" customWidth="1" outlineLevel="1"/>
    <col min="10" max="17" width="11.3984375" style="2" customWidth="1" outlineLevel="1"/>
    <col min="18" max="18" width="10.265625" style="2" bestFit="1" customWidth="1"/>
    <col min="19" max="19" width="12.1328125" style="2" customWidth="1"/>
    <col min="20" max="20" width="10.59765625" style="2" customWidth="1"/>
    <col min="21" max="21" width="18.59765625" style="2" customWidth="1"/>
    <col min="22" max="22" width="11.3984375" style="2" customWidth="1"/>
    <col min="23" max="23" width="12.86328125" style="2" customWidth="1"/>
    <col min="24" max="24" width="13.1328125" style="2" customWidth="1"/>
    <col min="25" max="16384" width="9.1328125" style="2"/>
  </cols>
  <sheetData>
    <row r="3" spans="2:25" x14ac:dyDescent="0.35">
      <c r="I3" s="60"/>
    </row>
    <row r="4" spans="2:25" x14ac:dyDescent="0.35">
      <c r="B4" s="2" t="s">
        <v>25</v>
      </c>
    </row>
    <row r="6" spans="2:25" x14ac:dyDescent="0.35">
      <c r="B6" s="27" t="s">
        <v>299</v>
      </c>
      <c r="H6" s="2">
        <v>1</v>
      </c>
      <c r="I6" s="2">
        <v>2</v>
      </c>
      <c r="J6" s="2">
        <v>3</v>
      </c>
      <c r="K6" s="2">
        <v>4</v>
      </c>
      <c r="L6" s="2">
        <v>5</v>
      </c>
      <c r="M6" s="2">
        <v>6</v>
      </c>
      <c r="N6" s="2">
        <v>7</v>
      </c>
      <c r="O6" s="2">
        <v>8</v>
      </c>
      <c r="P6" s="2">
        <v>9</v>
      </c>
      <c r="Q6" s="2">
        <v>10</v>
      </c>
      <c r="R6" s="2">
        <v>11</v>
      </c>
    </row>
    <row r="7" spans="2:25" s="6" customFormat="1" x14ac:dyDescent="0.35">
      <c r="B7" s="6" t="s">
        <v>165</v>
      </c>
      <c r="G7" s="74" t="s">
        <v>142</v>
      </c>
      <c r="H7" s="74" t="s">
        <v>142</v>
      </c>
      <c r="I7" s="74" t="s">
        <v>142</v>
      </c>
      <c r="J7" s="74" t="s">
        <v>142</v>
      </c>
      <c r="K7" s="74" t="s">
        <v>142</v>
      </c>
      <c r="L7" s="74" t="s">
        <v>142</v>
      </c>
      <c r="M7" s="74" t="s">
        <v>142</v>
      </c>
      <c r="N7" s="74" t="s">
        <v>142</v>
      </c>
      <c r="O7" s="74" t="s">
        <v>142</v>
      </c>
      <c r="P7" s="74" t="s">
        <v>142</v>
      </c>
      <c r="Q7" s="74" t="s">
        <v>142</v>
      </c>
      <c r="R7" s="74" t="s">
        <v>142</v>
      </c>
    </row>
    <row r="8" spans="2:25" x14ac:dyDescent="0.35">
      <c r="B8" s="32" t="s">
        <v>212</v>
      </c>
      <c r="G8" s="32" t="s">
        <v>52</v>
      </c>
    </row>
    <row r="9" spans="2:25" ht="13.5" x14ac:dyDescent="0.35">
      <c r="B9" s="45" t="s">
        <v>101</v>
      </c>
      <c r="F9" s="6" t="s">
        <v>309</v>
      </c>
      <c r="G9" s="61">
        <v>1</v>
      </c>
      <c r="H9" s="61">
        <v>2</v>
      </c>
      <c r="I9" s="61">
        <v>3</v>
      </c>
      <c r="J9" s="61">
        <v>4</v>
      </c>
      <c r="K9" s="61">
        <v>5</v>
      </c>
      <c r="L9" s="61">
        <v>6</v>
      </c>
      <c r="M9" s="61">
        <v>7</v>
      </c>
      <c r="N9" s="61">
        <v>8</v>
      </c>
      <c r="O9" s="61">
        <v>9</v>
      </c>
      <c r="P9" s="61">
        <v>10</v>
      </c>
      <c r="Q9" s="61">
        <v>11</v>
      </c>
      <c r="R9" s="61">
        <v>12</v>
      </c>
      <c r="S9" s="113" t="s">
        <v>197</v>
      </c>
      <c r="T9" s="114"/>
      <c r="U9" s="114"/>
      <c r="V9" s="32"/>
      <c r="W9" s="32"/>
      <c r="X9" s="6"/>
      <c r="Y9" s="73"/>
    </row>
    <row r="10" spans="2:25" x14ac:dyDescent="0.35">
      <c r="B10" s="27"/>
      <c r="D10" s="6"/>
      <c r="R10" s="58"/>
    </row>
    <row r="11" spans="2:25" x14ac:dyDescent="0.35">
      <c r="B11" s="27" t="s">
        <v>300</v>
      </c>
      <c r="D11" s="6"/>
      <c r="R11" s="58"/>
    </row>
    <row r="12" spans="2:25" x14ac:dyDescent="0.35">
      <c r="B12" s="27"/>
      <c r="D12" s="6"/>
      <c r="E12" s="2" t="s">
        <v>6</v>
      </c>
      <c r="G12" s="225"/>
      <c r="H12" s="62">
        <f>'Điểm hòa vốn'!O83</f>
        <v>2000000</v>
      </c>
      <c r="I12" s="57">
        <f>$H12</f>
        <v>2000000</v>
      </c>
      <c r="J12" s="57">
        <f t="shared" ref="J12:R12" si="0">$H12</f>
        <v>2000000</v>
      </c>
      <c r="K12" s="57">
        <f t="shared" si="0"/>
        <v>2000000</v>
      </c>
      <c r="L12" s="57">
        <f t="shared" si="0"/>
        <v>2000000</v>
      </c>
      <c r="M12" s="57">
        <f t="shared" si="0"/>
        <v>2000000</v>
      </c>
      <c r="N12" s="57">
        <f t="shared" si="0"/>
        <v>2000000</v>
      </c>
      <c r="O12" s="57">
        <f t="shared" si="0"/>
        <v>2000000</v>
      </c>
      <c r="P12" s="57">
        <f t="shared" si="0"/>
        <v>2000000</v>
      </c>
      <c r="Q12" s="57">
        <f t="shared" si="0"/>
        <v>2000000</v>
      </c>
      <c r="R12" s="57">
        <f t="shared" si="0"/>
        <v>2000000</v>
      </c>
      <c r="S12" s="2" t="s">
        <v>450</v>
      </c>
    </row>
    <row r="13" spans="2:25" x14ac:dyDescent="0.35">
      <c r="B13" s="27"/>
      <c r="D13" s="6"/>
      <c r="E13" s="2" t="s">
        <v>8</v>
      </c>
      <c r="G13" s="225"/>
      <c r="H13" s="62">
        <f>'Điểm hòa vốn'!O84</f>
        <v>1100000</v>
      </c>
      <c r="I13" s="57">
        <f t="shared" ref="I13:R15" si="1">$H13</f>
        <v>1100000</v>
      </c>
      <c r="J13" s="57">
        <f t="shared" si="1"/>
        <v>1100000</v>
      </c>
      <c r="K13" s="57">
        <f t="shared" si="1"/>
        <v>1100000</v>
      </c>
      <c r="L13" s="57">
        <f t="shared" si="1"/>
        <v>1100000</v>
      </c>
      <c r="M13" s="57">
        <f t="shared" si="1"/>
        <v>1100000</v>
      </c>
      <c r="N13" s="57">
        <f t="shared" si="1"/>
        <v>1100000</v>
      </c>
      <c r="O13" s="57">
        <f t="shared" si="1"/>
        <v>1100000</v>
      </c>
      <c r="P13" s="57">
        <f t="shared" si="1"/>
        <v>1100000</v>
      </c>
      <c r="Q13" s="57">
        <f t="shared" si="1"/>
        <v>1100000</v>
      </c>
      <c r="R13" s="57">
        <f t="shared" si="1"/>
        <v>1100000</v>
      </c>
    </row>
    <row r="14" spans="2:25" x14ac:dyDescent="0.35">
      <c r="B14" s="27"/>
      <c r="D14" s="6"/>
      <c r="E14" s="2" t="s">
        <v>7</v>
      </c>
      <c r="G14" s="225"/>
      <c r="H14" s="62">
        <f>'Điểm hòa vốn'!O85</f>
        <v>500000</v>
      </c>
      <c r="I14" s="57">
        <f t="shared" si="1"/>
        <v>500000</v>
      </c>
      <c r="J14" s="57">
        <f t="shared" si="1"/>
        <v>500000</v>
      </c>
      <c r="K14" s="57">
        <f t="shared" si="1"/>
        <v>500000</v>
      </c>
      <c r="L14" s="57">
        <f t="shared" si="1"/>
        <v>500000</v>
      </c>
      <c r="M14" s="57">
        <f t="shared" si="1"/>
        <v>500000</v>
      </c>
      <c r="N14" s="57">
        <f t="shared" si="1"/>
        <v>500000</v>
      </c>
      <c r="O14" s="57">
        <f t="shared" si="1"/>
        <v>500000</v>
      </c>
      <c r="P14" s="57">
        <f t="shared" si="1"/>
        <v>500000</v>
      </c>
      <c r="Q14" s="57">
        <f t="shared" si="1"/>
        <v>500000</v>
      </c>
      <c r="R14" s="57">
        <f t="shared" si="1"/>
        <v>500000</v>
      </c>
    </row>
    <row r="15" spans="2:25" x14ac:dyDescent="0.35">
      <c r="D15" s="6"/>
      <c r="E15" s="2" t="s">
        <v>9</v>
      </c>
      <c r="H15" s="62">
        <f>'Điểm hòa vốn'!O86</f>
        <v>148148.14814814815</v>
      </c>
      <c r="I15" s="57">
        <f t="shared" si="1"/>
        <v>148148.14814814815</v>
      </c>
      <c r="J15" s="57">
        <f t="shared" si="1"/>
        <v>148148.14814814815</v>
      </c>
      <c r="K15" s="57">
        <f t="shared" si="1"/>
        <v>148148.14814814815</v>
      </c>
      <c r="L15" s="57">
        <f t="shared" si="1"/>
        <v>148148.14814814815</v>
      </c>
      <c r="M15" s="57">
        <f t="shared" si="1"/>
        <v>148148.14814814815</v>
      </c>
      <c r="N15" s="57">
        <f t="shared" si="1"/>
        <v>148148.14814814815</v>
      </c>
      <c r="O15" s="57">
        <f t="shared" si="1"/>
        <v>148148.14814814815</v>
      </c>
      <c r="P15" s="57">
        <f t="shared" si="1"/>
        <v>148148.14814814815</v>
      </c>
      <c r="Q15" s="57">
        <f t="shared" si="1"/>
        <v>148148.14814814815</v>
      </c>
      <c r="R15" s="57">
        <f t="shared" si="1"/>
        <v>148148.14814814815</v>
      </c>
    </row>
    <row r="16" spans="2:25" x14ac:dyDescent="0.35">
      <c r="B16" s="27" t="s">
        <v>301</v>
      </c>
      <c r="D16" s="6"/>
      <c r="R16" s="58"/>
    </row>
    <row r="17" spans="2:19" x14ac:dyDescent="0.35">
      <c r="B17" s="27"/>
      <c r="D17" s="6"/>
      <c r="E17" s="2" t="s">
        <v>6</v>
      </c>
      <c r="H17" s="2">
        <v>28</v>
      </c>
      <c r="I17" s="2">
        <f>3*(31-14)</f>
        <v>51</v>
      </c>
      <c r="J17" s="2">
        <f>4*(30-2)</f>
        <v>112</v>
      </c>
      <c r="K17" s="2">
        <f>4*31</f>
        <v>124</v>
      </c>
      <c r="L17" s="2">
        <f>4*30</f>
        <v>120</v>
      </c>
      <c r="M17" s="2">
        <f>4*31</f>
        <v>124</v>
      </c>
      <c r="N17" s="2">
        <f>4*31</f>
        <v>124</v>
      </c>
      <c r="O17" s="2">
        <f>'Điểm hòa vốn'!$O92</f>
        <v>190</v>
      </c>
      <c r="P17" s="2">
        <f>'Điểm hòa vốn'!$O92</f>
        <v>190</v>
      </c>
      <c r="Q17" s="2">
        <f>'Điểm hòa vốn'!$O92</f>
        <v>190</v>
      </c>
      <c r="R17" s="2">
        <f>'Điểm hòa vốn'!$O92</f>
        <v>190</v>
      </c>
    </row>
    <row r="18" spans="2:19" x14ac:dyDescent="0.35">
      <c r="B18" s="27"/>
      <c r="D18" s="6"/>
      <c r="E18" s="2" t="s">
        <v>8</v>
      </c>
      <c r="H18" s="2">
        <v>23</v>
      </c>
      <c r="I18" s="2">
        <v>10</v>
      </c>
      <c r="J18" s="2">
        <v>15</v>
      </c>
      <c r="K18" s="2">
        <v>20</v>
      </c>
      <c r="L18" s="2">
        <v>25</v>
      </c>
      <c r="M18" s="2">
        <f>'Điểm hòa vốn'!O93</f>
        <v>48</v>
      </c>
      <c r="N18" s="2">
        <f>$M18</f>
        <v>48</v>
      </c>
      <c r="O18" s="2">
        <f>$M18</f>
        <v>48</v>
      </c>
      <c r="P18" s="2">
        <f>$M18</f>
        <v>48</v>
      </c>
      <c r="Q18" s="2">
        <f>$M18</f>
        <v>48</v>
      </c>
      <c r="R18" s="2">
        <f>$M18</f>
        <v>48</v>
      </c>
    </row>
    <row r="19" spans="2:19" x14ac:dyDescent="0.35">
      <c r="B19" s="27"/>
      <c r="D19" s="6"/>
      <c r="E19" s="2" t="s">
        <v>7</v>
      </c>
      <c r="H19" s="2">
        <v>7</v>
      </c>
      <c r="I19" s="2">
        <v>3</v>
      </c>
      <c r="J19" s="2">
        <v>4</v>
      </c>
      <c r="K19" s="2">
        <v>5</v>
      </c>
      <c r="L19" s="2">
        <v>6</v>
      </c>
      <c r="M19" s="2">
        <f>'Điểm hòa vốn'!O94</f>
        <v>16</v>
      </c>
      <c r="N19" s="2">
        <f t="shared" ref="N19:R20" si="2">$M19</f>
        <v>16</v>
      </c>
      <c r="O19" s="2">
        <f t="shared" si="2"/>
        <v>16</v>
      </c>
      <c r="P19" s="2">
        <f t="shared" si="2"/>
        <v>16</v>
      </c>
      <c r="Q19" s="2">
        <f t="shared" si="2"/>
        <v>16</v>
      </c>
      <c r="R19" s="2">
        <f t="shared" si="2"/>
        <v>16</v>
      </c>
    </row>
    <row r="20" spans="2:19" x14ac:dyDescent="0.35">
      <c r="B20" s="27"/>
      <c r="D20" s="6"/>
      <c r="E20" s="2" t="s">
        <v>9</v>
      </c>
      <c r="H20" s="2">
        <v>53</v>
      </c>
      <c r="I20" s="2">
        <v>15</v>
      </c>
      <c r="J20" s="2">
        <v>20</v>
      </c>
      <c r="K20" s="2">
        <v>30</v>
      </c>
      <c r="L20" s="2">
        <v>35</v>
      </c>
      <c r="M20" s="2">
        <f>'Điểm hòa vốn'!O95</f>
        <v>64</v>
      </c>
      <c r="N20" s="2">
        <f t="shared" si="2"/>
        <v>64</v>
      </c>
      <c r="O20" s="2">
        <f t="shared" si="2"/>
        <v>64</v>
      </c>
      <c r="P20" s="2">
        <f t="shared" si="2"/>
        <v>64</v>
      </c>
      <c r="Q20" s="2">
        <f t="shared" si="2"/>
        <v>64</v>
      </c>
      <c r="R20" s="2">
        <f t="shared" si="2"/>
        <v>64</v>
      </c>
    </row>
    <row r="21" spans="2:19" x14ac:dyDescent="0.35">
      <c r="B21" s="27" t="s">
        <v>314</v>
      </c>
      <c r="D21" s="6"/>
      <c r="R21" s="58"/>
    </row>
    <row r="22" spans="2:19" x14ac:dyDescent="0.35">
      <c r="B22" s="27"/>
      <c r="C22" s="2" t="s">
        <v>23</v>
      </c>
      <c r="D22" s="6"/>
      <c r="R22" s="58"/>
    </row>
    <row r="23" spans="2:19" x14ac:dyDescent="0.35">
      <c r="B23" s="27"/>
      <c r="D23" s="6"/>
      <c r="E23" s="2" t="s">
        <v>6</v>
      </c>
      <c r="G23" s="57"/>
      <c r="H23" s="57">
        <f>'Điểm hòa vốn'!O58</f>
        <v>66943.206007241359</v>
      </c>
      <c r="I23" s="57">
        <f>$H23</f>
        <v>66943.206007241359</v>
      </c>
      <c r="J23" s="57">
        <f t="shared" ref="J23:R23" si="3">$H23</f>
        <v>66943.206007241359</v>
      </c>
      <c r="K23" s="57">
        <f t="shared" si="3"/>
        <v>66943.206007241359</v>
      </c>
      <c r="L23" s="57">
        <f t="shared" si="3"/>
        <v>66943.206007241359</v>
      </c>
      <c r="M23" s="57">
        <f t="shared" si="3"/>
        <v>66943.206007241359</v>
      </c>
      <c r="N23" s="57">
        <f t="shared" si="3"/>
        <v>66943.206007241359</v>
      </c>
      <c r="O23" s="57">
        <f t="shared" si="3"/>
        <v>66943.206007241359</v>
      </c>
      <c r="P23" s="57">
        <f t="shared" si="3"/>
        <v>66943.206007241359</v>
      </c>
      <c r="Q23" s="57">
        <f t="shared" si="3"/>
        <v>66943.206007241359</v>
      </c>
      <c r="R23" s="57">
        <f t="shared" si="3"/>
        <v>66943.206007241359</v>
      </c>
      <c r="S23" s="2" t="s">
        <v>313</v>
      </c>
    </row>
    <row r="24" spans="2:19" x14ac:dyDescent="0.35">
      <c r="B24" s="27"/>
      <c r="D24" s="6"/>
      <c r="E24" s="2" t="s">
        <v>8</v>
      </c>
      <c r="H24" s="57">
        <f>'Điểm hòa vốn'!O59</f>
        <v>32967.486060552445</v>
      </c>
      <c r="I24" s="57">
        <f t="shared" ref="I24:R26" si="4">$H24</f>
        <v>32967.486060552445</v>
      </c>
      <c r="J24" s="57">
        <f t="shared" si="4"/>
        <v>32967.486060552445</v>
      </c>
      <c r="K24" s="57">
        <f t="shared" si="4"/>
        <v>32967.486060552445</v>
      </c>
      <c r="L24" s="57">
        <f t="shared" si="4"/>
        <v>32967.486060552445</v>
      </c>
      <c r="M24" s="57">
        <f t="shared" si="4"/>
        <v>32967.486060552445</v>
      </c>
      <c r="N24" s="57">
        <f t="shared" si="4"/>
        <v>32967.486060552445</v>
      </c>
      <c r="O24" s="57">
        <f t="shared" si="4"/>
        <v>32967.486060552445</v>
      </c>
      <c r="P24" s="57">
        <f t="shared" si="4"/>
        <v>32967.486060552445</v>
      </c>
      <c r="Q24" s="57">
        <f t="shared" si="4"/>
        <v>32967.486060552445</v>
      </c>
      <c r="R24" s="57">
        <f t="shared" si="4"/>
        <v>32967.486060552445</v>
      </c>
    </row>
    <row r="25" spans="2:19" x14ac:dyDescent="0.35">
      <c r="B25" s="27"/>
      <c r="D25" s="6"/>
      <c r="E25" s="2" t="s">
        <v>7</v>
      </c>
      <c r="H25" s="57">
        <f>'Điểm hòa vốn'!O60</f>
        <v>73748.968042822846</v>
      </c>
      <c r="I25" s="57">
        <f t="shared" si="4"/>
        <v>73748.968042822846</v>
      </c>
      <c r="J25" s="57">
        <f t="shared" si="4"/>
        <v>73748.968042822846</v>
      </c>
      <c r="K25" s="57">
        <f t="shared" si="4"/>
        <v>73748.968042822846</v>
      </c>
      <c r="L25" s="57">
        <f t="shared" si="4"/>
        <v>73748.968042822846</v>
      </c>
      <c r="M25" s="57">
        <f t="shared" si="4"/>
        <v>73748.968042822846</v>
      </c>
      <c r="N25" s="57">
        <f t="shared" si="4"/>
        <v>73748.968042822846</v>
      </c>
      <c r="O25" s="57">
        <f t="shared" si="4"/>
        <v>73748.968042822846</v>
      </c>
      <c r="P25" s="57">
        <f t="shared" si="4"/>
        <v>73748.968042822846</v>
      </c>
      <c r="Q25" s="57">
        <f t="shared" si="4"/>
        <v>73748.968042822846</v>
      </c>
      <c r="R25" s="57">
        <f t="shared" si="4"/>
        <v>73748.968042822846</v>
      </c>
    </row>
    <row r="26" spans="2:19" x14ac:dyDescent="0.35">
      <c r="B26" s="27"/>
      <c r="D26" s="6"/>
      <c r="E26" s="2" t="s">
        <v>9</v>
      </c>
      <c r="H26" s="57">
        <f>'Điểm hòa vốn'!O61</f>
        <v>22816.038371701263</v>
      </c>
      <c r="I26" s="57">
        <f t="shared" si="4"/>
        <v>22816.038371701263</v>
      </c>
      <c r="J26" s="57">
        <f t="shared" si="4"/>
        <v>22816.038371701263</v>
      </c>
      <c r="K26" s="57">
        <f t="shared" si="4"/>
        <v>22816.038371701263</v>
      </c>
      <c r="L26" s="57">
        <f t="shared" si="4"/>
        <v>22816.038371701263</v>
      </c>
      <c r="M26" s="57">
        <f t="shared" si="4"/>
        <v>22816.038371701263</v>
      </c>
      <c r="N26" s="57">
        <f t="shared" si="4"/>
        <v>22816.038371701263</v>
      </c>
      <c r="O26" s="57">
        <f t="shared" si="4"/>
        <v>22816.038371701263</v>
      </c>
      <c r="P26" s="57">
        <f t="shared" si="4"/>
        <v>22816.038371701263</v>
      </c>
      <c r="Q26" s="57">
        <f t="shared" si="4"/>
        <v>22816.038371701263</v>
      </c>
      <c r="R26" s="57">
        <f t="shared" si="4"/>
        <v>22816.038371701263</v>
      </c>
    </row>
    <row r="27" spans="2:19" x14ac:dyDescent="0.35">
      <c r="B27" s="27"/>
      <c r="C27" s="2" t="s">
        <v>24</v>
      </c>
      <c r="D27" s="6"/>
    </row>
    <row r="28" spans="2:19" x14ac:dyDescent="0.35">
      <c r="B28" s="27"/>
      <c r="D28" s="6"/>
      <c r="E28" s="2" t="s">
        <v>6</v>
      </c>
    </row>
    <row r="29" spans="2:19" x14ac:dyDescent="0.35">
      <c r="B29" s="27"/>
      <c r="D29" s="6"/>
      <c r="E29" s="2" t="s">
        <v>8</v>
      </c>
      <c r="G29" s="57"/>
      <c r="H29" s="57">
        <f t="shared" ref="H29:R29" si="5">$G29</f>
        <v>0</v>
      </c>
      <c r="I29" s="57">
        <f t="shared" si="5"/>
        <v>0</v>
      </c>
      <c r="J29" s="57">
        <f t="shared" si="5"/>
        <v>0</v>
      </c>
      <c r="K29" s="57">
        <f t="shared" si="5"/>
        <v>0</v>
      </c>
      <c r="L29" s="57">
        <f t="shared" si="5"/>
        <v>0</v>
      </c>
      <c r="M29" s="57">
        <f t="shared" si="5"/>
        <v>0</v>
      </c>
      <c r="N29" s="57">
        <f t="shared" si="5"/>
        <v>0</v>
      </c>
      <c r="O29" s="57">
        <f t="shared" si="5"/>
        <v>0</v>
      </c>
      <c r="P29" s="57">
        <f t="shared" si="5"/>
        <v>0</v>
      </c>
      <c r="Q29" s="57">
        <f t="shared" si="5"/>
        <v>0</v>
      </c>
      <c r="R29" s="57">
        <f t="shared" si="5"/>
        <v>0</v>
      </c>
    </row>
    <row r="30" spans="2:19" x14ac:dyDescent="0.35">
      <c r="B30" s="27"/>
      <c r="C30" s="2" t="s">
        <v>417</v>
      </c>
      <c r="D30" s="6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</row>
    <row r="31" spans="2:19" x14ac:dyDescent="0.35">
      <c r="B31" s="27"/>
      <c r="D31" s="6"/>
      <c r="E31" s="2" t="s">
        <v>6</v>
      </c>
      <c r="G31" s="57"/>
      <c r="H31" s="57">
        <f>'Điểm hòa vốn'!O67</f>
        <v>90000</v>
      </c>
      <c r="I31" s="57">
        <f>$H31</f>
        <v>90000</v>
      </c>
      <c r="J31" s="57">
        <f t="shared" ref="J31:R31" si="6">$H31</f>
        <v>90000</v>
      </c>
      <c r="K31" s="57">
        <f t="shared" si="6"/>
        <v>90000</v>
      </c>
      <c r="L31" s="57">
        <f t="shared" si="6"/>
        <v>90000</v>
      </c>
      <c r="M31" s="57">
        <f t="shared" si="6"/>
        <v>90000</v>
      </c>
      <c r="N31" s="57">
        <f t="shared" si="6"/>
        <v>90000</v>
      </c>
      <c r="O31" s="57">
        <f t="shared" si="6"/>
        <v>90000</v>
      </c>
      <c r="P31" s="57">
        <f t="shared" si="6"/>
        <v>90000</v>
      </c>
      <c r="Q31" s="57">
        <f t="shared" si="6"/>
        <v>90000</v>
      </c>
      <c r="R31" s="57">
        <f t="shared" si="6"/>
        <v>90000</v>
      </c>
      <c r="S31" s="2" t="s">
        <v>313</v>
      </c>
    </row>
    <row r="32" spans="2:19" x14ac:dyDescent="0.35">
      <c r="B32" s="27"/>
      <c r="D32" s="6"/>
      <c r="E32" s="2" t="s">
        <v>8</v>
      </c>
      <c r="G32" s="57"/>
      <c r="H32" s="57">
        <f>'Điểm hòa vốn'!O68</f>
        <v>50000</v>
      </c>
      <c r="I32" s="57">
        <f t="shared" ref="I32:R33" si="7">$H32</f>
        <v>50000</v>
      </c>
      <c r="J32" s="57">
        <f t="shared" si="7"/>
        <v>50000</v>
      </c>
      <c r="K32" s="57">
        <f t="shared" si="7"/>
        <v>50000</v>
      </c>
      <c r="L32" s="57">
        <f t="shared" si="7"/>
        <v>50000</v>
      </c>
      <c r="M32" s="57">
        <f t="shared" si="7"/>
        <v>50000</v>
      </c>
      <c r="N32" s="57">
        <f t="shared" si="7"/>
        <v>50000</v>
      </c>
      <c r="O32" s="57">
        <f t="shared" si="7"/>
        <v>50000</v>
      </c>
      <c r="P32" s="57">
        <f t="shared" si="7"/>
        <v>50000</v>
      </c>
      <c r="Q32" s="57">
        <f t="shared" si="7"/>
        <v>50000</v>
      </c>
      <c r="R32" s="57">
        <f t="shared" si="7"/>
        <v>50000</v>
      </c>
    </row>
    <row r="33" spans="2:25" x14ac:dyDescent="0.35">
      <c r="B33" s="27"/>
      <c r="D33" s="6"/>
      <c r="E33" s="2" t="s">
        <v>7</v>
      </c>
      <c r="G33" s="57"/>
      <c r="H33" s="57">
        <f>'Điểm hòa vốn'!O69</f>
        <v>25000</v>
      </c>
      <c r="I33" s="57">
        <f t="shared" si="7"/>
        <v>25000</v>
      </c>
      <c r="J33" s="57">
        <f t="shared" si="7"/>
        <v>25000</v>
      </c>
      <c r="K33" s="57">
        <f t="shared" si="7"/>
        <v>25000</v>
      </c>
      <c r="L33" s="57">
        <f t="shared" si="7"/>
        <v>25000</v>
      </c>
      <c r="M33" s="57">
        <f t="shared" si="7"/>
        <v>25000</v>
      </c>
      <c r="N33" s="57">
        <f t="shared" si="7"/>
        <v>25000</v>
      </c>
      <c r="O33" s="57">
        <f t="shared" si="7"/>
        <v>25000</v>
      </c>
      <c r="P33" s="57">
        <f t="shared" si="7"/>
        <v>25000</v>
      </c>
      <c r="Q33" s="57">
        <f t="shared" si="7"/>
        <v>25000</v>
      </c>
      <c r="R33" s="57">
        <f t="shared" si="7"/>
        <v>25000</v>
      </c>
    </row>
    <row r="34" spans="2:25" x14ac:dyDescent="0.35">
      <c r="B34" s="27"/>
      <c r="C34" s="2" t="s">
        <v>312</v>
      </c>
      <c r="D34" s="6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</row>
    <row r="35" spans="2:25" x14ac:dyDescent="0.35">
      <c r="B35" s="27"/>
      <c r="D35" s="6"/>
      <c r="E35" s="2" t="s">
        <v>6</v>
      </c>
      <c r="G35" s="57"/>
      <c r="H35" s="57">
        <f>'Điểm hòa vốn'!O71</f>
        <v>300000</v>
      </c>
      <c r="I35" s="57">
        <f t="shared" ref="I35:R42" si="8">$H35</f>
        <v>300000</v>
      </c>
      <c r="J35" s="57">
        <f t="shared" si="8"/>
        <v>300000</v>
      </c>
      <c r="K35" s="57">
        <f t="shared" si="8"/>
        <v>300000</v>
      </c>
      <c r="L35" s="57">
        <f t="shared" si="8"/>
        <v>300000</v>
      </c>
      <c r="M35" s="57">
        <f t="shared" si="8"/>
        <v>300000</v>
      </c>
      <c r="N35" s="57">
        <f t="shared" si="8"/>
        <v>300000</v>
      </c>
      <c r="O35" s="57">
        <f t="shared" si="8"/>
        <v>300000</v>
      </c>
      <c r="P35" s="57">
        <f t="shared" si="8"/>
        <v>300000</v>
      </c>
      <c r="Q35" s="57">
        <f t="shared" si="8"/>
        <v>300000</v>
      </c>
      <c r="R35" s="57">
        <f t="shared" si="8"/>
        <v>300000</v>
      </c>
      <c r="S35" s="2" t="s">
        <v>313</v>
      </c>
    </row>
    <row r="36" spans="2:25" x14ac:dyDescent="0.35">
      <c r="B36" s="27"/>
      <c r="D36" s="6"/>
      <c r="E36" s="2" t="s">
        <v>8</v>
      </c>
      <c r="G36" s="57"/>
      <c r="H36" s="57">
        <f>'Điểm hòa vốn'!O72</f>
        <v>200000</v>
      </c>
      <c r="I36" s="57">
        <f t="shared" si="8"/>
        <v>200000</v>
      </c>
      <c r="J36" s="57">
        <f t="shared" si="8"/>
        <v>200000</v>
      </c>
      <c r="K36" s="57">
        <f t="shared" si="8"/>
        <v>200000</v>
      </c>
      <c r="L36" s="57">
        <f t="shared" si="8"/>
        <v>200000</v>
      </c>
      <c r="M36" s="57">
        <f t="shared" si="8"/>
        <v>200000</v>
      </c>
      <c r="N36" s="57">
        <f t="shared" si="8"/>
        <v>200000</v>
      </c>
      <c r="O36" s="57">
        <f t="shared" si="8"/>
        <v>200000</v>
      </c>
      <c r="P36" s="57">
        <f t="shared" si="8"/>
        <v>200000</v>
      </c>
      <c r="Q36" s="57">
        <f t="shared" si="8"/>
        <v>200000</v>
      </c>
      <c r="R36" s="57">
        <f t="shared" si="8"/>
        <v>200000</v>
      </c>
    </row>
    <row r="37" spans="2:25" x14ac:dyDescent="0.35">
      <c r="B37" s="27"/>
      <c r="D37" s="6"/>
      <c r="E37" s="2" t="s">
        <v>7</v>
      </c>
      <c r="G37" s="57"/>
      <c r="H37" s="57">
        <f>'Điểm hòa vốn'!O73</f>
        <v>100000</v>
      </c>
      <c r="I37" s="57">
        <f t="shared" si="8"/>
        <v>100000</v>
      </c>
      <c r="J37" s="57">
        <f t="shared" si="8"/>
        <v>100000</v>
      </c>
      <c r="K37" s="57">
        <f t="shared" si="8"/>
        <v>100000</v>
      </c>
      <c r="L37" s="57">
        <f t="shared" si="8"/>
        <v>100000</v>
      </c>
      <c r="M37" s="57">
        <f t="shared" si="8"/>
        <v>100000</v>
      </c>
      <c r="N37" s="57">
        <f t="shared" si="8"/>
        <v>100000</v>
      </c>
      <c r="O37" s="57">
        <f t="shared" si="8"/>
        <v>100000</v>
      </c>
      <c r="P37" s="57">
        <f t="shared" si="8"/>
        <v>100000</v>
      </c>
      <c r="Q37" s="57">
        <f t="shared" si="8"/>
        <v>100000</v>
      </c>
      <c r="R37" s="57">
        <f t="shared" si="8"/>
        <v>100000</v>
      </c>
    </row>
    <row r="38" spans="2:25" x14ac:dyDescent="0.35">
      <c r="B38" s="27"/>
      <c r="C38" s="2" t="s">
        <v>28</v>
      </c>
      <c r="D38" s="6"/>
    </row>
    <row r="39" spans="2:25" x14ac:dyDescent="0.35">
      <c r="B39" s="27"/>
      <c r="D39" s="6"/>
      <c r="E39" s="2" t="s">
        <v>6</v>
      </c>
      <c r="G39" s="57"/>
      <c r="H39" s="57">
        <f>'Điểm hòa vốn'!O75</f>
        <v>115000</v>
      </c>
      <c r="I39" s="57">
        <f t="shared" si="8"/>
        <v>115000</v>
      </c>
      <c r="J39" s="57">
        <f t="shared" si="8"/>
        <v>115000</v>
      </c>
      <c r="K39" s="57">
        <f t="shared" si="8"/>
        <v>115000</v>
      </c>
      <c r="L39" s="57">
        <f t="shared" si="8"/>
        <v>115000</v>
      </c>
      <c r="M39" s="57">
        <f t="shared" si="8"/>
        <v>115000</v>
      </c>
      <c r="N39" s="57">
        <f t="shared" si="8"/>
        <v>115000</v>
      </c>
      <c r="O39" s="57">
        <f t="shared" si="8"/>
        <v>115000</v>
      </c>
      <c r="P39" s="57">
        <f t="shared" si="8"/>
        <v>115000</v>
      </c>
      <c r="Q39" s="57">
        <f t="shared" si="8"/>
        <v>115000</v>
      </c>
      <c r="R39" s="57">
        <f t="shared" si="8"/>
        <v>115000</v>
      </c>
      <c r="S39" s="2" t="s">
        <v>313</v>
      </c>
    </row>
    <row r="40" spans="2:25" x14ac:dyDescent="0.35">
      <c r="B40" s="27"/>
      <c r="D40" s="6"/>
      <c r="E40" s="2" t="s">
        <v>8</v>
      </c>
      <c r="G40" s="57"/>
      <c r="H40" s="57">
        <f>'Điểm hòa vốn'!O76</f>
        <v>115000</v>
      </c>
      <c r="I40" s="57">
        <f t="shared" si="8"/>
        <v>115000</v>
      </c>
      <c r="J40" s="57">
        <f t="shared" si="8"/>
        <v>115000</v>
      </c>
      <c r="K40" s="57">
        <f t="shared" si="8"/>
        <v>115000</v>
      </c>
      <c r="L40" s="57">
        <f t="shared" si="8"/>
        <v>115000</v>
      </c>
      <c r="M40" s="57">
        <f t="shared" si="8"/>
        <v>115000</v>
      </c>
      <c r="N40" s="57">
        <f t="shared" si="8"/>
        <v>115000</v>
      </c>
      <c r="O40" s="57">
        <f t="shared" si="8"/>
        <v>115000</v>
      </c>
      <c r="P40" s="57">
        <f t="shared" si="8"/>
        <v>115000</v>
      </c>
      <c r="Q40" s="57">
        <f t="shared" si="8"/>
        <v>115000</v>
      </c>
      <c r="R40" s="57">
        <f t="shared" si="8"/>
        <v>115000</v>
      </c>
    </row>
    <row r="41" spans="2:25" x14ac:dyDescent="0.35">
      <c r="B41" s="27"/>
      <c r="D41" s="6"/>
      <c r="E41" s="2" t="s">
        <v>7</v>
      </c>
      <c r="G41" s="57"/>
      <c r="H41" s="57">
        <f>'Điểm hòa vốn'!O77</f>
        <v>70000</v>
      </c>
      <c r="I41" s="57">
        <f t="shared" si="8"/>
        <v>70000</v>
      </c>
      <c r="J41" s="57">
        <f t="shared" si="8"/>
        <v>70000</v>
      </c>
      <c r="K41" s="57">
        <f t="shared" si="8"/>
        <v>70000</v>
      </c>
      <c r="L41" s="57">
        <f t="shared" si="8"/>
        <v>70000</v>
      </c>
      <c r="M41" s="57">
        <f t="shared" si="8"/>
        <v>70000</v>
      </c>
      <c r="N41" s="57">
        <f t="shared" si="8"/>
        <v>70000</v>
      </c>
      <c r="O41" s="57">
        <f t="shared" si="8"/>
        <v>70000</v>
      </c>
      <c r="P41" s="57">
        <f t="shared" si="8"/>
        <v>70000</v>
      </c>
      <c r="Q41" s="57">
        <f t="shared" si="8"/>
        <v>70000</v>
      </c>
      <c r="R41" s="57">
        <f t="shared" si="8"/>
        <v>70000</v>
      </c>
    </row>
    <row r="42" spans="2:25" x14ac:dyDescent="0.35">
      <c r="B42" s="27"/>
      <c r="D42" s="6"/>
      <c r="E42" s="2" t="s">
        <v>9</v>
      </c>
      <c r="G42" s="57"/>
      <c r="H42" s="57">
        <f>'Điểm hòa vốn'!O78</f>
        <v>20000</v>
      </c>
      <c r="I42" s="57">
        <f t="shared" si="8"/>
        <v>20000</v>
      </c>
      <c r="J42" s="57">
        <f t="shared" si="8"/>
        <v>20000</v>
      </c>
      <c r="K42" s="57">
        <f t="shared" si="8"/>
        <v>20000</v>
      </c>
      <c r="L42" s="57">
        <f t="shared" si="8"/>
        <v>20000</v>
      </c>
      <c r="M42" s="57">
        <f t="shared" si="8"/>
        <v>20000</v>
      </c>
      <c r="N42" s="57">
        <f t="shared" si="8"/>
        <v>20000</v>
      </c>
      <c r="O42" s="57">
        <f t="shared" si="8"/>
        <v>20000</v>
      </c>
      <c r="P42" s="57">
        <f t="shared" si="8"/>
        <v>20000</v>
      </c>
      <c r="Q42" s="57">
        <f t="shared" si="8"/>
        <v>20000</v>
      </c>
      <c r="R42" s="57">
        <f t="shared" si="8"/>
        <v>20000</v>
      </c>
    </row>
    <row r="43" spans="2:25" x14ac:dyDescent="0.35">
      <c r="B43" s="27" t="s">
        <v>11</v>
      </c>
      <c r="D43" s="6"/>
      <c r="R43" s="58"/>
    </row>
    <row r="44" spans="2:25" outlineLevel="1" x14ac:dyDescent="0.35">
      <c r="E44" s="2" t="s">
        <v>6</v>
      </c>
      <c r="F44" s="57">
        <f>SUM(G44:R44)</f>
        <v>2886</v>
      </c>
      <c r="G44" s="62">
        <f>G12*G17</f>
        <v>0</v>
      </c>
      <c r="H44" s="62">
        <f t="shared" ref="H44:R44" si="9">H12*H17/10^6</f>
        <v>56</v>
      </c>
      <c r="I44" s="62">
        <f t="shared" si="9"/>
        <v>102</v>
      </c>
      <c r="J44" s="62">
        <f t="shared" si="9"/>
        <v>224</v>
      </c>
      <c r="K44" s="62">
        <f t="shared" si="9"/>
        <v>248</v>
      </c>
      <c r="L44" s="62">
        <f t="shared" si="9"/>
        <v>240</v>
      </c>
      <c r="M44" s="62">
        <f t="shared" si="9"/>
        <v>248</v>
      </c>
      <c r="N44" s="62">
        <f t="shared" si="9"/>
        <v>248</v>
      </c>
      <c r="O44" s="62">
        <f t="shared" si="9"/>
        <v>380</v>
      </c>
      <c r="P44" s="62">
        <f t="shared" si="9"/>
        <v>380</v>
      </c>
      <c r="Q44" s="62">
        <f t="shared" si="9"/>
        <v>380</v>
      </c>
      <c r="R44" s="62">
        <f t="shared" si="9"/>
        <v>380</v>
      </c>
      <c r="S44" s="62"/>
      <c r="T44" s="62"/>
      <c r="U44" s="57"/>
      <c r="V44" s="96"/>
      <c r="W44" s="97"/>
      <c r="Y44" s="57"/>
    </row>
    <row r="45" spans="2:25" outlineLevel="1" x14ac:dyDescent="0.35">
      <c r="E45" s="2" t="s">
        <v>8</v>
      </c>
      <c r="F45" s="57">
        <f>SUM(G45:R45)</f>
        <v>419.1</v>
      </c>
      <c r="G45" s="62"/>
      <c r="H45" s="62">
        <f t="shared" ref="H45:R45" si="10">H13*H18/10^6</f>
        <v>25.3</v>
      </c>
      <c r="I45" s="62">
        <f t="shared" si="10"/>
        <v>11</v>
      </c>
      <c r="J45" s="62">
        <f t="shared" si="10"/>
        <v>16.5</v>
      </c>
      <c r="K45" s="62">
        <f t="shared" si="10"/>
        <v>22</v>
      </c>
      <c r="L45" s="62">
        <f t="shared" si="10"/>
        <v>27.5</v>
      </c>
      <c r="M45" s="62">
        <f t="shared" si="10"/>
        <v>52.8</v>
      </c>
      <c r="N45" s="62">
        <f t="shared" si="10"/>
        <v>52.8</v>
      </c>
      <c r="O45" s="62">
        <f t="shared" si="10"/>
        <v>52.8</v>
      </c>
      <c r="P45" s="62">
        <f t="shared" si="10"/>
        <v>52.8</v>
      </c>
      <c r="Q45" s="62">
        <f t="shared" si="10"/>
        <v>52.8</v>
      </c>
      <c r="R45" s="62">
        <f t="shared" si="10"/>
        <v>52.8</v>
      </c>
      <c r="S45" s="62"/>
      <c r="T45" s="62"/>
      <c r="U45" s="57"/>
      <c r="V45" s="96"/>
      <c r="W45" s="97"/>
      <c r="Y45" s="57"/>
    </row>
    <row r="46" spans="2:25" outlineLevel="1" x14ac:dyDescent="0.35">
      <c r="E46" s="2" t="s">
        <v>7</v>
      </c>
      <c r="F46" s="57">
        <f>SUM(G46:R46)</f>
        <v>60.5</v>
      </c>
      <c r="G46" s="62"/>
      <c r="H46" s="62">
        <f t="shared" ref="H46:R46" si="11">H14*H19/10^6</f>
        <v>3.5</v>
      </c>
      <c r="I46" s="62">
        <f t="shared" si="11"/>
        <v>1.5</v>
      </c>
      <c r="J46" s="62">
        <f t="shared" si="11"/>
        <v>2</v>
      </c>
      <c r="K46" s="62">
        <f t="shared" si="11"/>
        <v>2.5</v>
      </c>
      <c r="L46" s="62">
        <f t="shared" si="11"/>
        <v>3</v>
      </c>
      <c r="M46" s="62">
        <f t="shared" si="11"/>
        <v>8</v>
      </c>
      <c r="N46" s="62">
        <f t="shared" si="11"/>
        <v>8</v>
      </c>
      <c r="O46" s="62">
        <f t="shared" si="11"/>
        <v>8</v>
      </c>
      <c r="P46" s="62">
        <f t="shared" si="11"/>
        <v>8</v>
      </c>
      <c r="Q46" s="62">
        <f t="shared" si="11"/>
        <v>8</v>
      </c>
      <c r="R46" s="62">
        <f t="shared" si="11"/>
        <v>8</v>
      </c>
      <c r="S46" s="62"/>
      <c r="T46" s="62"/>
      <c r="U46" s="57"/>
      <c r="V46" s="96"/>
      <c r="W46" s="97"/>
      <c r="Y46" s="57"/>
    </row>
    <row r="47" spans="2:25" outlineLevel="1" x14ac:dyDescent="0.35">
      <c r="E47" s="2" t="s">
        <v>9</v>
      </c>
      <c r="F47" s="57">
        <f>SUM(G47:R47)</f>
        <v>79.555555555555557</v>
      </c>
      <c r="G47" s="62"/>
      <c r="H47" s="62">
        <f t="shared" ref="H47:R47" si="12">H15*H20/10^6</f>
        <v>7.8518518518518521</v>
      </c>
      <c r="I47" s="62">
        <f t="shared" si="12"/>
        <v>2.2222222222222219</v>
      </c>
      <c r="J47" s="62">
        <f t="shared" si="12"/>
        <v>2.9629629629629628</v>
      </c>
      <c r="K47" s="62">
        <f t="shared" si="12"/>
        <v>4.4444444444444438</v>
      </c>
      <c r="L47" s="62">
        <f t="shared" si="12"/>
        <v>5.1851851851851851</v>
      </c>
      <c r="M47" s="62">
        <f t="shared" si="12"/>
        <v>9.481481481481481</v>
      </c>
      <c r="N47" s="62">
        <f t="shared" si="12"/>
        <v>9.481481481481481</v>
      </c>
      <c r="O47" s="62">
        <f t="shared" si="12"/>
        <v>9.481481481481481</v>
      </c>
      <c r="P47" s="62">
        <f t="shared" si="12"/>
        <v>9.481481481481481</v>
      </c>
      <c r="Q47" s="62">
        <f t="shared" si="12"/>
        <v>9.481481481481481</v>
      </c>
      <c r="R47" s="62">
        <f t="shared" si="12"/>
        <v>9.481481481481481</v>
      </c>
      <c r="S47" s="62"/>
      <c r="T47" s="62"/>
      <c r="U47" s="57"/>
      <c r="V47" s="96"/>
      <c r="W47" s="97"/>
      <c r="Y47" s="57"/>
    </row>
    <row r="48" spans="2:25" outlineLevel="1" x14ac:dyDescent="0.35">
      <c r="F48" s="57"/>
      <c r="G48" s="62"/>
      <c r="H48" s="218">
        <f>SUM(H44:H47)</f>
        <v>92.651851851851845</v>
      </c>
      <c r="I48" s="218">
        <f t="shared" ref="I48:R48" si="13">SUM(I44:I47)</f>
        <v>116.72222222222223</v>
      </c>
      <c r="J48" s="218">
        <f t="shared" si="13"/>
        <v>245.46296296296296</v>
      </c>
      <c r="K48" s="218">
        <f t="shared" si="13"/>
        <v>276.94444444444446</v>
      </c>
      <c r="L48" s="218">
        <f t="shared" si="13"/>
        <v>275.68518518518516</v>
      </c>
      <c r="M48" s="218">
        <f t="shared" si="13"/>
        <v>318.28148148148148</v>
      </c>
      <c r="N48" s="218">
        <f t="shared" si="13"/>
        <v>318.28148148148148</v>
      </c>
      <c r="O48" s="218">
        <f t="shared" si="13"/>
        <v>450.28148148148148</v>
      </c>
      <c r="P48" s="218">
        <f t="shared" si="13"/>
        <v>450.28148148148148</v>
      </c>
      <c r="Q48" s="218">
        <f t="shared" si="13"/>
        <v>450.28148148148148</v>
      </c>
      <c r="R48" s="218">
        <f t="shared" si="13"/>
        <v>450.28148148148148</v>
      </c>
      <c r="S48" s="62"/>
      <c r="T48" s="62"/>
      <c r="U48" s="57"/>
      <c r="V48" s="96"/>
      <c r="W48" s="97"/>
      <c r="Y48" s="57"/>
    </row>
    <row r="49" spans="2:25" x14ac:dyDescent="0.35">
      <c r="B49" s="27" t="s">
        <v>307</v>
      </c>
      <c r="D49" s="55"/>
      <c r="F49" s="58"/>
      <c r="G49" s="222"/>
      <c r="H49" s="222"/>
      <c r="I49" s="222"/>
      <c r="J49" s="222"/>
      <c r="K49" s="222"/>
      <c r="L49" s="222"/>
      <c r="M49" s="222"/>
      <c r="N49" s="222"/>
      <c r="O49" s="222"/>
      <c r="P49" s="222"/>
      <c r="Q49" s="222"/>
      <c r="R49" s="59"/>
      <c r="S49" s="59"/>
      <c r="T49" s="59"/>
      <c r="U49" s="59"/>
      <c r="V49" s="118"/>
      <c r="Y49" s="59"/>
    </row>
    <row r="50" spans="2:25" x14ac:dyDescent="0.35">
      <c r="B50" s="27"/>
      <c r="D50" s="55"/>
      <c r="E50" s="2" t="s">
        <v>23</v>
      </c>
      <c r="F50" s="57">
        <f t="shared" ref="F50:F61" si="14">SUM(G50:R50)</f>
        <v>130.33549619630489</v>
      </c>
      <c r="G50" s="195">
        <f>G23*G$17/10^6</f>
        <v>0</v>
      </c>
      <c r="H50" s="195">
        <f>SUMPRODUCT(H17:H20,H23:H26)/10^6</f>
        <v>4.3581547575953907</v>
      </c>
      <c r="I50" s="195">
        <f t="shared" ref="I50:R50" si="15">SUMPRODUCT(I17:I20,I23:I26)/10^6</f>
        <v>4.3072658466788214</v>
      </c>
      <c r="J50" s="195">
        <f t="shared" si="15"/>
        <v>8.7434680033246348</v>
      </c>
      <c r="K50" s="195">
        <f t="shared" si="15"/>
        <v>10.013533257474132</v>
      </c>
      <c r="L50" s="195">
        <f t="shared" si="15"/>
        <v>10.098427023649254</v>
      </c>
      <c r="M50" s="195">
        <f t="shared" si="15"/>
        <v>12.523606820278491</v>
      </c>
      <c r="N50" s="195">
        <f t="shared" si="15"/>
        <v>12.523606820278491</v>
      </c>
      <c r="O50" s="195">
        <f t="shared" si="15"/>
        <v>16.941858416756421</v>
      </c>
      <c r="P50" s="195">
        <f t="shared" si="15"/>
        <v>16.941858416756421</v>
      </c>
      <c r="Q50" s="195">
        <f t="shared" si="15"/>
        <v>16.941858416756421</v>
      </c>
      <c r="R50" s="195">
        <f t="shared" si="15"/>
        <v>16.941858416756421</v>
      </c>
      <c r="S50" s="59"/>
      <c r="T50" s="59"/>
      <c r="U50" s="59"/>
      <c r="V50" s="118"/>
      <c r="Y50" s="59"/>
    </row>
    <row r="51" spans="2:25" x14ac:dyDescent="0.35">
      <c r="B51" s="27"/>
      <c r="D51" s="55"/>
      <c r="E51" s="2" t="s">
        <v>311</v>
      </c>
      <c r="F51" s="57">
        <f t="shared" si="14"/>
        <v>0</v>
      </c>
      <c r="G51" s="195">
        <f t="shared" ref="G51:R51" si="16">G29*G$17/10^6</f>
        <v>0</v>
      </c>
      <c r="H51" s="195">
        <f t="shared" si="16"/>
        <v>0</v>
      </c>
      <c r="I51" s="195">
        <f t="shared" si="16"/>
        <v>0</v>
      </c>
      <c r="J51" s="195">
        <f t="shared" si="16"/>
        <v>0</v>
      </c>
      <c r="K51" s="195">
        <f t="shared" si="16"/>
        <v>0</v>
      </c>
      <c r="L51" s="195">
        <f t="shared" si="16"/>
        <v>0</v>
      </c>
      <c r="M51" s="195">
        <f t="shared" si="16"/>
        <v>0</v>
      </c>
      <c r="N51" s="195">
        <f t="shared" si="16"/>
        <v>0</v>
      </c>
      <c r="O51" s="195">
        <f t="shared" si="16"/>
        <v>0</v>
      </c>
      <c r="P51" s="195">
        <f t="shared" si="16"/>
        <v>0</v>
      </c>
      <c r="Q51" s="195">
        <f t="shared" si="16"/>
        <v>0</v>
      </c>
      <c r="R51" s="195">
        <f t="shared" si="16"/>
        <v>0</v>
      </c>
      <c r="S51" s="59"/>
      <c r="T51" s="59"/>
      <c r="U51" s="59"/>
      <c r="V51" s="118"/>
      <c r="Y51" s="59"/>
    </row>
    <row r="52" spans="2:25" x14ac:dyDescent="0.35">
      <c r="C52" s="6"/>
      <c r="D52" s="6"/>
      <c r="E52" s="2" t="s">
        <v>179</v>
      </c>
      <c r="F52" s="57">
        <f t="shared" si="14"/>
        <v>151.94500000000002</v>
      </c>
      <c r="G52" s="195">
        <f>G31*G$17/10^6</f>
        <v>0</v>
      </c>
      <c r="H52" s="195">
        <f>SUMPRODUCT(H31:H33,H17:H19)/10^6</f>
        <v>3.8450000000000002</v>
      </c>
      <c r="I52" s="195">
        <f t="shared" ref="I52:R52" si="17">SUMPRODUCT(I31:I33,I17:I19)/10^6</f>
        <v>5.165</v>
      </c>
      <c r="J52" s="195">
        <f t="shared" si="17"/>
        <v>10.93</v>
      </c>
      <c r="K52" s="195">
        <f t="shared" si="17"/>
        <v>12.285</v>
      </c>
      <c r="L52" s="195">
        <f t="shared" si="17"/>
        <v>12.2</v>
      </c>
      <c r="M52" s="195">
        <f t="shared" si="17"/>
        <v>13.96</v>
      </c>
      <c r="N52" s="195">
        <f t="shared" si="17"/>
        <v>13.96</v>
      </c>
      <c r="O52" s="195">
        <f t="shared" si="17"/>
        <v>19.899999999999999</v>
      </c>
      <c r="P52" s="195">
        <f t="shared" si="17"/>
        <v>19.899999999999999</v>
      </c>
      <c r="Q52" s="195">
        <f t="shared" si="17"/>
        <v>19.899999999999999</v>
      </c>
      <c r="R52" s="195">
        <f t="shared" si="17"/>
        <v>19.899999999999999</v>
      </c>
      <c r="S52" s="85"/>
      <c r="T52" s="85"/>
      <c r="U52" s="85"/>
      <c r="V52" s="85"/>
      <c r="W52" s="85"/>
      <c r="X52" s="85"/>
      <c r="Y52" s="85"/>
    </row>
    <row r="53" spans="2:25" x14ac:dyDescent="0.35">
      <c r="C53" s="6"/>
      <c r="D53" s="6"/>
      <c r="E53" s="2" t="s">
        <v>312</v>
      </c>
      <c r="F53" s="57">
        <f t="shared" si="14"/>
        <v>521.20000000000005</v>
      </c>
      <c r="G53" s="195">
        <f>G35*G$17/10^6</f>
        <v>0</v>
      </c>
      <c r="H53" s="195">
        <f>SUMPRODUCT(H35:H37,H17:H19)/10^6</f>
        <v>13.7</v>
      </c>
      <c r="I53" s="195">
        <f t="shared" ref="I53:R53" si="18">SUMPRODUCT(I35:I37,I17:I19)/10^6</f>
        <v>17.600000000000001</v>
      </c>
      <c r="J53" s="195">
        <f t="shared" si="18"/>
        <v>37</v>
      </c>
      <c r="K53" s="195">
        <f t="shared" si="18"/>
        <v>41.7</v>
      </c>
      <c r="L53" s="195">
        <f t="shared" si="18"/>
        <v>41.6</v>
      </c>
      <c r="M53" s="195">
        <f t="shared" si="18"/>
        <v>48.4</v>
      </c>
      <c r="N53" s="195">
        <f t="shared" si="18"/>
        <v>48.4</v>
      </c>
      <c r="O53" s="195">
        <f t="shared" si="18"/>
        <v>68.2</v>
      </c>
      <c r="P53" s="195">
        <f t="shared" si="18"/>
        <v>68.2</v>
      </c>
      <c r="Q53" s="195">
        <f t="shared" si="18"/>
        <v>68.2</v>
      </c>
      <c r="R53" s="195">
        <f t="shared" si="18"/>
        <v>68.2</v>
      </c>
      <c r="S53" s="85"/>
      <c r="T53" s="85"/>
      <c r="U53" s="85"/>
      <c r="V53" s="85"/>
      <c r="W53" s="85"/>
      <c r="X53" s="85"/>
      <c r="Y53" s="85"/>
    </row>
    <row r="54" spans="2:25" x14ac:dyDescent="0.35">
      <c r="E54" s="2" t="s">
        <v>28</v>
      </c>
      <c r="F54" s="57">
        <f t="shared" si="14"/>
        <v>228.97000000000006</v>
      </c>
      <c r="G54" s="195">
        <f>G39*G$17/10^6</f>
        <v>0</v>
      </c>
      <c r="H54" s="195">
        <f>SUMPRODUCT(H39:H42,H17:H20)/10^6</f>
        <v>7.415</v>
      </c>
      <c r="I54" s="195">
        <f t="shared" ref="I54:R54" si="19">SUMPRODUCT(I39:I42,I17:I20)/10^6</f>
        <v>7.5250000000000004</v>
      </c>
      <c r="J54" s="195">
        <f t="shared" si="19"/>
        <v>15.285</v>
      </c>
      <c r="K54" s="195">
        <f t="shared" si="19"/>
        <v>17.510000000000002</v>
      </c>
      <c r="L54" s="195">
        <f t="shared" si="19"/>
        <v>17.795000000000002</v>
      </c>
      <c r="M54" s="195">
        <f t="shared" si="19"/>
        <v>22.18</v>
      </c>
      <c r="N54" s="195">
        <f t="shared" si="19"/>
        <v>22.18</v>
      </c>
      <c r="O54" s="195">
        <f t="shared" si="19"/>
        <v>29.77</v>
      </c>
      <c r="P54" s="195">
        <f t="shared" si="19"/>
        <v>29.77</v>
      </c>
      <c r="Q54" s="195">
        <f t="shared" si="19"/>
        <v>29.77</v>
      </c>
      <c r="R54" s="195">
        <f t="shared" si="19"/>
        <v>29.77</v>
      </c>
      <c r="S54" s="62"/>
      <c r="T54" s="62"/>
      <c r="U54" s="57"/>
      <c r="V54" s="96"/>
      <c r="W54" s="97"/>
      <c r="Y54" s="57"/>
    </row>
    <row r="55" spans="2:25" x14ac:dyDescent="0.35">
      <c r="E55" s="2" t="s">
        <v>182</v>
      </c>
      <c r="F55" s="57">
        <f t="shared" si="14"/>
        <v>55.55555555555555</v>
      </c>
      <c r="G55" s="62">
        <v>0</v>
      </c>
      <c r="H55" s="62">
        <f>'Điểm hòa vốn'!O45</f>
        <v>55.55555555555555</v>
      </c>
      <c r="I55" s="62">
        <f t="shared" ref="I55:R55" si="20">$G55</f>
        <v>0</v>
      </c>
      <c r="J55" s="62">
        <f t="shared" si="20"/>
        <v>0</v>
      </c>
      <c r="K55" s="62">
        <f t="shared" si="20"/>
        <v>0</v>
      </c>
      <c r="L55" s="62">
        <f t="shared" si="20"/>
        <v>0</v>
      </c>
      <c r="M55" s="62">
        <f t="shared" si="20"/>
        <v>0</v>
      </c>
      <c r="N55" s="62">
        <f t="shared" si="20"/>
        <v>0</v>
      </c>
      <c r="O55" s="62">
        <f t="shared" si="20"/>
        <v>0</v>
      </c>
      <c r="P55" s="62">
        <f t="shared" si="20"/>
        <v>0</v>
      </c>
      <c r="Q55" s="62">
        <f t="shared" si="20"/>
        <v>0</v>
      </c>
      <c r="R55" s="62">
        <f t="shared" si="20"/>
        <v>0</v>
      </c>
      <c r="S55" s="62"/>
      <c r="T55" s="62"/>
      <c r="U55" s="57"/>
      <c r="V55" s="96"/>
      <c r="W55" s="97"/>
      <c r="Y55" s="57"/>
    </row>
    <row r="56" spans="2:25" x14ac:dyDescent="0.35">
      <c r="E56" s="2" t="s">
        <v>310</v>
      </c>
      <c r="F56" s="57">
        <f t="shared" si="14"/>
        <v>1154.3100000000002</v>
      </c>
      <c r="G56" s="62">
        <v>96</v>
      </c>
      <c r="H56" s="62">
        <f>'Điểm hòa vốn'!O43</f>
        <v>96.21</v>
      </c>
      <c r="I56" s="62">
        <f>$H56</f>
        <v>96.21</v>
      </c>
      <c r="J56" s="62">
        <f t="shared" ref="J56:R58" si="21">$H56</f>
        <v>96.21</v>
      </c>
      <c r="K56" s="62">
        <f t="shared" si="21"/>
        <v>96.21</v>
      </c>
      <c r="L56" s="62">
        <f t="shared" si="21"/>
        <v>96.21</v>
      </c>
      <c r="M56" s="62">
        <f t="shared" si="21"/>
        <v>96.21</v>
      </c>
      <c r="N56" s="62">
        <f t="shared" si="21"/>
        <v>96.21</v>
      </c>
      <c r="O56" s="62">
        <f t="shared" si="21"/>
        <v>96.21</v>
      </c>
      <c r="P56" s="62">
        <f t="shared" si="21"/>
        <v>96.21</v>
      </c>
      <c r="Q56" s="62">
        <f t="shared" si="21"/>
        <v>96.21</v>
      </c>
      <c r="R56" s="62">
        <f t="shared" si="21"/>
        <v>96.21</v>
      </c>
      <c r="S56" s="62"/>
      <c r="T56" s="62"/>
      <c r="U56" s="57"/>
      <c r="V56" s="96"/>
      <c r="W56" s="97"/>
      <c r="Y56" s="57"/>
    </row>
    <row r="57" spans="2:25" x14ac:dyDescent="0.35">
      <c r="E57" s="2" t="s">
        <v>408</v>
      </c>
      <c r="F57" s="57">
        <f t="shared" si="14"/>
        <v>360</v>
      </c>
      <c r="G57" s="62">
        <v>30</v>
      </c>
      <c r="H57" s="62">
        <f>'Điểm hòa vốn'!O42</f>
        <v>30</v>
      </c>
      <c r="I57" s="62">
        <f>$H57</f>
        <v>30</v>
      </c>
      <c r="J57" s="62">
        <f t="shared" si="21"/>
        <v>30</v>
      </c>
      <c r="K57" s="62">
        <f t="shared" si="21"/>
        <v>30</v>
      </c>
      <c r="L57" s="62">
        <f t="shared" si="21"/>
        <v>30</v>
      </c>
      <c r="M57" s="62">
        <f t="shared" si="21"/>
        <v>30</v>
      </c>
      <c r="N57" s="62">
        <f t="shared" si="21"/>
        <v>30</v>
      </c>
      <c r="O57" s="62">
        <f t="shared" si="21"/>
        <v>30</v>
      </c>
      <c r="P57" s="62">
        <f t="shared" si="21"/>
        <v>30</v>
      </c>
      <c r="Q57" s="62">
        <f t="shared" si="21"/>
        <v>30</v>
      </c>
      <c r="R57" s="62">
        <f t="shared" si="21"/>
        <v>30</v>
      </c>
      <c r="S57" s="62"/>
      <c r="T57" s="62"/>
      <c r="U57" s="57"/>
      <c r="V57" s="96"/>
      <c r="W57" s="97"/>
      <c r="Y57" s="57"/>
    </row>
    <row r="58" spans="2:25" x14ac:dyDescent="0.35">
      <c r="E58" s="2" t="s">
        <v>420</v>
      </c>
      <c r="F58" s="57">
        <f t="shared" si="14"/>
        <v>230</v>
      </c>
      <c r="G58" s="62">
        <f>'Điểm hòa vốn'!N44</f>
        <v>10</v>
      </c>
      <c r="H58" s="62">
        <f>'Điểm hòa vốn'!O44+'Điểm hòa vốn'!O54</f>
        <v>20</v>
      </c>
      <c r="I58" s="62">
        <f>$H58</f>
        <v>20</v>
      </c>
      <c r="J58" s="62">
        <f t="shared" si="21"/>
        <v>20</v>
      </c>
      <c r="K58" s="62">
        <f t="shared" si="21"/>
        <v>20</v>
      </c>
      <c r="L58" s="62">
        <f t="shared" si="21"/>
        <v>20</v>
      </c>
      <c r="M58" s="62">
        <f t="shared" si="21"/>
        <v>20</v>
      </c>
      <c r="N58" s="62">
        <f t="shared" si="21"/>
        <v>20</v>
      </c>
      <c r="O58" s="62">
        <f t="shared" si="21"/>
        <v>20</v>
      </c>
      <c r="P58" s="62">
        <f t="shared" si="21"/>
        <v>20</v>
      </c>
      <c r="Q58" s="62">
        <f t="shared" si="21"/>
        <v>20</v>
      </c>
      <c r="R58" s="62">
        <f t="shared" si="21"/>
        <v>20</v>
      </c>
      <c r="S58" s="62"/>
      <c r="T58" s="62"/>
      <c r="U58" s="57"/>
      <c r="V58" s="96"/>
      <c r="W58" s="97"/>
      <c r="Y58" s="57"/>
    </row>
    <row r="59" spans="2:25" x14ac:dyDescent="0.35">
      <c r="E59" s="2" t="s">
        <v>421</v>
      </c>
      <c r="F59" s="57">
        <f t="shared" si="14"/>
        <v>344.51555555555558</v>
      </c>
      <c r="G59" s="62">
        <v>0</v>
      </c>
      <c r="H59" s="62">
        <f>10%*H48</f>
        <v>9.2651851851851852</v>
      </c>
      <c r="I59" s="62">
        <f t="shared" ref="I59:R59" si="22">10%*I48</f>
        <v>11.672222222222224</v>
      </c>
      <c r="J59" s="62">
        <f t="shared" si="22"/>
        <v>24.546296296296298</v>
      </c>
      <c r="K59" s="62">
        <f t="shared" si="22"/>
        <v>27.694444444444446</v>
      </c>
      <c r="L59" s="62">
        <f t="shared" si="22"/>
        <v>27.568518518518516</v>
      </c>
      <c r="M59" s="62">
        <f t="shared" si="22"/>
        <v>31.828148148148149</v>
      </c>
      <c r="N59" s="62">
        <f t="shared" si="22"/>
        <v>31.828148148148149</v>
      </c>
      <c r="O59" s="62">
        <f t="shared" si="22"/>
        <v>45.028148148148148</v>
      </c>
      <c r="P59" s="62">
        <f t="shared" si="22"/>
        <v>45.028148148148148</v>
      </c>
      <c r="Q59" s="62">
        <f t="shared" si="22"/>
        <v>45.028148148148148</v>
      </c>
      <c r="R59" s="62">
        <f t="shared" si="22"/>
        <v>45.028148148148148</v>
      </c>
      <c r="S59" s="62"/>
      <c r="T59" s="62"/>
      <c r="U59" s="57"/>
      <c r="V59" s="96"/>
      <c r="W59" s="97"/>
      <c r="Y59" s="57"/>
    </row>
    <row r="60" spans="2:25" x14ac:dyDescent="0.35">
      <c r="E60" s="2" t="s">
        <v>691</v>
      </c>
      <c r="F60" s="57"/>
      <c r="G60" s="62"/>
      <c r="H60" s="62">
        <f>5%*H48</f>
        <v>4.6325925925925926</v>
      </c>
      <c r="I60" s="62">
        <f t="shared" ref="I60:R60" si="23">5%*I48</f>
        <v>5.8361111111111121</v>
      </c>
      <c r="J60" s="62">
        <f t="shared" si="23"/>
        <v>12.273148148148149</v>
      </c>
      <c r="K60" s="62">
        <f t="shared" si="23"/>
        <v>13.847222222222223</v>
      </c>
      <c r="L60" s="62">
        <f t="shared" si="23"/>
        <v>13.784259259259258</v>
      </c>
      <c r="M60" s="62">
        <f t="shared" si="23"/>
        <v>15.914074074074074</v>
      </c>
      <c r="N60" s="62">
        <f t="shared" si="23"/>
        <v>15.914074074074074</v>
      </c>
      <c r="O60" s="62">
        <f t="shared" si="23"/>
        <v>22.514074074074074</v>
      </c>
      <c r="P60" s="62">
        <f t="shared" si="23"/>
        <v>22.514074074074074</v>
      </c>
      <c r="Q60" s="62">
        <f t="shared" si="23"/>
        <v>22.514074074074074</v>
      </c>
      <c r="R60" s="62">
        <f t="shared" si="23"/>
        <v>22.514074074074074</v>
      </c>
      <c r="S60" s="62"/>
      <c r="T60" s="62"/>
      <c r="U60" s="57"/>
      <c r="V60" s="96"/>
      <c r="W60" s="97"/>
      <c r="Y60" s="57"/>
    </row>
    <row r="61" spans="2:25" ht="13.15" thickBot="1" x14ac:dyDescent="0.4">
      <c r="C61" s="223" t="s">
        <v>308</v>
      </c>
      <c r="D61" s="100"/>
      <c r="E61" s="100"/>
      <c r="F61" s="243">
        <f t="shared" si="14"/>
        <v>3349.089385085194</v>
      </c>
      <c r="G61" s="226">
        <f>SUM(G50:G59)</f>
        <v>136</v>
      </c>
      <c r="H61" s="226">
        <f>SUM(H50:H60)</f>
        <v>244.98148809092871</v>
      </c>
      <c r="I61" s="226">
        <f t="shared" ref="I61:R61" si="24">SUM(I50:I60)</f>
        <v>198.31559918001216</v>
      </c>
      <c r="J61" s="226">
        <f t="shared" si="24"/>
        <v>254.98791244776908</v>
      </c>
      <c r="K61" s="226">
        <f t="shared" si="24"/>
        <v>269.26019992414081</v>
      </c>
      <c r="L61" s="226">
        <f t="shared" si="24"/>
        <v>269.25620480142703</v>
      </c>
      <c r="M61" s="226">
        <f t="shared" si="24"/>
        <v>291.01582904250068</v>
      </c>
      <c r="N61" s="226">
        <f t="shared" si="24"/>
        <v>291.01582904250068</v>
      </c>
      <c r="O61" s="226">
        <f t="shared" si="24"/>
        <v>348.56408063897862</v>
      </c>
      <c r="P61" s="226">
        <f t="shared" si="24"/>
        <v>348.56408063897862</v>
      </c>
      <c r="Q61" s="226">
        <f t="shared" si="24"/>
        <v>348.56408063897862</v>
      </c>
      <c r="R61" s="226">
        <f t="shared" si="24"/>
        <v>348.56408063897862</v>
      </c>
      <c r="S61" s="62"/>
      <c r="T61" s="62"/>
      <c r="U61" s="57"/>
      <c r="V61" s="96"/>
      <c r="W61" s="97"/>
      <c r="Y61" s="57"/>
    </row>
    <row r="62" spans="2:25" x14ac:dyDescent="0.35">
      <c r="B62" s="89" t="s">
        <v>190</v>
      </c>
      <c r="C62" s="90"/>
      <c r="D62" s="90"/>
      <c r="E62" s="91"/>
      <c r="F62" s="92">
        <f>SUM(F44:F47)-F61</f>
        <v>96.066170470361612</v>
      </c>
      <c r="G62" s="92">
        <f t="shared" ref="G62:R62" si="25">SUM(G44:G47)-G61</f>
        <v>-136</v>
      </c>
      <c r="H62" s="92">
        <f t="shared" si="25"/>
        <v>-152.32963623907688</v>
      </c>
      <c r="I62" s="92">
        <f t="shared" si="25"/>
        <v>-81.593376957789928</v>
      </c>
      <c r="J62" s="92">
        <f t="shared" si="25"/>
        <v>-9.5249494848061147</v>
      </c>
      <c r="K62" s="92">
        <f t="shared" si="25"/>
        <v>7.6842445203036505</v>
      </c>
      <c r="L62" s="92">
        <f t="shared" si="25"/>
        <v>6.4289803837581303</v>
      </c>
      <c r="M62" s="92">
        <f t="shared" si="25"/>
        <v>27.265652438980794</v>
      </c>
      <c r="N62" s="92">
        <f t="shared" si="25"/>
        <v>27.265652438980794</v>
      </c>
      <c r="O62" s="92">
        <f t="shared" si="25"/>
        <v>101.71740084250285</v>
      </c>
      <c r="P62" s="92">
        <f t="shared" si="25"/>
        <v>101.71740084250285</v>
      </c>
      <c r="Q62" s="92">
        <f t="shared" si="25"/>
        <v>101.71740084250285</v>
      </c>
      <c r="R62" s="92">
        <f t="shared" si="25"/>
        <v>101.71740084250285</v>
      </c>
      <c r="S62" s="92"/>
      <c r="T62" s="92"/>
      <c r="U62" s="92"/>
      <c r="V62" s="104"/>
      <c r="W62" s="92"/>
      <c r="X62" s="92"/>
      <c r="Y62" s="92"/>
    </row>
    <row r="63" spans="2:25" x14ac:dyDescent="0.35">
      <c r="B63" s="27"/>
      <c r="D63" s="6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96"/>
      <c r="W63" s="57"/>
      <c r="X63" s="57"/>
      <c r="Y63" s="57"/>
    </row>
    <row r="64" spans="2:25" x14ac:dyDescent="0.35">
      <c r="B64" s="2" t="s">
        <v>41</v>
      </c>
      <c r="F64" s="240">
        <f>SUM(G64:R64)</f>
        <v>0</v>
      </c>
      <c r="G64" s="240"/>
      <c r="H64" s="240">
        <f>$G$64</f>
        <v>0</v>
      </c>
      <c r="I64" s="240">
        <f t="shared" ref="I64:R64" si="26">$G$64</f>
        <v>0</v>
      </c>
      <c r="J64" s="240">
        <f t="shared" si="26"/>
        <v>0</v>
      </c>
      <c r="K64" s="240">
        <f t="shared" si="26"/>
        <v>0</v>
      </c>
      <c r="L64" s="240">
        <f t="shared" si="26"/>
        <v>0</v>
      </c>
      <c r="M64" s="240">
        <f t="shared" si="26"/>
        <v>0</v>
      </c>
      <c r="N64" s="240">
        <f t="shared" si="26"/>
        <v>0</v>
      </c>
      <c r="O64" s="240">
        <f t="shared" si="26"/>
        <v>0</v>
      </c>
      <c r="P64" s="240">
        <f t="shared" si="26"/>
        <v>0</v>
      </c>
      <c r="Q64" s="240">
        <f t="shared" si="26"/>
        <v>0</v>
      </c>
      <c r="R64" s="240">
        <f t="shared" si="26"/>
        <v>0</v>
      </c>
    </row>
  </sheetData>
  <pageMargins left="0.7" right="0.7" top="0.75" bottom="0.75" header="0.3" footer="0.3"/>
  <pageSetup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7E27-868C-4D52-9F45-75BA80147FB7}">
  <sheetPr>
    <tabColor rgb="FF2596BE"/>
  </sheetPr>
  <dimension ref="B3:Y61"/>
  <sheetViews>
    <sheetView zoomScale="160" zoomScaleNormal="160" workbookViewId="0">
      <pane xSplit="5" ySplit="9" topLeftCell="F40" activePane="bottomRight" state="frozen"/>
      <selection pane="topRight" activeCell="E1" sqref="E1"/>
      <selection pane="bottomLeft" activeCell="A4" sqref="A4"/>
      <selection pane="bottomRight" activeCell="N52" sqref="N52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19.86328125" style="2" customWidth="1"/>
    <col min="6" max="6" width="12.265625" style="2" customWidth="1"/>
    <col min="7" max="7" width="10.73046875" style="2" bestFit="1" customWidth="1" outlineLevel="1"/>
    <col min="8" max="8" width="10.3984375" style="2" customWidth="1" outlineLevel="1"/>
    <col min="9" max="9" width="10.73046875" style="2" customWidth="1" outlineLevel="1"/>
    <col min="10" max="17" width="11.3984375" style="2" customWidth="1" outlineLevel="1"/>
    <col min="18" max="18" width="10.265625" style="2" bestFit="1" customWidth="1"/>
    <col min="19" max="19" width="12.1328125" style="2" customWidth="1"/>
    <col min="20" max="20" width="10.59765625" style="2" customWidth="1"/>
    <col min="21" max="21" width="18.59765625" style="2" customWidth="1"/>
    <col min="22" max="22" width="11.3984375" style="2" customWidth="1"/>
    <col min="23" max="23" width="12.86328125" style="2" customWidth="1"/>
    <col min="24" max="24" width="13.1328125" style="2" customWidth="1"/>
    <col min="25" max="16384" width="9.1328125" style="2"/>
  </cols>
  <sheetData>
    <row r="3" spans="2:25" x14ac:dyDescent="0.35">
      <c r="I3" s="60"/>
    </row>
    <row r="4" spans="2:25" x14ac:dyDescent="0.35">
      <c r="B4" s="2" t="s">
        <v>25</v>
      </c>
    </row>
    <row r="6" spans="2:25" x14ac:dyDescent="0.35">
      <c r="B6" s="27" t="s">
        <v>463</v>
      </c>
      <c r="I6" s="2">
        <v>1</v>
      </c>
      <c r="J6" s="2">
        <v>2</v>
      </c>
      <c r="K6" s="2">
        <v>3</v>
      </c>
      <c r="L6" s="2">
        <v>4</v>
      </c>
      <c r="M6" s="2">
        <v>5</v>
      </c>
      <c r="N6" s="2">
        <v>6</v>
      </c>
      <c r="O6" s="2">
        <v>7</v>
      </c>
      <c r="P6" s="2">
        <v>8</v>
      </c>
      <c r="Q6" s="2">
        <v>9</v>
      </c>
      <c r="R6" s="2">
        <v>10</v>
      </c>
    </row>
    <row r="7" spans="2:25" s="6" customFormat="1" x14ac:dyDescent="0.35">
      <c r="B7" s="6" t="s">
        <v>464</v>
      </c>
      <c r="G7" s="74" t="s">
        <v>142</v>
      </c>
      <c r="H7" s="74" t="s">
        <v>142</v>
      </c>
      <c r="I7" s="74" t="s">
        <v>142</v>
      </c>
      <c r="J7" s="74" t="s">
        <v>142</v>
      </c>
      <c r="K7" s="74" t="s">
        <v>142</v>
      </c>
      <c r="L7" s="74" t="s">
        <v>142</v>
      </c>
      <c r="M7" s="74" t="s">
        <v>142</v>
      </c>
      <c r="N7" s="74" t="s">
        <v>142</v>
      </c>
      <c r="O7" s="74" t="s">
        <v>142</v>
      </c>
      <c r="P7" s="74" t="s">
        <v>142</v>
      </c>
      <c r="Q7" s="74" t="s">
        <v>142</v>
      </c>
      <c r="R7" s="74" t="s">
        <v>142</v>
      </c>
    </row>
    <row r="8" spans="2:25" x14ac:dyDescent="0.35">
      <c r="B8" s="32" t="s">
        <v>212</v>
      </c>
      <c r="G8" s="32" t="s">
        <v>52</v>
      </c>
    </row>
    <row r="9" spans="2:25" ht="13.5" x14ac:dyDescent="0.35">
      <c r="B9" s="45" t="s">
        <v>101</v>
      </c>
      <c r="F9" s="6" t="s">
        <v>309</v>
      </c>
      <c r="G9" s="61">
        <v>1</v>
      </c>
      <c r="H9" s="61">
        <v>2</v>
      </c>
      <c r="I9" s="61">
        <v>3</v>
      </c>
      <c r="J9" s="61">
        <v>4</v>
      </c>
      <c r="K9" s="61">
        <v>5</v>
      </c>
      <c r="L9" s="61">
        <v>6</v>
      </c>
      <c r="M9" s="61">
        <v>7</v>
      </c>
      <c r="N9" s="61">
        <v>8</v>
      </c>
      <c r="O9" s="61">
        <v>9</v>
      </c>
      <c r="P9" s="61">
        <v>10</v>
      </c>
      <c r="Q9" s="61">
        <v>11</v>
      </c>
      <c r="R9" s="61">
        <v>12</v>
      </c>
      <c r="S9" s="113" t="s">
        <v>197</v>
      </c>
      <c r="T9" s="114"/>
      <c r="U9" s="114"/>
      <c r="V9" s="32"/>
      <c r="W9" s="32"/>
      <c r="X9" s="6"/>
      <c r="Y9" s="73"/>
    </row>
    <row r="10" spans="2:25" x14ac:dyDescent="0.35">
      <c r="B10" s="27"/>
      <c r="D10" s="6"/>
      <c r="R10" s="58"/>
    </row>
    <row r="11" spans="2:25" x14ac:dyDescent="0.35">
      <c r="B11" s="27" t="s">
        <v>300</v>
      </c>
      <c r="D11" s="6"/>
      <c r="R11" s="58"/>
    </row>
    <row r="12" spans="2:25" x14ac:dyDescent="0.35">
      <c r="B12" s="27"/>
      <c r="D12" s="6"/>
      <c r="E12" s="2" t="s">
        <v>6</v>
      </c>
      <c r="G12" s="57">
        <v>3003773.5849056602</v>
      </c>
      <c r="H12" s="62">
        <f>'Điểm hòa vốn'!P83</f>
        <v>0</v>
      </c>
      <c r="I12" s="57">
        <f>$H12</f>
        <v>0</v>
      </c>
      <c r="J12" s="57">
        <f t="shared" ref="J12:R12" si="0">$H12</f>
        <v>0</v>
      </c>
      <c r="K12" s="57">
        <f t="shared" si="0"/>
        <v>0</v>
      </c>
      <c r="L12" s="57">
        <f t="shared" si="0"/>
        <v>0</v>
      </c>
      <c r="M12" s="57">
        <f t="shared" si="0"/>
        <v>0</v>
      </c>
      <c r="N12" s="57">
        <f t="shared" si="0"/>
        <v>0</v>
      </c>
      <c r="O12" s="57">
        <f t="shared" si="0"/>
        <v>0</v>
      </c>
      <c r="P12" s="57">
        <f t="shared" si="0"/>
        <v>0</v>
      </c>
      <c r="Q12" s="57">
        <f t="shared" si="0"/>
        <v>0</v>
      </c>
      <c r="R12" s="57">
        <f t="shared" si="0"/>
        <v>0</v>
      </c>
    </row>
    <row r="13" spans="2:25" x14ac:dyDescent="0.35">
      <c r="B13" s="27"/>
      <c r="D13" s="6"/>
      <c r="E13" s="2" t="s">
        <v>10</v>
      </c>
      <c r="G13" s="57">
        <v>250000</v>
      </c>
      <c r="H13" s="62">
        <f>'Điểm hòa vốn'!P87</f>
        <v>0</v>
      </c>
      <c r="I13" s="57">
        <f t="shared" ref="I13:R14" si="1">$H13</f>
        <v>0</v>
      </c>
      <c r="J13" s="57">
        <f t="shared" si="1"/>
        <v>0</v>
      </c>
      <c r="K13" s="57">
        <f t="shared" si="1"/>
        <v>0</v>
      </c>
      <c r="L13" s="57">
        <f t="shared" si="1"/>
        <v>0</v>
      </c>
      <c r="M13" s="57">
        <f t="shared" si="1"/>
        <v>0</v>
      </c>
      <c r="N13" s="57">
        <f t="shared" si="1"/>
        <v>0</v>
      </c>
      <c r="O13" s="57">
        <f t="shared" si="1"/>
        <v>0</v>
      </c>
      <c r="P13" s="57">
        <f t="shared" si="1"/>
        <v>0</v>
      </c>
      <c r="Q13" s="57">
        <f t="shared" si="1"/>
        <v>0</v>
      </c>
      <c r="R13" s="57">
        <f t="shared" si="1"/>
        <v>0</v>
      </c>
    </row>
    <row r="14" spans="2:25" x14ac:dyDescent="0.35">
      <c r="B14" s="27"/>
      <c r="D14" s="6"/>
      <c r="E14" s="2" t="s">
        <v>465</v>
      </c>
      <c r="G14" s="57">
        <v>2233333.3333333335</v>
      </c>
      <c r="H14" s="62">
        <f>G14</f>
        <v>2233333.3333333335</v>
      </c>
      <c r="I14" s="57">
        <f t="shared" si="1"/>
        <v>2233333.3333333335</v>
      </c>
      <c r="J14" s="57">
        <f t="shared" si="1"/>
        <v>2233333.3333333335</v>
      </c>
      <c r="K14" s="57">
        <f t="shared" si="1"/>
        <v>2233333.3333333335</v>
      </c>
      <c r="L14" s="57">
        <f t="shared" si="1"/>
        <v>2233333.3333333335</v>
      </c>
      <c r="M14" s="57">
        <f t="shared" si="1"/>
        <v>2233333.3333333335</v>
      </c>
      <c r="N14" s="57">
        <f t="shared" si="1"/>
        <v>2233333.3333333335</v>
      </c>
      <c r="O14" s="57">
        <f t="shared" si="1"/>
        <v>2233333.3333333335</v>
      </c>
      <c r="P14" s="57">
        <f t="shared" si="1"/>
        <v>2233333.3333333335</v>
      </c>
      <c r="Q14" s="57">
        <f t="shared" si="1"/>
        <v>2233333.3333333335</v>
      </c>
      <c r="R14" s="57">
        <f t="shared" si="1"/>
        <v>2233333.3333333335</v>
      </c>
    </row>
    <row r="15" spans="2:25" x14ac:dyDescent="0.35">
      <c r="D15" s="6"/>
      <c r="H15" s="62"/>
      <c r="I15" s="57"/>
      <c r="J15" s="57"/>
      <c r="K15" s="57"/>
      <c r="L15" s="57"/>
      <c r="M15" s="57"/>
      <c r="N15" s="57"/>
      <c r="O15" s="57"/>
      <c r="P15" s="57"/>
      <c r="Q15" s="57"/>
      <c r="R15" s="57"/>
    </row>
    <row r="16" spans="2:25" x14ac:dyDescent="0.35">
      <c r="B16" s="27" t="s">
        <v>301</v>
      </c>
      <c r="D16" s="6"/>
      <c r="R16" s="58"/>
    </row>
    <row r="17" spans="2:18" x14ac:dyDescent="0.35">
      <c r="B17" s="27"/>
      <c r="D17" s="6"/>
      <c r="E17" s="2" t="s">
        <v>6</v>
      </c>
      <c r="G17" s="2">
        <v>70</v>
      </c>
      <c r="H17" s="2">
        <f>2*(28-9)</f>
        <v>38</v>
      </c>
      <c r="I17" s="2">
        <f>4*31</f>
        <v>124</v>
      </c>
      <c r="J17" s="2">
        <v>175</v>
      </c>
      <c r="K17" s="2">
        <v>200</v>
      </c>
      <c r="L17" s="2">
        <v>250</v>
      </c>
      <c r="M17" s="2">
        <f>'Điểm hòa vốn'!P92</f>
        <v>0</v>
      </c>
      <c r="N17" s="2">
        <f>$M17</f>
        <v>0</v>
      </c>
      <c r="O17" s="2">
        <f t="shared" ref="O17:R18" si="2">$M17</f>
        <v>0</v>
      </c>
      <c r="P17" s="2">
        <v>350</v>
      </c>
      <c r="Q17" s="2">
        <v>350</v>
      </c>
      <c r="R17" s="2">
        <v>350</v>
      </c>
    </row>
    <row r="18" spans="2:18" x14ac:dyDescent="0.35">
      <c r="B18" s="27"/>
      <c r="D18" s="6"/>
      <c r="E18" s="2" t="s">
        <v>10</v>
      </c>
      <c r="G18" s="305">
        <v>7</v>
      </c>
      <c r="H18" s="2">
        <v>5</v>
      </c>
      <c r="I18" s="2">
        <v>20</v>
      </c>
      <c r="J18" s="2">
        <v>30</v>
      </c>
      <c r="K18" s="2">
        <v>40</v>
      </c>
      <c r="L18" s="2">
        <v>50</v>
      </c>
      <c r="M18" s="2">
        <f>'Điểm hòa vốn'!P96</f>
        <v>0</v>
      </c>
      <c r="N18" s="2">
        <f>$M18</f>
        <v>0</v>
      </c>
      <c r="O18" s="2">
        <f t="shared" si="2"/>
        <v>0</v>
      </c>
      <c r="P18" s="2">
        <f t="shared" si="2"/>
        <v>0</v>
      </c>
      <c r="Q18" s="2">
        <f t="shared" si="2"/>
        <v>0</v>
      </c>
      <c r="R18" s="2">
        <f t="shared" si="2"/>
        <v>0</v>
      </c>
    </row>
    <row r="19" spans="2:18" x14ac:dyDescent="0.35">
      <c r="B19" s="27"/>
      <c r="D19" s="6"/>
      <c r="E19" s="2" t="s">
        <v>465</v>
      </c>
      <c r="G19" s="305">
        <v>4</v>
      </c>
      <c r="H19" s="305">
        <v>4</v>
      </c>
      <c r="I19" s="305">
        <v>4</v>
      </c>
      <c r="J19" s="305">
        <v>4</v>
      </c>
      <c r="K19" s="305">
        <v>4</v>
      </c>
      <c r="L19" s="305">
        <v>4</v>
      </c>
      <c r="M19" s="305">
        <v>4</v>
      </c>
      <c r="N19" s="305">
        <v>4</v>
      </c>
      <c r="O19" s="305">
        <v>4</v>
      </c>
      <c r="P19" s="305">
        <v>4</v>
      </c>
      <c r="Q19" s="305">
        <v>4</v>
      </c>
      <c r="R19" s="305">
        <v>4</v>
      </c>
    </row>
    <row r="20" spans="2:18" x14ac:dyDescent="0.35">
      <c r="B20" s="27"/>
      <c r="D20" s="6"/>
    </row>
    <row r="21" spans="2:18" x14ac:dyDescent="0.35">
      <c r="B21" s="27"/>
      <c r="D21" s="6"/>
    </row>
    <row r="22" spans="2:18" x14ac:dyDescent="0.35">
      <c r="B22" s="27" t="s">
        <v>314</v>
      </c>
      <c r="D22" s="6"/>
      <c r="R22" s="58"/>
    </row>
    <row r="23" spans="2:18" x14ac:dyDescent="0.35">
      <c r="B23" s="27"/>
      <c r="C23" s="2" t="s">
        <v>23</v>
      </c>
      <c r="D23" s="6"/>
      <c r="R23" s="58"/>
    </row>
    <row r="24" spans="2:18" x14ac:dyDescent="0.35">
      <c r="B24" s="27"/>
      <c r="D24" s="6"/>
      <c r="E24" s="2" t="s">
        <v>6</v>
      </c>
      <c r="G24" s="57">
        <f>'Điểm hòa vốn'!P58</f>
        <v>0</v>
      </c>
      <c r="H24" s="57">
        <f>$G24</f>
        <v>0</v>
      </c>
      <c r="I24" s="57">
        <f t="shared" ref="I24:R24" si="3">$G24</f>
        <v>0</v>
      </c>
      <c r="J24" s="57">
        <f t="shared" si="3"/>
        <v>0</v>
      </c>
      <c r="K24" s="57">
        <f t="shared" si="3"/>
        <v>0</v>
      </c>
      <c r="L24" s="57">
        <f t="shared" si="3"/>
        <v>0</v>
      </c>
      <c r="M24" s="57">
        <f t="shared" si="3"/>
        <v>0</v>
      </c>
      <c r="N24" s="57">
        <f t="shared" si="3"/>
        <v>0</v>
      </c>
      <c r="O24" s="57">
        <f t="shared" si="3"/>
        <v>0</v>
      </c>
      <c r="P24" s="57">
        <f t="shared" si="3"/>
        <v>0</v>
      </c>
      <c r="Q24" s="57">
        <f t="shared" si="3"/>
        <v>0</v>
      </c>
      <c r="R24" s="57">
        <f t="shared" si="3"/>
        <v>0</v>
      </c>
    </row>
    <row r="25" spans="2:18" x14ac:dyDescent="0.35">
      <c r="B25" s="27"/>
      <c r="D25" s="6"/>
      <c r="E25" s="2" t="s">
        <v>10</v>
      </c>
      <c r="G25" s="62">
        <f>'Điểm hòa vốn'!P62</f>
        <v>0</v>
      </c>
      <c r="H25" s="57">
        <f t="shared" ref="H25:R26" si="4">$G25</f>
        <v>0</v>
      </c>
      <c r="I25" s="57">
        <f t="shared" si="4"/>
        <v>0</v>
      </c>
      <c r="J25" s="57">
        <f t="shared" si="4"/>
        <v>0</v>
      </c>
      <c r="K25" s="57">
        <f t="shared" si="4"/>
        <v>0</v>
      </c>
      <c r="L25" s="57">
        <f t="shared" si="4"/>
        <v>0</v>
      </c>
      <c r="M25" s="57">
        <f t="shared" si="4"/>
        <v>0</v>
      </c>
      <c r="N25" s="57">
        <f t="shared" si="4"/>
        <v>0</v>
      </c>
      <c r="O25" s="57">
        <f t="shared" si="4"/>
        <v>0</v>
      </c>
      <c r="P25" s="57">
        <f t="shared" si="4"/>
        <v>0</v>
      </c>
      <c r="Q25" s="57">
        <f t="shared" si="4"/>
        <v>0</v>
      </c>
      <c r="R25" s="57">
        <f t="shared" si="4"/>
        <v>0</v>
      </c>
    </row>
    <row r="26" spans="2:18" x14ac:dyDescent="0.35">
      <c r="B26" s="27"/>
      <c r="D26" s="6"/>
      <c r="E26" s="2" t="s">
        <v>465</v>
      </c>
      <c r="G26" s="57">
        <f>G14*90%</f>
        <v>2010000.0000000002</v>
      </c>
      <c r="H26" s="57">
        <f t="shared" si="4"/>
        <v>2010000.0000000002</v>
      </c>
      <c r="I26" s="57">
        <f t="shared" si="4"/>
        <v>2010000.0000000002</v>
      </c>
      <c r="J26" s="57">
        <f t="shared" si="4"/>
        <v>2010000.0000000002</v>
      </c>
      <c r="K26" s="57">
        <f t="shared" si="4"/>
        <v>2010000.0000000002</v>
      </c>
      <c r="L26" s="57">
        <f t="shared" si="4"/>
        <v>2010000.0000000002</v>
      </c>
      <c r="M26" s="57">
        <f t="shared" si="4"/>
        <v>2010000.0000000002</v>
      </c>
      <c r="N26" s="57">
        <f t="shared" si="4"/>
        <v>2010000.0000000002</v>
      </c>
      <c r="O26" s="57">
        <f t="shared" si="4"/>
        <v>2010000.0000000002</v>
      </c>
      <c r="P26" s="57">
        <f t="shared" si="4"/>
        <v>2010000.0000000002</v>
      </c>
      <c r="Q26" s="57">
        <f t="shared" si="4"/>
        <v>2010000.0000000002</v>
      </c>
      <c r="R26" s="57">
        <f t="shared" si="4"/>
        <v>2010000.0000000002</v>
      </c>
    </row>
    <row r="27" spans="2:18" x14ac:dyDescent="0.35">
      <c r="B27" s="27"/>
      <c r="D27" s="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</row>
    <row r="28" spans="2:18" x14ac:dyDescent="0.35">
      <c r="B28" s="27"/>
      <c r="C28" s="2" t="s">
        <v>417</v>
      </c>
      <c r="D28" s="6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</row>
    <row r="29" spans="2:18" x14ac:dyDescent="0.35">
      <c r="B29" s="27"/>
      <c r="D29" s="6"/>
      <c r="E29" s="2" t="s">
        <v>6</v>
      </c>
      <c r="G29" s="57">
        <v>130000</v>
      </c>
      <c r="H29" s="57">
        <f>$G29</f>
        <v>130000</v>
      </c>
      <c r="I29" s="57">
        <f>$H29</f>
        <v>130000</v>
      </c>
      <c r="J29" s="57">
        <f t="shared" ref="J29:R29" si="5">$H29</f>
        <v>130000</v>
      </c>
      <c r="K29" s="57">
        <f t="shared" si="5"/>
        <v>130000</v>
      </c>
      <c r="L29" s="57">
        <f t="shared" si="5"/>
        <v>130000</v>
      </c>
      <c r="M29" s="57">
        <f t="shared" si="5"/>
        <v>130000</v>
      </c>
      <c r="N29" s="57">
        <f t="shared" si="5"/>
        <v>130000</v>
      </c>
      <c r="O29" s="57">
        <f t="shared" si="5"/>
        <v>130000</v>
      </c>
      <c r="P29" s="57">
        <f t="shared" si="5"/>
        <v>130000</v>
      </c>
      <c r="Q29" s="57">
        <f t="shared" si="5"/>
        <v>130000</v>
      </c>
      <c r="R29" s="57">
        <f t="shared" si="5"/>
        <v>130000</v>
      </c>
    </row>
    <row r="30" spans="2:18" x14ac:dyDescent="0.35">
      <c r="B30" s="27"/>
      <c r="D30" s="6"/>
      <c r="E30" s="2" t="s">
        <v>10</v>
      </c>
      <c r="G30" s="57">
        <v>25000</v>
      </c>
      <c r="H30" s="57">
        <f>$G30</f>
        <v>25000</v>
      </c>
      <c r="I30" s="57">
        <f t="shared" ref="I30:R30" si="6">$H30</f>
        <v>25000</v>
      </c>
      <c r="J30" s="57">
        <f t="shared" si="6"/>
        <v>25000</v>
      </c>
      <c r="K30" s="57">
        <f t="shared" si="6"/>
        <v>25000</v>
      </c>
      <c r="L30" s="57">
        <f t="shared" si="6"/>
        <v>25000</v>
      </c>
      <c r="M30" s="57">
        <f t="shared" si="6"/>
        <v>25000</v>
      </c>
      <c r="N30" s="57">
        <f t="shared" si="6"/>
        <v>25000</v>
      </c>
      <c r="O30" s="57">
        <f t="shared" si="6"/>
        <v>25000</v>
      </c>
      <c r="P30" s="57">
        <f t="shared" si="6"/>
        <v>25000</v>
      </c>
      <c r="Q30" s="57">
        <f t="shared" si="6"/>
        <v>25000</v>
      </c>
      <c r="R30" s="57">
        <f t="shared" si="6"/>
        <v>25000</v>
      </c>
    </row>
    <row r="31" spans="2:18" x14ac:dyDescent="0.35">
      <c r="B31" s="27"/>
      <c r="D31" s="6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</row>
    <row r="32" spans="2:18" x14ac:dyDescent="0.35">
      <c r="B32" s="27"/>
      <c r="C32" s="2" t="s">
        <v>312</v>
      </c>
      <c r="D32" s="6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</row>
    <row r="33" spans="2:25" x14ac:dyDescent="0.35">
      <c r="B33" s="27"/>
      <c r="D33" s="6"/>
      <c r="E33" s="2" t="s">
        <v>6</v>
      </c>
      <c r="G33" s="57">
        <v>600000</v>
      </c>
      <c r="H33" s="57">
        <f>$G33</f>
        <v>600000</v>
      </c>
      <c r="I33" s="57">
        <f t="shared" ref="I33:R34" si="7">$H33</f>
        <v>600000</v>
      </c>
      <c r="J33" s="57">
        <f t="shared" si="7"/>
        <v>600000</v>
      </c>
      <c r="K33" s="57">
        <f t="shared" si="7"/>
        <v>600000</v>
      </c>
      <c r="L33" s="57">
        <f t="shared" si="7"/>
        <v>600000</v>
      </c>
      <c r="M33" s="57">
        <f t="shared" si="7"/>
        <v>600000</v>
      </c>
      <c r="N33" s="57">
        <f t="shared" si="7"/>
        <v>600000</v>
      </c>
      <c r="O33" s="57">
        <f t="shared" si="7"/>
        <v>600000</v>
      </c>
      <c r="P33" s="57">
        <f t="shared" si="7"/>
        <v>600000</v>
      </c>
      <c r="Q33" s="57">
        <f t="shared" si="7"/>
        <v>600000</v>
      </c>
      <c r="R33" s="57">
        <f t="shared" si="7"/>
        <v>600000</v>
      </c>
    </row>
    <row r="34" spans="2:25" x14ac:dyDescent="0.35">
      <c r="B34" s="27"/>
      <c r="D34" s="6"/>
      <c r="E34" s="2" t="s">
        <v>10</v>
      </c>
      <c r="G34" s="57">
        <v>25000</v>
      </c>
      <c r="H34" s="57">
        <f>$G34</f>
        <v>25000</v>
      </c>
      <c r="I34" s="57">
        <f t="shared" si="7"/>
        <v>25000</v>
      </c>
      <c r="J34" s="57">
        <f t="shared" si="7"/>
        <v>25000</v>
      </c>
      <c r="K34" s="57">
        <f t="shared" si="7"/>
        <v>25000</v>
      </c>
      <c r="L34" s="57">
        <f t="shared" si="7"/>
        <v>25000</v>
      </c>
      <c r="M34" s="57">
        <f t="shared" si="7"/>
        <v>25000</v>
      </c>
      <c r="N34" s="57">
        <f t="shared" si="7"/>
        <v>25000</v>
      </c>
      <c r="O34" s="57">
        <f t="shared" si="7"/>
        <v>25000</v>
      </c>
      <c r="P34" s="57">
        <f t="shared" si="7"/>
        <v>25000</v>
      </c>
      <c r="Q34" s="57">
        <f t="shared" si="7"/>
        <v>25000</v>
      </c>
      <c r="R34" s="57">
        <f t="shared" si="7"/>
        <v>25000</v>
      </c>
    </row>
    <row r="35" spans="2:25" x14ac:dyDescent="0.35">
      <c r="B35" s="27"/>
      <c r="D35" s="6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</row>
    <row r="36" spans="2:25" x14ac:dyDescent="0.35">
      <c r="B36" s="27"/>
      <c r="C36" s="2" t="s">
        <v>470</v>
      </c>
      <c r="D36" s="6"/>
    </row>
    <row r="37" spans="2:25" x14ac:dyDescent="0.35">
      <c r="B37" s="27"/>
      <c r="D37" s="6"/>
      <c r="E37" s="2" t="s">
        <v>6</v>
      </c>
      <c r="G37" s="57">
        <v>115000</v>
      </c>
      <c r="H37" s="57">
        <f>$G37</f>
        <v>115000</v>
      </c>
      <c r="I37" s="57">
        <f t="shared" ref="I37:R38" si="8">$G37</f>
        <v>115000</v>
      </c>
      <c r="J37" s="57">
        <f t="shared" si="8"/>
        <v>115000</v>
      </c>
      <c r="K37" s="57">
        <f t="shared" si="8"/>
        <v>115000</v>
      </c>
      <c r="L37" s="57">
        <f t="shared" si="8"/>
        <v>115000</v>
      </c>
      <c r="M37" s="57">
        <f t="shared" si="8"/>
        <v>115000</v>
      </c>
      <c r="N37" s="57">
        <f t="shared" si="8"/>
        <v>115000</v>
      </c>
      <c r="O37" s="57">
        <f t="shared" si="8"/>
        <v>115000</v>
      </c>
      <c r="P37" s="57">
        <f t="shared" si="8"/>
        <v>115000</v>
      </c>
      <c r="Q37" s="57">
        <f t="shared" si="8"/>
        <v>115000</v>
      </c>
      <c r="R37" s="57">
        <f t="shared" si="8"/>
        <v>115000</v>
      </c>
    </row>
    <row r="38" spans="2:25" x14ac:dyDescent="0.35">
      <c r="B38" s="27"/>
      <c r="D38" s="6"/>
      <c r="E38" s="2" t="s">
        <v>10</v>
      </c>
      <c r="G38" s="57">
        <f>'HM-2'!T118</f>
        <v>79176.941747572841</v>
      </c>
      <c r="H38" s="57">
        <f>$G38</f>
        <v>79176.941747572841</v>
      </c>
      <c r="I38" s="57">
        <f t="shared" si="8"/>
        <v>79176.941747572841</v>
      </c>
      <c r="J38" s="57">
        <f t="shared" si="8"/>
        <v>79176.941747572841</v>
      </c>
      <c r="K38" s="57">
        <f t="shared" si="8"/>
        <v>79176.941747572841</v>
      </c>
      <c r="L38" s="57">
        <f t="shared" si="8"/>
        <v>79176.941747572841</v>
      </c>
      <c r="M38" s="57">
        <f t="shared" si="8"/>
        <v>79176.941747572841</v>
      </c>
      <c r="N38" s="57">
        <f t="shared" si="8"/>
        <v>79176.941747572841</v>
      </c>
      <c r="O38" s="57">
        <f t="shared" si="8"/>
        <v>79176.941747572841</v>
      </c>
      <c r="P38" s="57">
        <f t="shared" si="8"/>
        <v>79176.941747572841</v>
      </c>
      <c r="Q38" s="57">
        <f t="shared" si="8"/>
        <v>79176.941747572841</v>
      </c>
      <c r="R38" s="57">
        <f t="shared" si="8"/>
        <v>79176.941747572841</v>
      </c>
    </row>
    <row r="39" spans="2:25" x14ac:dyDescent="0.35">
      <c r="B39" s="27"/>
      <c r="D39" s="6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</row>
    <row r="40" spans="2:25" x14ac:dyDescent="0.35">
      <c r="B40" s="27"/>
      <c r="D40" s="6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</row>
    <row r="41" spans="2:25" x14ac:dyDescent="0.35">
      <c r="B41" s="27" t="s">
        <v>11</v>
      </c>
      <c r="D41" s="6"/>
      <c r="R41" s="58"/>
    </row>
    <row r="42" spans="2:25" outlineLevel="1" x14ac:dyDescent="0.35">
      <c r="E42" s="2" t="s">
        <v>6</v>
      </c>
      <c r="F42" s="57">
        <f>SUM(G42:R42)</f>
        <v>210.2641509433962</v>
      </c>
      <c r="G42" s="62">
        <f t="shared" ref="G42:R42" si="9">G12*G17/10^6</f>
        <v>210.2641509433962</v>
      </c>
      <c r="H42" s="62">
        <f t="shared" si="9"/>
        <v>0</v>
      </c>
      <c r="I42" s="62">
        <f t="shared" si="9"/>
        <v>0</v>
      </c>
      <c r="J42" s="62">
        <f t="shared" si="9"/>
        <v>0</v>
      </c>
      <c r="K42" s="62">
        <f t="shared" si="9"/>
        <v>0</v>
      </c>
      <c r="L42" s="62">
        <f t="shared" si="9"/>
        <v>0</v>
      </c>
      <c r="M42" s="62">
        <f t="shared" si="9"/>
        <v>0</v>
      </c>
      <c r="N42" s="62">
        <f t="shared" si="9"/>
        <v>0</v>
      </c>
      <c r="O42" s="62">
        <f t="shared" si="9"/>
        <v>0</v>
      </c>
      <c r="P42" s="62">
        <f t="shared" si="9"/>
        <v>0</v>
      </c>
      <c r="Q42" s="62">
        <f t="shared" si="9"/>
        <v>0</v>
      </c>
      <c r="R42" s="62">
        <f t="shared" si="9"/>
        <v>0</v>
      </c>
      <c r="S42" s="62"/>
      <c r="T42" s="62"/>
      <c r="U42" s="57"/>
      <c r="V42" s="96"/>
      <c r="W42" s="97"/>
      <c r="Y42" s="57"/>
    </row>
    <row r="43" spans="2:25" outlineLevel="1" x14ac:dyDescent="0.35">
      <c r="E43" s="2" t="s">
        <v>10</v>
      </c>
      <c r="F43" s="57">
        <f>SUM(G43:R43)</f>
        <v>1.75</v>
      </c>
      <c r="G43" s="62">
        <f>G13*G18/10^6</f>
        <v>1.75</v>
      </c>
      <c r="H43" s="62">
        <f t="shared" ref="H43:R43" si="10">H13*H18/10^6</f>
        <v>0</v>
      </c>
      <c r="I43" s="62">
        <f t="shared" si="10"/>
        <v>0</v>
      </c>
      <c r="J43" s="62">
        <f t="shared" si="10"/>
        <v>0</v>
      </c>
      <c r="K43" s="62">
        <f t="shared" si="10"/>
        <v>0</v>
      </c>
      <c r="L43" s="62">
        <f t="shared" si="10"/>
        <v>0</v>
      </c>
      <c r="M43" s="62">
        <f t="shared" si="10"/>
        <v>0</v>
      </c>
      <c r="N43" s="62">
        <f t="shared" si="10"/>
        <v>0</v>
      </c>
      <c r="O43" s="62">
        <f t="shared" si="10"/>
        <v>0</v>
      </c>
      <c r="P43" s="62">
        <f t="shared" si="10"/>
        <v>0</v>
      </c>
      <c r="Q43" s="62">
        <f t="shared" si="10"/>
        <v>0</v>
      </c>
      <c r="R43" s="62">
        <f t="shared" si="10"/>
        <v>0</v>
      </c>
      <c r="S43" s="62"/>
      <c r="T43" s="62"/>
      <c r="U43" s="57"/>
      <c r="V43" s="96"/>
      <c r="W43" s="97"/>
      <c r="Y43" s="57"/>
    </row>
    <row r="44" spans="2:25" outlineLevel="1" x14ac:dyDescent="0.35">
      <c r="E44" s="2" t="s">
        <v>465</v>
      </c>
      <c r="F44" s="57">
        <f>SUM(G44:R44)</f>
        <v>107.20000000000003</v>
      </c>
      <c r="G44" s="62">
        <f>G14*G19/10^6</f>
        <v>8.9333333333333336</v>
      </c>
      <c r="H44" s="62">
        <f t="shared" ref="H44:R44" si="11">H14*H19/10^6</f>
        <v>8.9333333333333336</v>
      </c>
      <c r="I44" s="62">
        <f t="shared" si="11"/>
        <v>8.9333333333333336</v>
      </c>
      <c r="J44" s="62">
        <f t="shared" si="11"/>
        <v>8.9333333333333336</v>
      </c>
      <c r="K44" s="62">
        <f t="shared" si="11"/>
        <v>8.9333333333333336</v>
      </c>
      <c r="L44" s="62">
        <f t="shared" si="11"/>
        <v>8.9333333333333336</v>
      </c>
      <c r="M44" s="62">
        <f t="shared" si="11"/>
        <v>8.9333333333333336</v>
      </c>
      <c r="N44" s="62">
        <f t="shared" si="11"/>
        <v>8.9333333333333336</v>
      </c>
      <c r="O44" s="62">
        <f t="shared" si="11"/>
        <v>8.9333333333333336</v>
      </c>
      <c r="P44" s="62">
        <f t="shared" si="11"/>
        <v>8.9333333333333336</v>
      </c>
      <c r="Q44" s="62">
        <f t="shared" si="11"/>
        <v>8.9333333333333336</v>
      </c>
      <c r="R44" s="62">
        <f t="shared" si="11"/>
        <v>8.9333333333333336</v>
      </c>
      <c r="S44" s="62"/>
      <c r="T44" s="62"/>
      <c r="U44" s="57"/>
      <c r="V44" s="96"/>
      <c r="W44" s="97"/>
      <c r="Y44" s="57"/>
    </row>
    <row r="45" spans="2:25" outlineLevel="1" x14ac:dyDescent="0.35">
      <c r="F45" s="57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57"/>
      <c r="V45" s="96"/>
      <c r="W45" s="97"/>
      <c r="Y45" s="57"/>
    </row>
    <row r="46" spans="2:25" x14ac:dyDescent="0.35">
      <c r="B46" s="27" t="s">
        <v>307</v>
      </c>
      <c r="D46" s="55"/>
      <c r="F46" s="58"/>
      <c r="G46" s="222"/>
      <c r="H46" s="222"/>
      <c r="I46" s="222"/>
      <c r="J46" s="222"/>
      <c r="K46" s="222"/>
      <c r="L46" s="222"/>
      <c r="M46" s="222"/>
      <c r="N46" s="222"/>
      <c r="O46" s="222"/>
      <c r="P46" s="222"/>
      <c r="Q46" s="222"/>
      <c r="R46" s="59"/>
      <c r="S46" s="59"/>
      <c r="T46" s="59"/>
      <c r="U46" s="59"/>
      <c r="V46" s="118"/>
      <c r="Y46" s="59"/>
    </row>
    <row r="47" spans="2:25" x14ac:dyDescent="0.35">
      <c r="B47" s="27"/>
      <c r="D47" s="55"/>
      <c r="E47" s="2" t="s">
        <v>23</v>
      </c>
      <c r="F47" s="57">
        <f t="shared" ref="F47:F56" si="12">SUM(G47:R47)</f>
        <v>96.480000000000032</v>
      </c>
      <c r="G47" s="195">
        <f>SUMPRODUCT(G17:G19,G24:G26)/10^6</f>
        <v>8.0400000000000009</v>
      </c>
      <c r="H47" s="195">
        <f t="shared" ref="H47:R47" si="13">SUMPRODUCT(H17:H19,H24:H26)/10^6</f>
        <v>8.0400000000000009</v>
      </c>
      <c r="I47" s="195">
        <f t="shared" si="13"/>
        <v>8.0400000000000009</v>
      </c>
      <c r="J47" s="195">
        <f t="shared" si="13"/>
        <v>8.0400000000000009</v>
      </c>
      <c r="K47" s="195">
        <f t="shared" si="13"/>
        <v>8.0400000000000009</v>
      </c>
      <c r="L47" s="195">
        <f t="shared" si="13"/>
        <v>8.0400000000000009</v>
      </c>
      <c r="M47" s="195">
        <f t="shared" si="13"/>
        <v>8.0400000000000009</v>
      </c>
      <c r="N47" s="195">
        <f t="shared" si="13"/>
        <v>8.0400000000000009</v>
      </c>
      <c r="O47" s="195">
        <f t="shared" si="13"/>
        <v>8.0400000000000009</v>
      </c>
      <c r="P47" s="195">
        <f t="shared" si="13"/>
        <v>8.0400000000000009</v>
      </c>
      <c r="Q47" s="195">
        <f t="shared" si="13"/>
        <v>8.0400000000000009</v>
      </c>
      <c r="R47" s="195">
        <f t="shared" si="13"/>
        <v>8.0400000000000009</v>
      </c>
      <c r="S47" s="59"/>
      <c r="T47" s="59"/>
      <c r="U47" s="59"/>
      <c r="V47" s="118"/>
      <c r="Y47" s="59"/>
    </row>
    <row r="48" spans="2:25" x14ac:dyDescent="0.35">
      <c r="C48" s="6"/>
      <c r="D48" s="6"/>
      <c r="E48" s="2" t="s">
        <v>179</v>
      </c>
      <c r="F48" s="57">
        <f t="shared" si="12"/>
        <v>251.71</v>
      </c>
      <c r="G48" s="195">
        <f>SUMPRODUCT(G29:G30,G17:G18)/10^6</f>
        <v>9.2750000000000004</v>
      </c>
      <c r="H48" s="195">
        <f t="shared" ref="H48:R48" si="14">SUMPRODUCT(H29:H30,H17:H18)/10^6</f>
        <v>5.0650000000000004</v>
      </c>
      <c r="I48" s="195">
        <f t="shared" si="14"/>
        <v>16.62</v>
      </c>
      <c r="J48" s="195">
        <f t="shared" si="14"/>
        <v>23.5</v>
      </c>
      <c r="K48" s="195">
        <f t="shared" si="14"/>
        <v>27</v>
      </c>
      <c r="L48" s="195">
        <f t="shared" si="14"/>
        <v>33.75</v>
      </c>
      <c r="M48" s="195">
        <f t="shared" si="14"/>
        <v>0</v>
      </c>
      <c r="N48" s="195">
        <f t="shared" si="14"/>
        <v>0</v>
      </c>
      <c r="O48" s="195">
        <f t="shared" si="14"/>
        <v>0</v>
      </c>
      <c r="P48" s="195">
        <f t="shared" si="14"/>
        <v>45.5</v>
      </c>
      <c r="Q48" s="195">
        <f t="shared" si="14"/>
        <v>45.5</v>
      </c>
      <c r="R48" s="195">
        <f t="shared" si="14"/>
        <v>45.5</v>
      </c>
      <c r="S48" s="85"/>
      <c r="T48" s="85"/>
      <c r="U48" s="85"/>
      <c r="V48" s="85"/>
      <c r="W48" s="85"/>
      <c r="X48" s="85"/>
      <c r="Y48" s="85"/>
    </row>
    <row r="49" spans="2:25" x14ac:dyDescent="0.35">
      <c r="C49" s="6"/>
      <c r="D49" s="6"/>
      <c r="E49" s="2" t="s">
        <v>312</v>
      </c>
      <c r="F49" s="57">
        <f t="shared" si="12"/>
        <v>1148</v>
      </c>
      <c r="G49" s="195">
        <f>SUMPRODUCT(G33:G34,G17:G18)/10^6</f>
        <v>42.174999999999997</v>
      </c>
      <c r="H49" s="195">
        <f t="shared" ref="H49:R49" si="15">SUMPRODUCT(H33:H34,H17:H18)/10^6</f>
        <v>22.925000000000001</v>
      </c>
      <c r="I49" s="195">
        <f t="shared" si="15"/>
        <v>74.900000000000006</v>
      </c>
      <c r="J49" s="195">
        <f t="shared" si="15"/>
        <v>105.75</v>
      </c>
      <c r="K49" s="195">
        <f t="shared" si="15"/>
        <v>121</v>
      </c>
      <c r="L49" s="195">
        <f t="shared" si="15"/>
        <v>151.25</v>
      </c>
      <c r="M49" s="195">
        <f t="shared" si="15"/>
        <v>0</v>
      </c>
      <c r="N49" s="195">
        <f t="shared" si="15"/>
        <v>0</v>
      </c>
      <c r="O49" s="195">
        <f t="shared" si="15"/>
        <v>0</v>
      </c>
      <c r="P49" s="195">
        <f t="shared" si="15"/>
        <v>210</v>
      </c>
      <c r="Q49" s="195">
        <f t="shared" si="15"/>
        <v>210</v>
      </c>
      <c r="R49" s="195">
        <f t="shared" si="15"/>
        <v>210</v>
      </c>
      <c r="S49" s="85"/>
      <c r="T49" s="85"/>
      <c r="U49" s="85"/>
      <c r="V49" s="85"/>
      <c r="W49" s="85"/>
      <c r="X49" s="85"/>
      <c r="Y49" s="85"/>
    </row>
    <row r="50" spans="2:25" x14ac:dyDescent="0.35">
      <c r="E50" s="2" t="s">
        <v>28</v>
      </c>
      <c r="F50" s="57">
        <f t="shared" si="12"/>
        <v>231.33989514563109</v>
      </c>
      <c r="G50" s="195">
        <f>SUMPRODUCT(G37:G38,G17:G18)/10^6</f>
        <v>8.6042385922330098</v>
      </c>
      <c r="H50" s="195">
        <f t="shared" ref="H50:R50" si="16">SUMPRODUCT(H37:H38,H17:H18)/10^6</f>
        <v>4.7658847087378637</v>
      </c>
      <c r="I50" s="195">
        <f t="shared" si="16"/>
        <v>15.843538834951456</v>
      </c>
      <c r="J50" s="195">
        <f t="shared" si="16"/>
        <v>22.500308252427185</v>
      </c>
      <c r="K50" s="195">
        <f t="shared" si="16"/>
        <v>26.167077669902913</v>
      </c>
      <c r="L50" s="195">
        <f t="shared" si="16"/>
        <v>32.708847087378643</v>
      </c>
      <c r="M50" s="195">
        <f t="shared" si="16"/>
        <v>0</v>
      </c>
      <c r="N50" s="195">
        <f t="shared" si="16"/>
        <v>0</v>
      </c>
      <c r="O50" s="195">
        <f t="shared" si="16"/>
        <v>0</v>
      </c>
      <c r="P50" s="195">
        <f t="shared" si="16"/>
        <v>40.25</v>
      </c>
      <c r="Q50" s="195">
        <f t="shared" si="16"/>
        <v>40.25</v>
      </c>
      <c r="R50" s="195">
        <f t="shared" si="16"/>
        <v>40.25</v>
      </c>
      <c r="S50" s="62"/>
      <c r="T50" s="62"/>
      <c r="U50" s="57"/>
      <c r="V50" s="96"/>
      <c r="W50" s="97"/>
      <c r="Y50" s="57"/>
    </row>
    <row r="51" spans="2:25" x14ac:dyDescent="0.35">
      <c r="E51" s="2" t="s">
        <v>182</v>
      </c>
      <c r="F51" s="57">
        <f t="shared" si="12"/>
        <v>0</v>
      </c>
      <c r="G51" s="62">
        <f>'Điểm hòa vốn'!P45</f>
        <v>0</v>
      </c>
      <c r="H51" s="62">
        <f>$G51</f>
        <v>0</v>
      </c>
      <c r="I51" s="62">
        <f t="shared" ref="I51:R51" si="17">$G51</f>
        <v>0</v>
      </c>
      <c r="J51" s="62">
        <f t="shared" si="17"/>
        <v>0</v>
      </c>
      <c r="K51" s="62">
        <f t="shared" si="17"/>
        <v>0</v>
      </c>
      <c r="L51" s="62">
        <f t="shared" si="17"/>
        <v>0</v>
      </c>
      <c r="M51" s="62">
        <f t="shared" si="17"/>
        <v>0</v>
      </c>
      <c r="N51" s="62">
        <f t="shared" si="17"/>
        <v>0</v>
      </c>
      <c r="O51" s="62">
        <f t="shared" si="17"/>
        <v>0</v>
      </c>
      <c r="P51" s="62">
        <f t="shared" si="17"/>
        <v>0</v>
      </c>
      <c r="Q51" s="62">
        <f t="shared" si="17"/>
        <v>0</v>
      </c>
      <c r="R51" s="62">
        <f t="shared" si="17"/>
        <v>0</v>
      </c>
      <c r="S51" s="62"/>
      <c r="T51" s="62"/>
      <c r="U51" s="57"/>
      <c r="V51" s="96"/>
      <c r="W51" s="97"/>
      <c r="Y51" s="57"/>
    </row>
    <row r="52" spans="2:25" x14ac:dyDescent="0.35">
      <c r="E52" s="2" t="s">
        <v>310</v>
      </c>
      <c r="F52" s="57">
        <f t="shared" si="12"/>
        <v>0</v>
      </c>
      <c r="G52" s="62">
        <f>'Điểm hòa vốn'!P43</f>
        <v>0</v>
      </c>
      <c r="H52" s="62">
        <f>$G52</f>
        <v>0</v>
      </c>
      <c r="I52" s="62">
        <f>$H52</f>
        <v>0</v>
      </c>
      <c r="J52" s="62">
        <f t="shared" ref="J52:R54" si="18">$H52</f>
        <v>0</v>
      </c>
      <c r="K52" s="62">
        <f t="shared" si="18"/>
        <v>0</v>
      </c>
      <c r="L52" s="62">
        <f t="shared" si="18"/>
        <v>0</v>
      </c>
      <c r="M52" s="62">
        <f t="shared" si="18"/>
        <v>0</v>
      </c>
      <c r="N52" s="62">
        <f t="shared" si="18"/>
        <v>0</v>
      </c>
      <c r="O52" s="62">
        <f t="shared" si="18"/>
        <v>0</v>
      </c>
      <c r="P52" s="62">
        <f t="shared" si="18"/>
        <v>0</v>
      </c>
      <c r="Q52" s="62">
        <f t="shared" si="18"/>
        <v>0</v>
      </c>
      <c r="R52" s="62">
        <f t="shared" si="18"/>
        <v>0</v>
      </c>
      <c r="S52" s="62"/>
      <c r="T52" s="62"/>
      <c r="U52" s="57"/>
      <c r="V52" s="96"/>
      <c r="W52" s="97"/>
      <c r="Y52" s="57"/>
    </row>
    <row r="53" spans="2:25" x14ac:dyDescent="0.35">
      <c r="E53" s="2" t="s">
        <v>408</v>
      </c>
      <c r="F53" s="57">
        <f t="shared" si="12"/>
        <v>0</v>
      </c>
      <c r="G53" s="62">
        <f>'Điểm hòa vốn'!P42</f>
        <v>0</v>
      </c>
      <c r="H53" s="62">
        <f>$G53</f>
        <v>0</v>
      </c>
      <c r="I53" s="62">
        <f>$H53</f>
        <v>0</v>
      </c>
      <c r="J53" s="62">
        <f t="shared" si="18"/>
        <v>0</v>
      </c>
      <c r="K53" s="62">
        <f t="shared" si="18"/>
        <v>0</v>
      </c>
      <c r="L53" s="62">
        <f t="shared" si="18"/>
        <v>0</v>
      </c>
      <c r="M53" s="62">
        <f t="shared" si="18"/>
        <v>0</v>
      </c>
      <c r="N53" s="62">
        <f t="shared" si="18"/>
        <v>0</v>
      </c>
      <c r="O53" s="62">
        <f t="shared" si="18"/>
        <v>0</v>
      </c>
      <c r="P53" s="62">
        <f t="shared" si="18"/>
        <v>0</v>
      </c>
      <c r="Q53" s="62">
        <f t="shared" si="18"/>
        <v>0</v>
      </c>
      <c r="R53" s="62">
        <f t="shared" si="18"/>
        <v>0</v>
      </c>
      <c r="S53" s="62"/>
      <c r="T53" s="62"/>
      <c r="U53" s="57"/>
      <c r="V53" s="96"/>
      <c r="W53" s="97"/>
      <c r="Y53" s="57"/>
    </row>
    <row r="54" spans="2:25" x14ac:dyDescent="0.35">
      <c r="E54" s="2" t="s">
        <v>420</v>
      </c>
      <c r="F54" s="57">
        <f t="shared" si="12"/>
        <v>0</v>
      </c>
      <c r="G54" s="62">
        <f>'Điểm hòa vốn'!P44</f>
        <v>0</v>
      </c>
      <c r="H54" s="62">
        <f>$G$54</f>
        <v>0</v>
      </c>
      <c r="I54" s="62">
        <f>$H54</f>
        <v>0</v>
      </c>
      <c r="J54" s="62">
        <f t="shared" si="18"/>
        <v>0</v>
      </c>
      <c r="K54" s="62">
        <f t="shared" si="18"/>
        <v>0</v>
      </c>
      <c r="L54" s="62">
        <f t="shared" si="18"/>
        <v>0</v>
      </c>
      <c r="M54" s="62">
        <f t="shared" si="18"/>
        <v>0</v>
      </c>
      <c r="N54" s="62">
        <f t="shared" si="18"/>
        <v>0</v>
      </c>
      <c r="O54" s="62">
        <f t="shared" si="18"/>
        <v>0</v>
      </c>
      <c r="P54" s="62">
        <f t="shared" si="18"/>
        <v>0</v>
      </c>
      <c r="Q54" s="62">
        <f t="shared" si="18"/>
        <v>0</v>
      </c>
      <c r="R54" s="62">
        <f t="shared" si="18"/>
        <v>0</v>
      </c>
      <c r="S54" s="62"/>
      <c r="T54" s="62"/>
      <c r="U54" s="57"/>
      <c r="V54" s="96"/>
      <c r="W54" s="97"/>
      <c r="Y54" s="57"/>
    </row>
    <row r="55" spans="2:25" x14ac:dyDescent="0.35">
      <c r="E55" s="2" t="s">
        <v>421</v>
      </c>
      <c r="F55" s="57">
        <f t="shared" si="12"/>
        <v>105</v>
      </c>
      <c r="G55" s="62">
        <f>'Điểm hòa vốn'!P54</f>
        <v>0</v>
      </c>
      <c r="H55" s="62">
        <f>'Điểm hòa vốn'!O54</f>
        <v>5</v>
      </c>
      <c r="I55" s="62">
        <v>10</v>
      </c>
      <c r="J55" s="62">
        <v>10</v>
      </c>
      <c r="K55" s="62">
        <v>10</v>
      </c>
      <c r="L55" s="62">
        <v>10</v>
      </c>
      <c r="M55" s="62">
        <v>10</v>
      </c>
      <c r="N55" s="62">
        <v>10</v>
      </c>
      <c r="O55" s="62">
        <v>10</v>
      </c>
      <c r="P55" s="62">
        <v>10</v>
      </c>
      <c r="Q55" s="62">
        <v>10</v>
      </c>
      <c r="R55" s="62">
        <v>10</v>
      </c>
      <c r="S55" s="62"/>
      <c r="T55" s="62"/>
      <c r="U55" s="57"/>
      <c r="V55" s="96"/>
      <c r="W55" s="97"/>
      <c r="Y55" s="57"/>
    </row>
    <row r="56" spans="2:25" ht="13.15" thickBot="1" x14ac:dyDescent="0.4">
      <c r="C56" s="223" t="s">
        <v>308</v>
      </c>
      <c r="D56" s="100"/>
      <c r="E56" s="100"/>
      <c r="F56" s="243">
        <f t="shared" si="12"/>
        <v>1832.5298951456309</v>
      </c>
      <c r="G56" s="226">
        <f t="shared" ref="G56:R56" si="19">SUM(G47:G55)</f>
        <v>68.094238592233012</v>
      </c>
      <c r="H56" s="226">
        <f t="shared" si="19"/>
        <v>45.795884708737866</v>
      </c>
      <c r="I56" s="226">
        <f t="shared" si="19"/>
        <v>125.40353883495146</v>
      </c>
      <c r="J56" s="226">
        <f t="shared" si="19"/>
        <v>169.79030825242717</v>
      </c>
      <c r="K56" s="226">
        <f t="shared" si="19"/>
        <v>192.2070776699029</v>
      </c>
      <c r="L56" s="226">
        <f t="shared" si="19"/>
        <v>235.74884708737864</v>
      </c>
      <c r="M56" s="226">
        <f t="shared" si="19"/>
        <v>18.04</v>
      </c>
      <c r="N56" s="226">
        <f t="shared" si="19"/>
        <v>18.04</v>
      </c>
      <c r="O56" s="226">
        <f t="shared" si="19"/>
        <v>18.04</v>
      </c>
      <c r="P56" s="226">
        <f t="shared" si="19"/>
        <v>313.79000000000002</v>
      </c>
      <c r="Q56" s="226">
        <f t="shared" si="19"/>
        <v>313.79000000000002</v>
      </c>
      <c r="R56" s="226">
        <f t="shared" si="19"/>
        <v>313.79000000000002</v>
      </c>
      <c r="S56" s="62"/>
      <c r="T56" s="62"/>
      <c r="U56" s="57"/>
      <c r="V56" s="96"/>
      <c r="W56" s="97"/>
      <c r="Y56" s="57"/>
    </row>
    <row r="57" spans="2:25" x14ac:dyDescent="0.35">
      <c r="B57" s="89" t="s">
        <v>190</v>
      </c>
      <c r="C57" s="90"/>
      <c r="D57" s="90"/>
      <c r="E57" s="91"/>
      <c r="F57" s="92">
        <f t="shared" ref="F57:R57" si="20">SUM(F42:F45)-F56</f>
        <v>-1513.3157442022348</v>
      </c>
      <c r="G57" s="92">
        <f t="shared" si="20"/>
        <v>152.85324568449653</v>
      </c>
      <c r="H57" s="92">
        <f t="shared" si="20"/>
        <v>-36.862551375404536</v>
      </c>
      <c r="I57" s="92">
        <f t="shared" si="20"/>
        <v>-116.47020550161812</v>
      </c>
      <c r="J57" s="92">
        <f t="shared" si="20"/>
        <v>-160.85697491909383</v>
      </c>
      <c r="K57" s="92">
        <f t="shared" si="20"/>
        <v>-183.27374433656956</v>
      </c>
      <c r="L57" s="92">
        <f t="shared" si="20"/>
        <v>-226.8155137540453</v>
      </c>
      <c r="M57" s="92">
        <f t="shared" si="20"/>
        <v>-9.1066666666666656</v>
      </c>
      <c r="N57" s="92">
        <f t="shared" si="20"/>
        <v>-9.1066666666666656</v>
      </c>
      <c r="O57" s="92">
        <f t="shared" si="20"/>
        <v>-9.1066666666666656</v>
      </c>
      <c r="P57" s="92">
        <f t="shared" si="20"/>
        <v>-304.85666666666668</v>
      </c>
      <c r="Q57" s="92">
        <f t="shared" si="20"/>
        <v>-304.85666666666668</v>
      </c>
      <c r="R57" s="92">
        <f t="shared" si="20"/>
        <v>-304.85666666666668</v>
      </c>
      <c r="S57" s="92"/>
      <c r="T57" s="92"/>
      <c r="U57" s="92"/>
      <c r="V57" s="104"/>
      <c r="W57" s="92"/>
      <c r="X57" s="92"/>
      <c r="Y57" s="92"/>
    </row>
    <row r="58" spans="2:25" x14ac:dyDescent="0.35">
      <c r="B58" s="27"/>
      <c r="D58" s="6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96"/>
      <c r="W58" s="57"/>
      <c r="X58" s="57"/>
      <c r="Y58" s="57"/>
    </row>
    <row r="59" spans="2:25" x14ac:dyDescent="0.35">
      <c r="B59" s="2" t="s">
        <v>41</v>
      </c>
      <c r="F59" s="240">
        <f>SUM(G59:R59)</f>
        <v>0</v>
      </c>
      <c r="G59" s="240"/>
      <c r="H59" s="240">
        <f>$G$59</f>
        <v>0</v>
      </c>
      <c r="I59" s="240">
        <f t="shared" ref="I59:R59" si="21">$G$59</f>
        <v>0</v>
      </c>
      <c r="J59" s="240">
        <f t="shared" si="21"/>
        <v>0</v>
      </c>
      <c r="K59" s="240">
        <f t="shared" si="21"/>
        <v>0</v>
      </c>
      <c r="L59" s="240">
        <f t="shared" si="21"/>
        <v>0</v>
      </c>
      <c r="M59" s="240">
        <f t="shared" si="21"/>
        <v>0</v>
      </c>
      <c r="N59" s="240">
        <f t="shared" si="21"/>
        <v>0</v>
      </c>
      <c r="O59" s="240">
        <f t="shared" si="21"/>
        <v>0</v>
      </c>
      <c r="P59" s="240">
        <f t="shared" si="21"/>
        <v>0</v>
      </c>
      <c r="Q59" s="240">
        <f t="shared" si="21"/>
        <v>0</v>
      </c>
      <c r="R59" s="240">
        <f t="shared" si="21"/>
        <v>0</v>
      </c>
    </row>
    <row r="61" spans="2:25" x14ac:dyDescent="0.35">
      <c r="G61" s="84"/>
    </row>
  </sheetData>
  <pageMargins left="0.7" right="0.7" top="0.75" bottom="0.75" header="0.3" footer="0.3"/>
  <pageSetup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35E22-7F0E-460C-93EA-9A7DF6235687}">
  <sheetPr>
    <tabColor rgb="FF2596BE"/>
  </sheetPr>
  <dimension ref="B3:Y21"/>
  <sheetViews>
    <sheetView zoomScale="150" zoomScaleNormal="150" workbookViewId="0">
      <pane xSplit="5" ySplit="9" topLeftCell="F10" activePane="bottomRight" state="frozen"/>
      <selection pane="topRight" activeCell="E1" sqref="E1"/>
      <selection pane="bottomLeft" activeCell="A4" sqref="A4"/>
      <selection pane="bottomRight" activeCell="I20" sqref="I20"/>
    </sheetView>
  </sheetViews>
  <sheetFormatPr defaultColWidth="9.1328125" defaultRowHeight="12.75" outlineLevelCol="1" x14ac:dyDescent="0.35"/>
  <cols>
    <col min="1" max="3" width="3.73046875" style="2" customWidth="1"/>
    <col min="4" max="4" width="3.86328125" style="2" customWidth="1"/>
    <col min="5" max="5" width="45.1328125" style="2" customWidth="1"/>
    <col min="6" max="6" width="12.265625" style="2" customWidth="1"/>
    <col min="7" max="8" width="9.1328125" style="2" customWidth="1" outlineLevel="1"/>
    <col min="9" max="9" width="9" style="2" customWidth="1" outlineLevel="1"/>
    <col min="10" max="17" width="9.1328125" style="2" customWidth="1" outlineLevel="1"/>
    <col min="18" max="18" width="10.265625" style="2" bestFit="1" customWidth="1"/>
    <col min="19" max="19" width="12.1328125" style="2" customWidth="1"/>
    <col min="20" max="20" width="10.59765625" style="2" customWidth="1"/>
    <col min="21" max="21" width="18.59765625" style="2" customWidth="1"/>
    <col min="22" max="22" width="11.3984375" style="2" customWidth="1"/>
    <col min="23" max="23" width="12.86328125" style="2" customWidth="1"/>
    <col min="24" max="24" width="13.1328125" style="2" customWidth="1"/>
    <col min="25" max="16384" width="9.1328125" style="2"/>
  </cols>
  <sheetData>
    <row r="3" spans="2:25" x14ac:dyDescent="0.35">
      <c r="I3" s="60"/>
    </row>
    <row r="4" spans="2:25" x14ac:dyDescent="0.35">
      <c r="B4" s="2" t="s">
        <v>25</v>
      </c>
    </row>
    <row r="6" spans="2:25" x14ac:dyDescent="0.35">
      <c r="B6" s="27" t="s">
        <v>340</v>
      </c>
    </row>
    <row r="7" spans="2:25" s="6" customFormat="1" x14ac:dyDescent="0.35">
      <c r="B7" s="6" t="s">
        <v>341</v>
      </c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</row>
    <row r="8" spans="2:25" x14ac:dyDescent="0.35">
      <c r="B8" s="32" t="s">
        <v>212</v>
      </c>
      <c r="G8" s="32" t="s">
        <v>52</v>
      </c>
    </row>
    <row r="9" spans="2:25" ht="13.5" x14ac:dyDescent="0.35">
      <c r="B9" s="45" t="s">
        <v>101</v>
      </c>
      <c r="F9" s="6" t="s">
        <v>309</v>
      </c>
      <c r="G9" s="61">
        <v>1</v>
      </c>
      <c r="H9" s="61">
        <v>2</v>
      </c>
      <c r="I9" s="61">
        <v>3</v>
      </c>
      <c r="J9" s="61">
        <v>4</v>
      </c>
      <c r="K9" s="61">
        <v>5</v>
      </c>
      <c r="L9" s="61">
        <v>6</v>
      </c>
      <c r="M9" s="61">
        <v>7</v>
      </c>
      <c r="N9" s="61">
        <v>8</v>
      </c>
      <c r="O9" s="61">
        <v>9</v>
      </c>
      <c r="P9" s="61">
        <v>10</v>
      </c>
      <c r="Q9" s="61">
        <v>11</v>
      </c>
      <c r="R9" s="61">
        <v>12</v>
      </c>
      <c r="S9" s="113" t="s">
        <v>197</v>
      </c>
      <c r="T9" s="114"/>
      <c r="U9" s="114"/>
      <c r="V9" s="32"/>
      <c r="W9" s="32"/>
      <c r="X9" s="6"/>
      <c r="Y9" s="73"/>
    </row>
    <row r="10" spans="2:25" x14ac:dyDescent="0.35">
      <c r="B10" s="27"/>
      <c r="D10" s="6"/>
      <c r="R10" s="58"/>
    </row>
    <row r="11" spans="2:25" x14ac:dyDescent="0.35">
      <c r="B11" s="27" t="s">
        <v>307</v>
      </c>
      <c r="D11" s="55"/>
      <c r="F11" s="58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59"/>
      <c r="S11" s="59"/>
      <c r="T11" s="59"/>
      <c r="U11" s="59"/>
      <c r="V11" s="118"/>
      <c r="Y11" s="59"/>
    </row>
    <row r="12" spans="2:25" x14ac:dyDescent="0.35">
      <c r="B12" s="27"/>
      <c r="D12" s="55"/>
      <c r="E12" s="2" t="s">
        <v>343</v>
      </c>
      <c r="F12" s="57">
        <f>SUM(G12:R12)</f>
        <v>4816.1000000000049</v>
      </c>
      <c r="G12" s="594">
        <f>276.341666666667</f>
        <v>276.34166666666698</v>
      </c>
      <c r="H12" s="594">
        <v>276.34166666666698</v>
      </c>
      <c r="I12" s="594">
        <v>426.34166666666698</v>
      </c>
      <c r="J12" s="594">
        <v>426.34166666666698</v>
      </c>
      <c r="K12" s="594">
        <v>426.34166666666698</v>
      </c>
      <c r="L12" s="594">
        <v>426.34166666666698</v>
      </c>
      <c r="M12" s="594">
        <v>426.34166666666698</v>
      </c>
      <c r="N12" s="594">
        <v>426.34166666666698</v>
      </c>
      <c r="O12" s="594">
        <v>426.34166666666698</v>
      </c>
      <c r="P12" s="594">
        <v>426.34166666666698</v>
      </c>
      <c r="Q12" s="594">
        <v>426.34166666666698</v>
      </c>
      <c r="R12" s="594">
        <v>426.34166666666698</v>
      </c>
      <c r="S12" s="59"/>
      <c r="T12" s="59"/>
      <c r="U12" s="59"/>
      <c r="V12" s="118"/>
      <c r="Y12" s="59"/>
    </row>
    <row r="13" spans="2:25" x14ac:dyDescent="0.35">
      <c r="B13" s="27"/>
      <c r="D13" s="55"/>
      <c r="E13" s="2" t="s">
        <v>344</v>
      </c>
      <c r="F13" s="57">
        <v>709.61959499999989</v>
      </c>
      <c r="G13" s="195">
        <f t="shared" ref="G13:R18" si="0">$F13/12</f>
        <v>59.134966249999991</v>
      </c>
      <c r="H13" s="195">
        <f t="shared" si="0"/>
        <v>59.134966249999991</v>
      </c>
      <c r="I13" s="195">
        <f t="shared" si="0"/>
        <v>59.134966249999991</v>
      </c>
      <c r="J13" s="195">
        <f t="shared" si="0"/>
        <v>59.134966249999991</v>
      </c>
      <c r="K13" s="195">
        <f t="shared" si="0"/>
        <v>59.134966249999991</v>
      </c>
      <c r="L13" s="195">
        <f t="shared" si="0"/>
        <v>59.134966249999991</v>
      </c>
      <c r="M13" s="195">
        <f t="shared" si="0"/>
        <v>59.134966249999991</v>
      </c>
      <c r="N13" s="195">
        <f t="shared" si="0"/>
        <v>59.134966249999991</v>
      </c>
      <c r="O13" s="195">
        <f t="shared" si="0"/>
        <v>59.134966249999991</v>
      </c>
      <c r="P13" s="195">
        <f t="shared" si="0"/>
        <v>59.134966249999991</v>
      </c>
      <c r="Q13" s="195">
        <f t="shared" si="0"/>
        <v>59.134966249999991</v>
      </c>
      <c r="R13" s="195">
        <f t="shared" si="0"/>
        <v>59.134966249999991</v>
      </c>
      <c r="S13" s="59"/>
      <c r="T13" s="59"/>
      <c r="U13" s="59"/>
      <c r="V13" s="118"/>
      <c r="Y13" s="59"/>
    </row>
    <row r="14" spans="2:25" x14ac:dyDescent="0.35">
      <c r="C14" s="6"/>
      <c r="D14" s="6"/>
      <c r="E14" s="2" t="s">
        <v>345</v>
      </c>
      <c r="F14" s="57">
        <v>201.10646300000002</v>
      </c>
      <c r="G14" s="195">
        <f t="shared" si="0"/>
        <v>16.758871916666667</v>
      </c>
      <c r="H14" s="195">
        <f t="shared" si="0"/>
        <v>16.758871916666667</v>
      </c>
      <c r="I14" s="195">
        <f t="shared" si="0"/>
        <v>16.758871916666667</v>
      </c>
      <c r="J14" s="195">
        <f t="shared" si="0"/>
        <v>16.758871916666667</v>
      </c>
      <c r="K14" s="195">
        <f t="shared" si="0"/>
        <v>16.758871916666667</v>
      </c>
      <c r="L14" s="195">
        <f t="shared" si="0"/>
        <v>16.758871916666667</v>
      </c>
      <c r="M14" s="195">
        <f t="shared" si="0"/>
        <v>16.758871916666667</v>
      </c>
      <c r="N14" s="195">
        <f t="shared" si="0"/>
        <v>16.758871916666667</v>
      </c>
      <c r="O14" s="195">
        <f t="shared" si="0"/>
        <v>16.758871916666667</v>
      </c>
      <c r="P14" s="195">
        <f t="shared" si="0"/>
        <v>16.758871916666667</v>
      </c>
      <c r="Q14" s="195">
        <f t="shared" si="0"/>
        <v>16.758871916666667</v>
      </c>
      <c r="R14" s="195">
        <f t="shared" si="0"/>
        <v>16.758871916666667</v>
      </c>
      <c r="S14" s="85"/>
      <c r="T14" s="85"/>
      <c r="U14" s="85"/>
      <c r="V14" s="85"/>
      <c r="W14" s="85"/>
      <c r="X14" s="85"/>
      <c r="Y14" s="85"/>
    </row>
    <row r="15" spans="2:25" x14ac:dyDescent="0.35">
      <c r="C15" s="6"/>
      <c r="D15" s="6"/>
      <c r="E15" s="2" t="s">
        <v>346</v>
      </c>
      <c r="F15" s="57">
        <v>565.20013600000004</v>
      </c>
      <c r="G15" s="195">
        <f t="shared" si="0"/>
        <v>47.100011333333335</v>
      </c>
      <c r="H15" s="195">
        <f t="shared" si="0"/>
        <v>47.100011333333335</v>
      </c>
      <c r="I15" s="195">
        <f t="shared" si="0"/>
        <v>47.100011333333335</v>
      </c>
      <c r="J15" s="195">
        <f t="shared" si="0"/>
        <v>47.100011333333335</v>
      </c>
      <c r="K15" s="195">
        <f t="shared" si="0"/>
        <v>47.100011333333335</v>
      </c>
      <c r="L15" s="195">
        <f t="shared" si="0"/>
        <v>47.100011333333335</v>
      </c>
      <c r="M15" s="195">
        <f t="shared" si="0"/>
        <v>47.100011333333335</v>
      </c>
      <c r="N15" s="195">
        <f t="shared" si="0"/>
        <v>47.100011333333335</v>
      </c>
      <c r="O15" s="195">
        <f t="shared" si="0"/>
        <v>47.100011333333335</v>
      </c>
      <c r="P15" s="195">
        <f t="shared" si="0"/>
        <v>47.100011333333335</v>
      </c>
      <c r="Q15" s="195">
        <f t="shared" si="0"/>
        <v>47.100011333333335</v>
      </c>
      <c r="R15" s="195">
        <f t="shared" si="0"/>
        <v>47.100011333333335</v>
      </c>
      <c r="S15" s="85"/>
      <c r="T15" s="85"/>
      <c r="U15" s="85"/>
      <c r="V15" s="85"/>
      <c r="W15" s="85"/>
      <c r="X15" s="85"/>
      <c r="Y15" s="85"/>
    </row>
    <row r="16" spans="2:25" x14ac:dyDescent="0.35">
      <c r="E16" s="2" t="s">
        <v>347</v>
      </c>
      <c r="F16" s="57">
        <v>29</v>
      </c>
      <c r="G16" s="195">
        <f t="shared" si="0"/>
        <v>2.4166666666666665</v>
      </c>
      <c r="H16" s="195">
        <f t="shared" si="0"/>
        <v>2.4166666666666665</v>
      </c>
      <c r="I16" s="195">
        <f t="shared" si="0"/>
        <v>2.4166666666666665</v>
      </c>
      <c r="J16" s="195">
        <f t="shared" si="0"/>
        <v>2.4166666666666665</v>
      </c>
      <c r="K16" s="195">
        <f t="shared" si="0"/>
        <v>2.4166666666666665</v>
      </c>
      <c r="L16" s="195">
        <f t="shared" si="0"/>
        <v>2.4166666666666665</v>
      </c>
      <c r="M16" s="195">
        <f t="shared" si="0"/>
        <v>2.4166666666666665</v>
      </c>
      <c r="N16" s="195">
        <f t="shared" si="0"/>
        <v>2.4166666666666665</v>
      </c>
      <c r="O16" s="195">
        <f t="shared" si="0"/>
        <v>2.4166666666666665</v>
      </c>
      <c r="P16" s="195">
        <f t="shared" si="0"/>
        <v>2.4166666666666665</v>
      </c>
      <c r="Q16" s="195">
        <f t="shared" si="0"/>
        <v>2.4166666666666665</v>
      </c>
      <c r="R16" s="195">
        <f t="shared" si="0"/>
        <v>2.4166666666666665</v>
      </c>
      <c r="S16" s="62"/>
      <c r="T16" s="62"/>
      <c r="U16" s="57"/>
      <c r="V16" s="96"/>
      <c r="W16" s="97"/>
      <c r="Y16" s="57"/>
    </row>
    <row r="17" spans="2:25" x14ac:dyDescent="0.35">
      <c r="E17" s="2" t="s">
        <v>348</v>
      </c>
      <c r="F17" s="57">
        <f>SUM(G17:R17)</f>
        <v>1500</v>
      </c>
      <c r="G17" s="195">
        <v>250</v>
      </c>
      <c r="H17" s="195">
        <v>250</v>
      </c>
      <c r="I17" s="195">
        <v>100</v>
      </c>
      <c r="J17" s="195">
        <v>100</v>
      </c>
      <c r="K17" s="195">
        <v>100</v>
      </c>
      <c r="L17" s="195">
        <v>100</v>
      </c>
      <c r="M17" s="195">
        <v>100</v>
      </c>
      <c r="N17" s="195">
        <v>100</v>
      </c>
      <c r="O17" s="195">
        <v>100</v>
      </c>
      <c r="P17" s="195">
        <v>100</v>
      </c>
      <c r="Q17" s="195">
        <v>100</v>
      </c>
      <c r="R17" s="195">
        <v>100</v>
      </c>
      <c r="S17" s="62"/>
      <c r="T17" s="62"/>
      <c r="U17" s="57"/>
      <c r="V17" s="96"/>
      <c r="W17" s="97"/>
      <c r="Y17" s="57"/>
    </row>
    <row r="18" spans="2:25" x14ac:dyDescent="0.35">
      <c r="E18" s="2" t="s">
        <v>349</v>
      </c>
      <c r="F18" s="57">
        <v>0</v>
      </c>
      <c r="G18" s="195">
        <f t="shared" si="0"/>
        <v>0</v>
      </c>
      <c r="H18" s="195">
        <f t="shared" si="0"/>
        <v>0</v>
      </c>
      <c r="I18" s="195">
        <f t="shared" si="0"/>
        <v>0</v>
      </c>
      <c r="J18" s="195">
        <f t="shared" si="0"/>
        <v>0</v>
      </c>
      <c r="K18" s="195">
        <f t="shared" si="0"/>
        <v>0</v>
      </c>
      <c r="L18" s="195">
        <f t="shared" si="0"/>
        <v>0</v>
      </c>
      <c r="M18" s="195">
        <f t="shared" si="0"/>
        <v>0</v>
      </c>
      <c r="N18" s="195">
        <f t="shared" si="0"/>
        <v>0</v>
      </c>
      <c r="O18" s="195">
        <f t="shared" si="0"/>
        <v>0</v>
      </c>
      <c r="P18" s="195">
        <f t="shared" si="0"/>
        <v>0</v>
      </c>
      <c r="Q18" s="195">
        <f t="shared" si="0"/>
        <v>0</v>
      </c>
      <c r="R18" s="195">
        <f t="shared" si="0"/>
        <v>0</v>
      </c>
      <c r="S18" s="62"/>
      <c r="T18" s="62"/>
      <c r="U18" s="57"/>
      <c r="V18" s="96"/>
      <c r="W18" s="97"/>
      <c r="Y18" s="57"/>
    </row>
    <row r="19" spans="2:25" ht="13.15" thickBot="1" x14ac:dyDescent="0.4">
      <c r="C19" s="244" t="s">
        <v>308</v>
      </c>
      <c r="D19" s="100"/>
      <c r="E19" s="100"/>
      <c r="F19" s="243">
        <f t="shared" ref="F19:R19" si="1">SUM(F12:F18)</f>
        <v>7821.0261940000055</v>
      </c>
      <c r="G19" s="226">
        <f>SUM(G12:G18)</f>
        <v>651.75218283333368</v>
      </c>
      <c r="H19" s="226">
        <f t="shared" si="1"/>
        <v>651.75218283333368</v>
      </c>
      <c r="I19" s="226">
        <f>SUM(I12:I18)</f>
        <v>651.75218283333368</v>
      </c>
      <c r="J19" s="226">
        <f t="shared" si="1"/>
        <v>651.75218283333368</v>
      </c>
      <c r="K19" s="226">
        <f t="shared" si="1"/>
        <v>651.75218283333368</v>
      </c>
      <c r="L19" s="226">
        <f t="shared" si="1"/>
        <v>651.75218283333368</v>
      </c>
      <c r="M19" s="226">
        <f t="shared" si="1"/>
        <v>651.75218283333368</v>
      </c>
      <c r="N19" s="226">
        <f t="shared" si="1"/>
        <v>651.75218283333368</v>
      </c>
      <c r="O19" s="226">
        <f t="shared" si="1"/>
        <v>651.75218283333368</v>
      </c>
      <c r="P19" s="226">
        <f t="shared" si="1"/>
        <v>651.75218283333368</v>
      </c>
      <c r="Q19" s="226">
        <f t="shared" si="1"/>
        <v>651.75218283333368</v>
      </c>
      <c r="R19" s="226">
        <f t="shared" si="1"/>
        <v>651.75218283333368</v>
      </c>
      <c r="S19" s="62"/>
      <c r="T19" s="62"/>
      <c r="U19" s="57"/>
      <c r="V19" s="96"/>
      <c r="W19" s="97"/>
      <c r="Y19" s="57"/>
    </row>
    <row r="20" spans="2:25" x14ac:dyDescent="0.35">
      <c r="B20" s="27"/>
      <c r="D20" s="6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96"/>
      <c r="W20" s="57"/>
      <c r="X20" s="57"/>
      <c r="Y20" s="57"/>
    </row>
    <row r="21" spans="2:25" x14ac:dyDescent="0.35">
      <c r="B21" s="27"/>
    </row>
  </sheetData>
  <pageMargins left="0.7" right="0.7" top="0.75" bottom="0.75" header="0.3" footer="0.3"/>
  <pageSetup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1C11-D83D-47E7-AE12-66D70E799EB2}">
  <sheetPr>
    <tabColor rgb="FF2596BE"/>
  </sheetPr>
  <dimension ref="B3:S87"/>
  <sheetViews>
    <sheetView zoomScale="110" zoomScaleNormal="110" workbookViewId="0">
      <pane xSplit="5" ySplit="8" topLeftCell="F69" activePane="bottomRight" state="frozen"/>
      <selection pane="topRight" activeCell="E1" sqref="E1"/>
      <selection pane="bottomLeft" activeCell="A4" sqref="A4"/>
      <selection pane="bottomRight" activeCell="G45" sqref="G45"/>
    </sheetView>
  </sheetViews>
  <sheetFormatPr defaultColWidth="9.1328125" defaultRowHeight="12.75" outlineLevelRow="2" outlineLevelCol="1" x14ac:dyDescent="0.35"/>
  <cols>
    <col min="1" max="3" width="3.73046875" style="2" customWidth="1"/>
    <col min="4" max="4" width="3.86328125" style="2" customWidth="1"/>
    <col min="5" max="5" width="45.1328125" style="2" customWidth="1"/>
    <col min="6" max="6" width="13.1328125" style="2" customWidth="1"/>
    <col min="7" max="8" width="9.1328125" style="2" customWidth="1" outlineLevel="1"/>
    <col min="9" max="9" width="9" style="2" customWidth="1" outlineLevel="1"/>
    <col min="10" max="17" width="9.1328125" style="2" customWidth="1" outlineLevel="1"/>
    <col min="18" max="18" width="9.1328125" style="2"/>
    <col min="19" max="19" width="13.1328125" style="2" customWidth="1"/>
    <col min="20" max="16384" width="9.1328125" style="2"/>
  </cols>
  <sheetData>
    <row r="3" spans="2:19" x14ac:dyDescent="0.35">
      <c r="I3" s="60"/>
    </row>
    <row r="4" spans="2:19" x14ac:dyDescent="0.35">
      <c r="B4" s="2" t="s">
        <v>25</v>
      </c>
    </row>
    <row r="5" spans="2:19" x14ac:dyDescent="0.35">
      <c r="B5" s="27" t="s">
        <v>211</v>
      </c>
    </row>
    <row r="6" spans="2:19" s="6" customFormat="1" x14ac:dyDescent="0.35"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3"/>
    </row>
    <row r="7" spans="2:19" x14ac:dyDescent="0.35">
      <c r="B7" s="32" t="s">
        <v>212</v>
      </c>
      <c r="F7" s="6" t="s">
        <v>214</v>
      </c>
      <c r="G7" s="32" t="s">
        <v>52</v>
      </c>
    </row>
    <row r="8" spans="2:19" ht="13.5" x14ac:dyDescent="0.35">
      <c r="B8" s="45" t="s">
        <v>101</v>
      </c>
      <c r="F8" s="32">
        <v>2026</v>
      </c>
      <c r="G8" s="61">
        <v>1</v>
      </c>
      <c r="H8" s="61">
        <v>2</v>
      </c>
      <c r="I8" s="61">
        <v>3</v>
      </c>
      <c r="J8" s="61">
        <v>4</v>
      </c>
      <c r="K8" s="61">
        <v>5</v>
      </c>
      <c r="L8" s="61">
        <v>6</v>
      </c>
      <c r="M8" s="61">
        <v>7</v>
      </c>
      <c r="N8" s="61">
        <v>8</v>
      </c>
      <c r="O8" s="61">
        <v>9</v>
      </c>
      <c r="P8" s="61">
        <v>10</v>
      </c>
      <c r="Q8" s="61">
        <v>11</v>
      </c>
      <c r="R8" s="61">
        <v>12</v>
      </c>
      <c r="S8" s="6" t="s">
        <v>197</v>
      </c>
    </row>
    <row r="9" spans="2:19" x14ac:dyDescent="0.35">
      <c r="B9" s="27" t="s">
        <v>213</v>
      </c>
      <c r="D9" s="6"/>
    </row>
    <row r="10" spans="2:19" x14ac:dyDescent="0.35">
      <c r="D10" s="6" t="s">
        <v>222</v>
      </c>
    </row>
    <row r="11" spans="2:19" outlineLevel="1" x14ac:dyDescent="0.35">
      <c r="E11" s="2" t="s">
        <v>147</v>
      </c>
      <c r="F11" s="62">
        <f>HaiDuong!AB73</f>
        <v>5173.2235982071725</v>
      </c>
      <c r="G11" s="62">
        <f>$F11/12</f>
        <v>431.10196651726437</v>
      </c>
      <c r="H11" s="62">
        <f t="shared" ref="H11:R11" si="0">$F11/12</f>
        <v>431.10196651726437</v>
      </c>
      <c r="I11" s="62">
        <f t="shared" si="0"/>
        <v>431.10196651726437</v>
      </c>
      <c r="J11" s="62">
        <f t="shared" si="0"/>
        <v>431.10196651726437</v>
      </c>
      <c r="K11" s="62">
        <f t="shared" si="0"/>
        <v>431.10196651726437</v>
      </c>
      <c r="L11" s="62">
        <f t="shared" si="0"/>
        <v>431.10196651726437</v>
      </c>
      <c r="M11" s="62">
        <f t="shared" si="0"/>
        <v>431.10196651726437</v>
      </c>
      <c r="N11" s="62">
        <f t="shared" si="0"/>
        <v>431.10196651726437</v>
      </c>
      <c r="O11" s="62">
        <f t="shared" si="0"/>
        <v>431.10196651726437</v>
      </c>
      <c r="P11" s="62">
        <f t="shared" si="0"/>
        <v>431.10196651726437</v>
      </c>
      <c r="Q11" s="62">
        <f t="shared" si="0"/>
        <v>431.10196651726437</v>
      </c>
      <c r="R11" s="62">
        <f t="shared" si="0"/>
        <v>431.10196651726437</v>
      </c>
    </row>
    <row r="12" spans="2:19" outlineLevel="1" x14ac:dyDescent="0.35">
      <c r="E12" s="2" t="s">
        <v>150</v>
      </c>
      <c r="F12" s="62">
        <f>CaMau!AB43</f>
        <v>1834.8026274080801</v>
      </c>
      <c r="G12" s="62">
        <f t="shared" ref="G12:R18" si="1">$F12/12</f>
        <v>152.90021895067335</v>
      </c>
      <c r="H12" s="62">
        <f t="shared" si="1"/>
        <v>152.90021895067335</v>
      </c>
      <c r="I12" s="62">
        <f t="shared" si="1"/>
        <v>152.90021895067335</v>
      </c>
      <c r="J12" s="62">
        <f t="shared" si="1"/>
        <v>152.90021895067335</v>
      </c>
      <c r="K12" s="62">
        <f t="shared" si="1"/>
        <v>152.90021895067335</v>
      </c>
      <c r="L12" s="62">
        <f t="shared" si="1"/>
        <v>152.90021895067335</v>
      </c>
      <c r="M12" s="62">
        <f t="shared" si="1"/>
        <v>152.90021895067335</v>
      </c>
      <c r="N12" s="62">
        <f t="shared" si="1"/>
        <v>152.90021895067335</v>
      </c>
      <c r="O12" s="62">
        <f t="shared" si="1"/>
        <v>152.90021895067335</v>
      </c>
      <c r="P12" s="62">
        <f t="shared" si="1"/>
        <v>152.90021895067335</v>
      </c>
      <c r="Q12" s="62">
        <f t="shared" si="1"/>
        <v>152.90021895067335</v>
      </c>
      <c r="R12" s="62">
        <f t="shared" si="1"/>
        <v>152.90021895067335</v>
      </c>
    </row>
    <row r="13" spans="2:19" outlineLevel="1" x14ac:dyDescent="0.35">
      <c r="E13" s="2" t="s">
        <v>146</v>
      </c>
      <c r="F13" s="62">
        <f>ThanhHoa!AC41</f>
        <v>3937.3267541199752</v>
      </c>
      <c r="G13" s="62">
        <f t="shared" si="1"/>
        <v>328.11056284333125</v>
      </c>
      <c r="H13" s="62">
        <f t="shared" si="1"/>
        <v>328.11056284333125</v>
      </c>
      <c r="I13" s="62">
        <f t="shared" si="1"/>
        <v>328.11056284333125</v>
      </c>
      <c r="J13" s="62">
        <f t="shared" si="1"/>
        <v>328.11056284333125</v>
      </c>
      <c r="K13" s="62">
        <f t="shared" si="1"/>
        <v>328.11056284333125</v>
      </c>
      <c r="L13" s="62">
        <f t="shared" si="1"/>
        <v>328.11056284333125</v>
      </c>
      <c r="M13" s="62">
        <f t="shared" si="1"/>
        <v>328.11056284333125</v>
      </c>
      <c r="N13" s="62">
        <f t="shared" si="1"/>
        <v>328.11056284333125</v>
      </c>
      <c r="O13" s="62">
        <f t="shared" si="1"/>
        <v>328.11056284333125</v>
      </c>
      <c r="P13" s="62">
        <f t="shared" si="1"/>
        <v>328.11056284333125</v>
      </c>
      <c r="Q13" s="62">
        <f t="shared" si="1"/>
        <v>328.11056284333125</v>
      </c>
      <c r="R13" s="62">
        <f t="shared" si="1"/>
        <v>328.11056284333125</v>
      </c>
    </row>
    <row r="14" spans="2:19" outlineLevel="1" x14ac:dyDescent="0.35">
      <c r="E14" s="2" t="s">
        <v>148</v>
      </c>
      <c r="F14" s="62">
        <f>ThaiNguyen!AB42</f>
        <v>0</v>
      </c>
      <c r="G14" s="62">
        <f t="shared" si="1"/>
        <v>0</v>
      </c>
      <c r="H14" s="62">
        <f t="shared" si="1"/>
        <v>0</v>
      </c>
      <c r="I14" s="62">
        <f t="shared" si="1"/>
        <v>0</v>
      </c>
      <c r="J14" s="62">
        <f t="shared" si="1"/>
        <v>0</v>
      </c>
      <c r="K14" s="62">
        <f t="shared" si="1"/>
        <v>0</v>
      </c>
      <c r="L14" s="62">
        <f t="shared" si="1"/>
        <v>0</v>
      </c>
      <c r="M14" s="62">
        <f t="shared" si="1"/>
        <v>0</v>
      </c>
      <c r="N14" s="62">
        <f t="shared" si="1"/>
        <v>0</v>
      </c>
      <c r="O14" s="62">
        <f t="shared" si="1"/>
        <v>0</v>
      </c>
      <c r="P14" s="62">
        <f t="shared" si="1"/>
        <v>0</v>
      </c>
      <c r="Q14" s="62">
        <f t="shared" si="1"/>
        <v>0</v>
      </c>
      <c r="R14" s="62">
        <f t="shared" si="1"/>
        <v>0</v>
      </c>
    </row>
    <row r="15" spans="2:19" outlineLevel="1" x14ac:dyDescent="0.35">
      <c r="E15" s="2" t="s">
        <v>149</v>
      </c>
      <c r="F15" s="196">
        <f>ThaiBinh!Z41</f>
        <v>0</v>
      </c>
      <c r="G15" s="62">
        <f t="shared" si="1"/>
        <v>0</v>
      </c>
      <c r="H15" s="62">
        <f t="shared" si="1"/>
        <v>0</v>
      </c>
      <c r="I15" s="62">
        <f t="shared" si="1"/>
        <v>0</v>
      </c>
      <c r="J15" s="62">
        <f t="shared" si="1"/>
        <v>0</v>
      </c>
      <c r="K15" s="62">
        <f t="shared" si="1"/>
        <v>0</v>
      </c>
      <c r="L15" s="62">
        <f t="shared" si="1"/>
        <v>0</v>
      </c>
      <c r="M15" s="62">
        <f t="shared" si="1"/>
        <v>0</v>
      </c>
      <c r="N15" s="62">
        <f t="shared" si="1"/>
        <v>0</v>
      </c>
      <c r="O15" s="62">
        <f t="shared" si="1"/>
        <v>0</v>
      </c>
      <c r="P15" s="62">
        <f t="shared" si="1"/>
        <v>0</v>
      </c>
      <c r="Q15" s="62">
        <f t="shared" si="1"/>
        <v>0</v>
      </c>
      <c r="R15" s="62">
        <f t="shared" si="1"/>
        <v>0</v>
      </c>
    </row>
    <row r="16" spans="2:19" outlineLevel="1" x14ac:dyDescent="0.35">
      <c r="E16" s="2" t="s">
        <v>151</v>
      </c>
      <c r="F16" s="62">
        <f>YetKieu!X40</f>
        <v>0</v>
      </c>
      <c r="G16" s="62">
        <f t="shared" si="1"/>
        <v>0</v>
      </c>
      <c r="H16" s="62">
        <f t="shared" si="1"/>
        <v>0</v>
      </c>
      <c r="I16" s="62">
        <f t="shared" si="1"/>
        <v>0</v>
      </c>
      <c r="J16" s="62">
        <f t="shared" si="1"/>
        <v>0</v>
      </c>
      <c r="K16" s="62">
        <f t="shared" si="1"/>
        <v>0</v>
      </c>
      <c r="L16" s="62">
        <f t="shared" si="1"/>
        <v>0</v>
      </c>
      <c r="M16" s="62">
        <f t="shared" si="1"/>
        <v>0</v>
      </c>
      <c r="N16" s="62">
        <f t="shared" si="1"/>
        <v>0</v>
      </c>
      <c r="O16" s="62">
        <f t="shared" si="1"/>
        <v>0</v>
      </c>
      <c r="P16" s="62">
        <f t="shared" si="1"/>
        <v>0</v>
      </c>
      <c r="Q16" s="62">
        <f t="shared" si="1"/>
        <v>0</v>
      </c>
      <c r="R16" s="62">
        <f t="shared" si="1"/>
        <v>0</v>
      </c>
    </row>
    <row r="17" spans="2:19" outlineLevel="1" x14ac:dyDescent="0.35">
      <c r="E17" s="2" t="s">
        <v>153</v>
      </c>
      <c r="F17" s="196">
        <f>NhaTrang!Z34</f>
        <v>0</v>
      </c>
      <c r="G17" s="62">
        <f t="shared" si="1"/>
        <v>0</v>
      </c>
      <c r="H17" s="62">
        <f t="shared" si="1"/>
        <v>0</v>
      </c>
      <c r="I17" s="62">
        <f t="shared" si="1"/>
        <v>0</v>
      </c>
      <c r="J17" s="62">
        <f t="shared" si="1"/>
        <v>0</v>
      </c>
      <c r="K17" s="62">
        <f t="shared" si="1"/>
        <v>0</v>
      </c>
      <c r="L17" s="62">
        <f t="shared" si="1"/>
        <v>0</v>
      </c>
      <c r="M17" s="62">
        <f t="shared" si="1"/>
        <v>0</v>
      </c>
      <c r="N17" s="62">
        <f t="shared" si="1"/>
        <v>0</v>
      </c>
      <c r="O17" s="62">
        <f t="shared" si="1"/>
        <v>0</v>
      </c>
      <c r="P17" s="62">
        <f t="shared" si="1"/>
        <v>0</v>
      </c>
      <c r="Q17" s="62">
        <f t="shared" si="1"/>
        <v>0</v>
      </c>
      <c r="R17" s="62">
        <f t="shared" si="1"/>
        <v>0</v>
      </c>
    </row>
    <row r="18" spans="2:19" outlineLevel="1" x14ac:dyDescent="0.35">
      <c r="E18" s="2" t="s">
        <v>154</v>
      </c>
      <c r="F18" s="62">
        <f>ThachThat!Z28</f>
        <v>1400.9969901960785</v>
      </c>
      <c r="G18" s="62">
        <f t="shared" si="1"/>
        <v>116.74974918300654</v>
      </c>
      <c r="H18" s="62">
        <f t="shared" si="1"/>
        <v>116.74974918300654</v>
      </c>
      <c r="I18" s="62">
        <f t="shared" si="1"/>
        <v>116.74974918300654</v>
      </c>
      <c r="J18" s="62">
        <f t="shared" si="1"/>
        <v>116.74974918300654</v>
      </c>
      <c r="K18" s="62">
        <f t="shared" si="1"/>
        <v>116.74974918300654</v>
      </c>
      <c r="L18" s="62">
        <f t="shared" si="1"/>
        <v>116.74974918300654</v>
      </c>
      <c r="M18" s="62">
        <f t="shared" si="1"/>
        <v>116.74974918300654</v>
      </c>
      <c r="N18" s="62">
        <f t="shared" si="1"/>
        <v>116.74974918300654</v>
      </c>
      <c r="O18" s="62">
        <f t="shared" si="1"/>
        <v>116.74974918300654</v>
      </c>
      <c r="P18" s="62">
        <f t="shared" si="1"/>
        <v>116.74974918300654</v>
      </c>
      <c r="Q18" s="62">
        <f t="shared" si="1"/>
        <v>116.74974918300654</v>
      </c>
      <c r="R18" s="62">
        <f t="shared" si="1"/>
        <v>116.74974918300654</v>
      </c>
    </row>
    <row r="19" spans="2:19" outlineLevel="1" x14ac:dyDescent="0.35">
      <c r="E19" s="2" t="s">
        <v>155</v>
      </c>
      <c r="F19" s="62">
        <f>SUM(G19:R19)</f>
        <v>10.878936021505467</v>
      </c>
      <c r="G19" s="62">
        <f>SocSon!G36</f>
        <v>-39.442142697132624</v>
      </c>
      <c r="H19" s="62">
        <f>SocSon!H36</f>
        <v>-96.58194592293907</v>
      </c>
      <c r="I19" s="62">
        <f>SocSon!I36</f>
        <v>-39.442142697132624</v>
      </c>
      <c r="J19" s="62">
        <f>SocSon!J36</f>
        <v>-54.478933019713253</v>
      </c>
      <c r="K19" s="62">
        <f>SocSon!K36</f>
        <v>7.1719073028673961</v>
      </c>
      <c r="L19" s="62">
        <f>SocSon!L36</f>
        <v>7.1719073028673961</v>
      </c>
      <c r="M19" s="62">
        <f>SocSon!M36</f>
        <v>7.1719073028673961</v>
      </c>
      <c r="N19" s="62">
        <f>SocSon!N36</f>
        <v>7.1719073028673961</v>
      </c>
      <c r="O19" s="62">
        <f>SocSon!O36</f>
        <v>7.1719073028673961</v>
      </c>
      <c r="P19" s="62">
        <f>SocSon!P36</f>
        <v>7.1719073028673961</v>
      </c>
      <c r="Q19" s="62">
        <f>SocSon!Q36</f>
        <v>98.896328270609331</v>
      </c>
      <c r="R19" s="62">
        <f>SocSon!R36</f>
        <v>98.896328270609331</v>
      </c>
    </row>
    <row r="20" spans="2:19" outlineLevel="1" x14ac:dyDescent="0.35">
      <c r="E20" s="2" t="s">
        <v>165</v>
      </c>
      <c r="F20" s="56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84"/>
    </row>
    <row r="21" spans="2:19" outlineLevel="1" x14ac:dyDescent="0.35">
      <c r="E21" s="2" t="s">
        <v>176</v>
      </c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84"/>
    </row>
    <row r="22" spans="2:19" x14ac:dyDescent="0.35">
      <c r="D22" s="65" t="s">
        <v>221</v>
      </c>
      <c r="E22" s="66"/>
      <c r="F22" s="67">
        <f>SUM(F11:F21)</f>
        <v>12357.228905952812</v>
      </c>
      <c r="G22" s="67">
        <f>SUM(G11:G21)</f>
        <v>989.42035479714286</v>
      </c>
      <c r="H22" s="67">
        <f t="shared" ref="H22:R22" si="2">SUM(H11:H21)</f>
        <v>932.28055157133633</v>
      </c>
      <c r="I22" s="67">
        <f t="shared" si="2"/>
        <v>989.42035479714286</v>
      </c>
      <c r="J22" s="67">
        <f t="shared" si="2"/>
        <v>974.38356447456215</v>
      </c>
      <c r="K22" s="67">
        <f t="shared" si="2"/>
        <v>1036.0344047971428</v>
      </c>
      <c r="L22" s="67">
        <f t="shared" si="2"/>
        <v>1036.0344047971428</v>
      </c>
      <c r="M22" s="67">
        <f t="shared" si="2"/>
        <v>1036.0344047971428</v>
      </c>
      <c r="N22" s="67">
        <f t="shared" si="2"/>
        <v>1036.0344047971428</v>
      </c>
      <c r="O22" s="67">
        <f t="shared" si="2"/>
        <v>1036.0344047971428</v>
      </c>
      <c r="P22" s="67">
        <f t="shared" si="2"/>
        <v>1036.0344047971428</v>
      </c>
      <c r="Q22" s="67">
        <f t="shared" si="2"/>
        <v>1127.7588257648847</v>
      </c>
      <c r="R22" s="67">
        <f t="shared" si="2"/>
        <v>1127.7588257648847</v>
      </c>
      <c r="S22" s="70"/>
    </row>
    <row r="23" spans="2:19" ht="14.25" x14ac:dyDescent="0.45">
      <c r="D23" s="6" t="s">
        <v>223</v>
      </c>
      <c r="G23" s="56"/>
      <c r="H23" s="56"/>
      <c r="I23" s="64"/>
      <c r="J23" s="56"/>
      <c r="K23" s="56"/>
      <c r="L23" s="56"/>
      <c r="M23" s="56"/>
      <c r="N23" s="56"/>
      <c r="O23" s="56"/>
      <c r="P23" s="56"/>
      <c r="Q23" s="56"/>
    </row>
    <row r="24" spans="2:19" outlineLevel="2" x14ac:dyDescent="0.35">
      <c r="D24" s="6"/>
      <c r="E24" s="221" t="s">
        <v>294</v>
      </c>
      <c r="F24" s="62">
        <f>'Site liên kết'!S12</f>
        <v>812.39912916028504</v>
      </c>
      <c r="G24" s="57">
        <f>$F24/12</f>
        <v>67.699927430023749</v>
      </c>
      <c r="H24" s="57">
        <f t="shared" ref="H24:R24" si="3">$F24/12</f>
        <v>67.699927430023749</v>
      </c>
      <c r="I24" s="57">
        <f t="shared" si="3"/>
        <v>67.699927430023749</v>
      </c>
      <c r="J24" s="57">
        <f t="shared" si="3"/>
        <v>67.699927430023749</v>
      </c>
      <c r="K24" s="57">
        <f t="shared" si="3"/>
        <v>67.699927430023749</v>
      </c>
      <c r="L24" s="57">
        <f t="shared" si="3"/>
        <v>67.699927430023749</v>
      </c>
      <c r="M24" s="57">
        <f t="shared" si="3"/>
        <v>67.699927430023749</v>
      </c>
      <c r="N24" s="57">
        <f t="shared" si="3"/>
        <v>67.699927430023749</v>
      </c>
      <c r="O24" s="57">
        <f t="shared" si="3"/>
        <v>67.699927430023749</v>
      </c>
      <c r="P24" s="57">
        <f t="shared" si="3"/>
        <v>67.699927430023749</v>
      </c>
      <c r="Q24" s="57">
        <f t="shared" si="3"/>
        <v>67.699927430023749</v>
      </c>
      <c r="R24" s="57">
        <f t="shared" si="3"/>
        <v>67.699927430023749</v>
      </c>
    </row>
    <row r="25" spans="2:19" outlineLevel="2" x14ac:dyDescent="0.35">
      <c r="D25" s="6"/>
      <c r="E25" s="2" t="s">
        <v>288</v>
      </c>
      <c r="F25" s="62">
        <f>'Site liên kết'!S13</f>
        <v>409.16679999999991</v>
      </c>
      <c r="G25" s="57">
        <f t="shared" ref="G25:R30" si="4">$F25/12</f>
        <v>34.097233333333328</v>
      </c>
      <c r="H25" s="57">
        <f t="shared" si="4"/>
        <v>34.097233333333328</v>
      </c>
      <c r="I25" s="57">
        <f t="shared" si="4"/>
        <v>34.097233333333328</v>
      </c>
      <c r="J25" s="57">
        <f t="shared" si="4"/>
        <v>34.097233333333328</v>
      </c>
      <c r="K25" s="57">
        <f t="shared" si="4"/>
        <v>34.097233333333328</v>
      </c>
      <c r="L25" s="57">
        <f t="shared" si="4"/>
        <v>34.097233333333328</v>
      </c>
      <c r="M25" s="57">
        <f t="shared" si="4"/>
        <v>34.097233333333328</v>
      </c>
      <c r="N25" s="57">
        <f t="shared" si="4"/>
        <v>34.097233333333328</v>
      </c>
      <c r="O25" s="57">
        <f t="shared" si="4"/>
        <v>34.097233333333328</v>
      </c>
      <c r="P25" s="57">
        <f t="shared" si="4"/>
        <v>34.097233333333328</v>
      </c>
      <c r="Q25" s="57">
        <f t="shared" si="4"/>
        <v>34.097233333333328</v>
      </c>
      <c r="R25" s="57">
        <f t="shared" si="4"/>
        <v>34.097233333333328</v>
      </c>
    </row>
    <row r="26" spans="2:19" outlineLevel="2" x14ac:dyDescent="0.35">
      <c r="E26" s="2" t="s">
        <v>289</v>
      </c>
      <c r="F26" s="62">
        <f>'Site liên kết'!S14</f>
        <v>392.93675999999999</v>
      </c>
      <c r="G26" s="57">
        <f t="shared" si="4"/>
        <v>32.744729999999997</v>
      </c>
      <c r="H26" s="57">
        <f t="shared" si="4"/>
        <v>32.744729999999997</v>
      </c>
      <c r="I26" s="57">
        <f t="shared" si="4"/>
        <v>32.744729999999997</v>
      </c>
      <c r="J26" s="57">
        <f t="shared" si="4"/>
        <v>32.744729999999997</v>
      </c>
      <c r="K26" s="57">
        <f t="shared" si="4"/>
        <v>32.744729999999997</v>
      </c>
      <c r="L26" s="57">
        <f t="shared" si="4"/>
        <v>32.744729999999997</v>
      </c>
      <c r="M26" s="57">
        <f t="shared" si="4"/>
        <v>32.744729999999997</v>
      </c>
      <c r="N26" s="57">
        <f t="shared" si="4"/>
        <v>32.744729999999997</v>
      </c>
      <c r="O26" s="57">
        <f t="shared" si="4"/>
        <v>32.744729999999997</v>
      </c>
      <c r="P26" s="57">
        <f t="shared" si="4"/>
        <v>32.744729999999997</v>
      </c>
      <c r="Q26" s="57">
        <f t="shared" si="4"/>
        <v>32.744729999999997</v>
      </c>
      <c r="R26" s="57">
        <f t="shared" si="4"/>
        <v>32.744729999999997</v>
      </c>
    </row>
    <row r="27" spans="2:19" ht="13.5" customHeight="1" outlineLevel="2" x14ac:dyDescent="0.35">
      <c r="E27" s="221" t="s">
        <v>298</v>
      </c>
      <c r="F27" s="62">
        <f>'Site liên kết'!S15</f>
        <v>188.148</v>
      </c>
      <c r="G27" s="57">
        <f t="shared" si="4"/>
        <v>15.679</v>
      </c>
      <c r="H27" s="57">
        <f t="shared" si="4"/>
        <v>15.679</v>
      </c>
      <c r="I27" s="57">
        <f t="shared" si="4"/>
        <v>15.679</v>
      </c>
      <c r="J27" s="57">
        <f t="shared" si="4"/>
        <v>15.679</v>
      </c>
      <c r="K27" s="57">
        <f t="shared" si="4"/>
        <v>15.679</v>
      </c>
      <c r="L27" s="57">
        <f t="shared" si="4"/>
        <v>15.679</v>
      </c>
      <c r="M27" s="57">
        <f t="shared" si="4"/>
        <v>15.679</v>
      </c>
      <c r="N27" s="57">
        <f t="shared" si="4"/>
        <v>15.679</v>
      </c>
      <c r="O27" s="57">
        <f t="shared" si="4"/>
        <v>15.679</v>
      </c>
      <c r="P27" s="57">
        <f t="shared" si="4"/>
        <v>15.679</v>
      </c>
      <c r="Q27" s="57">
        <f t="shared" si="4"/>
        <v>15.679</v>
      </c>
      <c r="R27" s="57">
        <f t="shared" si="4"/>
        <v>15.679</v>
      </c>
    </row>
    <row r="28" spans="2:19" outlineLevel="2" x14ac:dyDescent="0.35">
      <c r="E28" s="2" t="s">
        <v>295</v>
      </c>
      <c r="F28" s="62">
        <f>'Site liên kết'!S16</f>
        <v>761.94537570601653</v>
      </c>
      <c r="G28" s="57">
        <f t="shared" si="4"/>
        <v>63.495447975501378</v>
      </c>
      <c r="H28" s="57">
        <f t="shared" si="4"/>
        <v>63.495447975501378</v>
      </c>
      <c r="I28" s="57">
        <f t="shared" si="4"/>
        <v>63.495447975501378</v>
      </c>
      <c r="J28" s="57">
        <f t="shared" si="4"/>
        <v>63.495447975501378</v>
      </c>
      <c r="K28" s="57">
        <f t="shared" si="4"/>
        <v>63.495447975501378</v>
      </c>
      <c r="L28" s="57">
        <f t="shared" si="4"/>
        <v>63.495447975501378</v>
      </c>
      <c r="M28" s="57">
        <f t="shared" si="4"/>
        <v>63.495447975501378</v>
      </c>
      <c r="N28" s="57">
        <f t="shared" si="4"/>
        <v>63.495447975501378</v>
      </c>
      <c r="O28" s="57">
        <f t="shared" si="4"/>
        <v>63.495447975501378</v>
      </c>
      <c r="P28" s="57">
        <f t="shared" si="4"/>
        <v>63.495447975501378</v>
      </c>
      <c r="Q28" s="57">
        <f t="shared" si="4"/>
        <v>63.495447975501378</v>
      </c>
      <c r="R28" s="57">
        <f t="shared" si="4"/>
        <v>63.495447975501378</v>
      </c>
    </row>
    <row r="29" spans="2:19" outlineLevel="2" x14ac:dyDescent="0.35">
      <c r="E29" s="2" t="s">
        <v>296</v>
      </c>
      <c r="F29" s="62">
        <f>'Site liên kết'!S17</f>
        <v>55.027999999999999</v>
      </c>
      <c r="G29" s="57">
        <f>$F29/12</f>
        <v>4.5856666666666666</v>
      </c>
      <c r="H29" s="57">
        <f t="shared" si="4"/>
        <v>4.5856666666666666</v>
      </c>
      <c r="I29" s="57">
        <f t="shared" si="4"/>
        <v>4.5856666666666666</v>
      </c>
      <c r="J29" s="57">
        <f t="shared" si="4"/>
        <v>4.5856666666666666</v>
      </c>
      <c r="K29" s="57">
        <f t="shared" si="4"/>
        <v>4.5856666666666666</v>
      </c>
      <c r="L29" s="57">
        <f t="shared" si="4"/>
        <v>4.5856666666666666</v>
      </c>
      <c r="M29" s="57">
        <f t="shared" si="4"/>
        <v>4.5856666666666666</v>
      </c>
      <c r="N29" s="57">
        <f t="shared" si="4"/>
        <v>4.5856666666666666</v>
      </c>
      <c r="O29" s="57">
        <f t="shared" si="4"/>
        <v>4.5856666666666666</v>
      </c>
      <c r="P29" s="57">
        <f t="shared" si="4"/>
        <v>4.5856666666666666</v>
      </c>
      <c r="Q29" s="57">
        <f t="shared" si="4"/>
        <v>4.5856666666666666</v>
      </c>
      <c r="R29" s="57">
        <f t="shared" si="4"/>
        <v>4.5856666666666666</v>
      </c>
    </row>
    <row r="30" spans="2:19" outlineLevel="2" x14ac:dyDescent="0.35">
      <c r="E30" s="217" t="s">
        <v>297</v>
      </c>
      <c r="F30" s="62">
        <f>'Site liên kết'!S18</f>
        <v>822.62339027776386</v>
      </c>
      <c r="G30" s="57">
        <f t="shared" si="4"/>
        <v>68.551949189813655</v>
      </c>
      <c r="H30" s="57">
        <f t="shared" si="4"/>
        <v>68.551949189813655</v>
      </c>
      <c r="I30" s="57">
        <f t="shared" si="4"/>
        <v>68.551949189813655</v>
      </c>
      <c r="J30" s="57">
        <f t="shared" si="4"/>
        <v>68.551949189813655</v>
      </c>
      <c r="K30" s="57">
        <f t="shared" si="4"/>
        <v>68.551949189813655</v>
      </c>
      <c r="L30" s="57">
        <f t="shared" si="4"/>
        <v>68.551949189813655</v>
      </c>
      <c r="M30" s="57">
        <f t="shared" si="4"/>
        <v>68.551949189813655</v>
      </c>
      <c r="N30" s="57">
        <f t="shared" si="4"/>
        <v>68.551949189813655</v>
      </c>
      <c r="O30" s="57">
        <f t="shared" si="4"/>
        <v>68.551949189813655</v>
      </c>
      <c r="P30" s="57">
        <f t="shared" si="4"/>
        <v>68.551949189813655</v>
      </c>
      <c r="Q30" s="57">
        <f t="shared" si="4"/>
        <v>68.551949189813655</v>
      </c>
      <c r="R30" s="57">
        <f t="shared" si="4"/>
        <v>68.551949189813655</v>
      </c>
    </row>
    <row r="31" spans="2:19" ht="13.15" thickBot="1" x14ac:dyDescent="0.4">
      <c r="B31" s="29"/>
      <c r="C31" s="29"/>
      <c r="D31" s="68" t="s">
        <v>220</v>
      </c>
      <c r="E31" s="68"/>
      <c r="F31" s="219">
        <f>SUM(F24:F30)</f>
        <v>3442.247455144065</v>
      </c>
      <c r="G31" s="220">
        <f>SUM(G24:G30)</f>
        <v>286.85395459533879</v>
      </c>
      <c r="H31" s="220">
        <f t="shared" ref="H31:R31" si="5">SUM(H24:H30)</f>
        <v>286.85395459533879</v>
      </c>
      <c r="I31" s="220">
        <f t="shared" si="5"/>
        <v>286.85395459533879</v>
      </c>
      <c r="J31" s="220">
        <f t="shared" si="5"/>
        <v>286.85395459533879</v>
      </c>
      <c r="K31" s="220">
        <f t="shared" si="5"/>
        <v>286.85395459533879</v>
      </c>
      <c r="L31" s="220">
        <f t="shared" si="5"/>
        <v>286.85395459533879</v>
      </c>
      <c r="M31" s="220">
        <f t="shared" si="5"/>
        <v>286.85395459533879</v>
      </c>
      <c r="N31" s="220">
        <f t="shared" si="5"/>
        <v>286.85395459533879</v>
      </c>
      <c r="O31" s="220">
        <f t="shared" si="5"/>
        <v>286.85395459533879</v>
      </c>
      <c r="P31" s="220">
        <f t="shared" si="5"/>
        <v>286.85395459533879</v>
      </c>
      <c r="Q31" s="220">
        <f t="shared" si="5"/>
        <v>286.85395459533879</v>
      </c>
      <c r="R31" s="220">
        <f t="shared" si="5"/>
        <v>286.85395459533879</v>
      </c>
      <c r="S31" s="100"/>
    </row>
    <row r="32" spans="2:19" x14ac:dyDescent="0.35">
      <c r="B32" s="27" t="s">
        <v>224</v>
      </c>
      <c r="F32" s="85">
        <f>F22+F31</f>
        <v>15799.476361096877</v>
      </c>
      <c r="G32" s="71">
        <f>SUM(G22,G31)</f>
        <v>1276.2743093924817</v>
      </c>
      <c r="H32" s="71">
        <f t="shared" ref="H32:R32" si="6">SUM(H22,H31)</f>
        <v>1219.1345061666752</v>
      </c>
      <c r="I32" s="71">
        <f t="shared" si="6"/>
        <v>1276.2743093924817</v>
      </c>
      <c r="J32" s="71">
        <f t="shared" si="6"/>
        <v>1261.2375190699008</v>
      </c>
      <c r="K32" s="71">
        <f t="shared" si="6"/>
        <v>1322.8883593924816</v>
      </c>
      <c r="L32" s="71">
        <f t="shared" si="6"/>
        <v>1322.8883593924816</v>
      </c>
      <c r="M32" s="71">
        <f t="shared" si="6"/>
        <v>1322.8883593924816</v>
      </c>
      <c r="N32" s="71">
        <f t="shared" si="6"/>
        <v>1322.8883593924816</v>
      </c>
      <c r="O32" s="71">
        <f t="shared" si="6"/>
        <v>1322.8883593924816</v>
      </c>
      <c r="P32" s="71">
        <f t="shared" si="6"/>
        <v>1322.8883593924816</v>
      </c>
      <c r="Q32" s="71">
        <f t="shared" si="6"/>
        <v>1414.6127803602235</v>
      </c>
      <c r="R32" s="71">
        <f t="shared" si="6"/>
        <v>1414.6127803602235</v>
      </c>
    </row>
    <row r="33" spans="2:19" x14ac:dyDescent="0.35">
      <c r="B33" s="2" t="s">
        <v>252</v>
      </c>
      <c r="F33" s="85">
        <v>-5000</v>
      </c>
      <c r="G33" s="62">
        <f t="shared" ref="G33:R34" si="7">$F33/12</f>
        <v>-416.66666666666669</v>
      </c>
      <c r="H33" s="62">
        <f t="shared" si="7"/>
        <v>-416.66666666666669</v>
      </c>
      <c r="I33" s="62">
        <f t="shared" si="7"/>
        <v>-416.66666666666669</v>
      </c>
      <c r="J33" s="62">
        <f t="shared" si="7"/>
        <v>-416.66666666666669</v>
      </c>
      <c r="K33" s="62">
        <f t="shared" si="7"/>
        <v>-416.66666666666669</v>
      </c>
      <c r="L33" s="62">
        <f t="shared" si="7"/>
        <v>-416.66666666666669</v>
      </c>
      <c r="M33" s="62">
        <f t="shared" si="7"/>
        <v>-416.66666666666669</v>
      </c>
      <c r="N33" s="62">
        <f t="shared" si="7"/>
        <v>-416.66666666666669</v>
      </c>
      <c r="O33" s="62">
        <f t="shared" si="7"/>
        <v>-416.66666666666669</v>
      </c>
      <c r="P33" s="62">
        <f t="shared" si="7"/>
        <v>-416.66666666666669</v>
      </c>
      <c r="Q33" s="62">
        <f t="shared" si="7"/>
        <v>-416.66666666666669</v>
      </c>
      <c r="R33" s="62">
        <f t="shared" si="7"/>
        <v>-416.66666666666669</v>
      </c>
    </row>
    <row r="34" spans="2:19" x14ac:dyDescent="0.35">
      <c r="B34" s="2" t="s">
        <v>253</v>
      </c>
      <c r="F34" s="85">
        <f>-1312</f>
        <v>-1312</v>
      </c>
      <c r="G34" s="62">
        <f t="shared" si="7"/>
        <v>-109.33333333333333</v>
      </c>
      <c r="H34" s="62">
        <f t="shared" si="7"/>
        <v>-109.33333333333333</v>
      </c>
      <c r="I34" s="62">
        <f t="shared" si="7"/>
        <v>-109.33333333333333</v>
      </c>
      <c r="J34" s="62">
        <f t="shared" si="7"/>
        <v>-109.33333333333333</v>
      </c>
      <c r="K34" s="62">
        <f t="shared" si="7"/>
        <v>-109.33333333333333</v>
      </c>
      <c r="L34" s="62">
        <f t="shared" si="7"/>
        <v>-109.33333333333333</v>
      </c>
      <c r="M34" s="62">
        <f t="shared" si="7"/>
        <v>-109.33333333333333</v>
      </c>
      <c r="N34" s="62">
        <f t="shared" si="7"/>
        <v>-109.33333333333333</v>
      </c>
      <c r="O34" s="62">
        <f t="shared" si="7"/>
        <v>-109.33333333333333</v>
      </c>
      <c r="P34" s="62">
        <f t="shared" si="7"/>
        <v>-109.33333333333333</v>
      </c>
      <c r="Q34" s="62">
        <f t="shared" si="7"/>
        <v>-109.33333333333333</v>
      </c>
      <c r="R34" s="62">
        <f t="shared" si="7"/>
        <v>-109.33333333333333</v>
      </c>
    </row>
    <row r="35" spans="2:19" ht="13.15" thickBot="1" x14ac:dyDescent="0.4">
      <c r="B35" s="86" t="s">
        <v>254</v>
      </c>
      <c r="C35" s="87"/>
      <c r="D35" s="87"/>
      <c r="E35" s="70"/>
      <c r="F35" s="88">
        <f>SUM(F32:F34)</f>
        <v>9487.4763610968766</v>
      </c>
      <c r="G35" s="88">
        <f>SUM(G32:G34)</f>
        <v>750.27430939248154</v>
      </c>
      <c r="H35" s="88">
        <f t="shared" ref="H35:R35" si="8">SUM(H32:H34)</f>
        <v>693.13450616667512</v>
      </c>
      <c r="I35" s="88">
        <f t="shared" si="8"/>
        <v>750.27430939248154</v>
      </c>
      <c r="J35" s="88">
        <f t="shared" si="8"/>
        <v>735.23751906990071</v>
      </c>
      <c r="K35" s="88">
        <f t="shared" si="8"/>
        <v>796.88835939248145</v>
      </c>
      <c r="L35" s="88">
        <f t="shared" si="8"/>
        <v>796.88835939248145</v>
      </c>
      <c r="M35" s="88">
        <f t="shared" si="8"/>
        <v>796.88835939248145</v>
      </c>
      <c r="N35" s="88">
        <f t="shared" si="8"/>
        <v>796.88835939248145</v>
      </c>
      <c r="O35" s="88">
        <f t="shared" si="8"/>
        <v>796.88835939248145</v>
      </c>
      <c r="P35" s="88">
        <f t="shared" si="8"/>
        <v>796.88835939248145</v>
      </c>
      <c r="Q35" s="88">
        <f t="shared" si="8"/>
        <v>888.61278036022338</v>
      </c>
      <c r="R35" s="88">
        <f t="shared" si="8"/>
        <v>888.61278036022338</v>
      </c>
      <c r="S35" s="88"/>
    </row>
    <row r="36" spans="2:19" x14ac:dyDescent="0.35">
      <c r="B36" s="89"/>
      <c r="C36" s="90"/>
      <c r="D36" s="90"/>
      <c r="E36" s="91"/>
      <c r="F36" s="91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</row>
    <row r="37" spans="2:19" x14ac:dyDescent="0.35">
      <c r="B37" s="27" t="s">
        <v>286</v>
      </c>
    </row>
    <row r="38" spans="2:19" x14ac:dyDescent="0.35">
      <c r="C38" s="2" t="s">
        <v>225</v>
      </c>
      <c r="F38" s="198">
        <f t="shared" ref="F38:F44" si="9">SUM(G38:R38)</f>
        <v>0</v>
      </c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84"/>
    </row>
    <row r="39" spans="2:19" x14ac:dyDescent="0.35">
      <c r="C39" s="2" t="s">
        <v>246</v>
      </c>
      <c r="D39" s="6"/>
      <c r="F39" s="57">
        <f t="shared" si="9"/>
        <v>4094.0740219178088</v>
      </c>
      <c r="G39" s="57">
        <f>('BIDV-THH'!I10+'BIDV-THH'!C10)/10^6</f>
        <v>1027.0274739726028</v>
      </c>
      <c r="H39" s="57"/>
      <c r="I39" s="57"/>
      <c r="J39" s="57">
        <f>SUM('BIDV-THH'!I11,'BIDV-THH'!C11)/10^6</f>
        <v>1036.0944383561643</v>
      </c>
      <c r="K39" s="57"/>
      <c r="L39" s="57"/>
      <c r="M39" s="57">
        <f>SUM('BIDV-THH'!C12,'BIDV-THH'!I12)/10^6</f>
        <v>1024.7768767123289</v>
      </c>
      <c r="N39" s="57"/>
      <c r="O39" s="57"/>
      <c r="P39" s="57">
        <f>SUM('BIDV-THH'!C13,'BIDV-THH'!I13)/10^6</f>
        <v>1006.1752328767124</v>
      </c>
      <c r="Q39" s="57"/>
      <c r="R39" s="57"/>
    </row>
    <row r="40" spans="2:19" x14ac:dyDescent="0.35">
      <c r="C40" s="2" t="s">
        <v>247</v>
      </c>
      <c r="D40" s="6"/>
      <c r="F40" s="57">
        <f t="shared" si="9"/>
        <v>2788.7343013698628</v>
      </c>
      <c r="G40" s="57"/>
      <c r="H40" s="57">
        <f>SUM(VTB_TBH!C7,VTB_TBH!I7)/10^6</f>
        <v>679.63353424657532</v>
      </c>
      <c r="I40" s="57"/>
      <c r="J40" s="57"/>
      <c r="K40" s="57">
        <f>SUM(VTB_TBH!C8,VTB_TBH!I8)/10^6</f>
        <v>710.06197260273973</v>
      </c>
      <c r="L40" s="57"/>
      <c r="M40" s="57"/>
      <c r="N40" s="57">
        <f>SUM(VTB_TBH!C9,VTB_TBH!I9)/10^6</f>
        <v>705.29271232876704</v>
      </c>
      <c r="O40" s="57"/>
      <c r="P40" s="57"/>
      <c r="Q40" s="57">
        <f>SUM(VTB_TBH!C10,VTB_TBH!I10)/10^6</f>
        <v>693.74608219178083</v>
      </c>
      <c r="R40" s="57"/>
    </row>
    <row r="41" spans="2:19" x14ac:dyDescent="0.35">
      <c r="C41" s="2" t="s">
        <v>248</v>
      </c>
      <c r="D41" s="6"/>
      <c r="F41" s="57">
        <f t="shared" si="9"/>
        <v>2896.91</v>
      </c>
      <c r="G41" s="57">
        <f>SUM(VTB_TNN!C9,VTB_TNN!I9)/10^6</f>
        <v>705.76547945205471</v>
      </c>
      <c r="H41" s="57"/>
      <c r="I41" s="57"/>
      <c r="J41" s="57">
        <f>SUM(VTB_TNN!C10,VTB_TNN!I10)/10^6</f>
        <v>740.27739726027391</v>
      </c>
      <c r="K41" s="57"/>
      <c r="L41" s="57"/>
      <c r="M41" s="57">
        <f>SUM(VTB_TNN!C11,VTB_TNN!I11)/10^6</f>
        <v>730.46986301369861</v>
      </c>
      <c r="N41" s="57"/>
      <c r="O41" s="57"/>
      <c r="P41" s="57">
        <f>SUM(VTB_TNN!C12,VTB_TNN!I12)/10^6</f>
        <v>720.39726027397262</v>
      </c>
      <c r="Q41" s="57"/>
      <c r="R41" s="57"/>
    </row>
    <row r="42" spans="2:19" x14ac:dyDescent="0.35">
      <c r="C42" s="2" t="s">
        <v>249</v>
      </c>
      <c r="D42" s="6"/>
      <c r="F42" s="57">
        <f t="shared" si="9"/>
        <v>4135.1729999999998</v>
      </c>
      <c r="G42" s="57">
        <f>SUM('VTB_YẾT KIÊU'!C9,'VTB_YẾT KIÊU'!F9)/10^6</f>
        <v>1062.096</v>
      </c>
      <c r="H42" s="57"/>
      <c r="I42" s="57"/>
      <c r="J42" s="57">
        <f>SUM('VTB_YẾT KIÊU'!C10,'VTB_YẾT KIÊU'!F10)/10^6</f>
        <v>1038.6600000000001</v>
      </c>
      <c r="K42" s="57"/>
      <c r="L42" s="57"/>
      <c r="M42" s="57">
        <f>SUM('VTB_YẾT KIÊU'!C11,'VTB_YẾT KIÊU'!F11)/10^6</f>
        <v>1024.4849999999999</v>
      </c>
      <c r="N42" s="57"/>
      <c r="O42" s="57"/>
      <c r="P42" s="57">
        <f>SUM('VTB_YẾT KIÊU'!C12,'VTB_YẾT KIÊU'!F12)/10^6</f>
        <v>1009.932</v>
      </c>
      <c r="Q42" s="57"/>
      <c r="R42" s="57"/>
    </row>
    <row r="43" spans="2:19" x14ac:dyDescent="0.35">
      <c r="C43" s="2" t="s">
        <v>250</v>
      </c>
      <c r="D43" s="6"/>
      <c r="F43" s="57">
        <f t="shared" si="9"/>
        <v>4108.1986164383561</v>
      </c>
      <c r="G43" s="57">
        <f>SUM('VTB_Nha trang.'!C9,'VTB_Nha trang.'!F9)/10^6</f>
        <v>1055.1677808219179</v>
      </c>
      <c r="H43" s="57"/>
      <c r="I43" s="57"/>
      <c r="J43" s="57">
        <f>SUM('VTB_Nha trang.'!C10,'VTB_Nha trang.'!F10)/10^6</f>
        <v>1031.8846575342466</v>
      </c>
      <c r="K43" s="57"/>
      <c r="L43" s="57"/>
      <c r="M43" s="57">
        <f>SUM('VTB_Nha trang.'!C11,'VTB_Nha trang.'!F11)/10^6</f>
        <v>1017.8021232876712</v>
      </c>
      <c r="N43" s="57"/>
      <c r="O43" s="57"/>
      <c r="P43" s="57">
        <f>SUM('VTB_Nha trang.'!C12,'VTB_Nha trang.'!F12)/10^6</f>
        <v>1003.3440547945206</v>
      </c>
      <c r="Q43" s="57"/>
      <c r="R43" s="57"/>
    </row>
    <row r="44" spans="2:19" ht="12" customHeight="1" x14ac:dyDescent="0.35">
      <c r="C44" s="2" t="s">
        <v>285</v>
      </c>
      <c r="D44" s="6"/>
      <c r="F44" s="57">
        <f t="shared" si="9"/>
        <v>1795.2377465753425</v>
      </c>
      <c r="G44" s="57">
        <f>VTB_CaMau!G11/10^6</f>
        <v>461.87794520547948</v>
      </c>
      <c r="H44" s="57"/>
      <c r="I44" s="57"/>
      <c r="J44" s="57">
        <f>VTB_CaMau!G12/10^6</f>
        <v>451.67280821917814</v>
      </c>
      <c r="K44" s="57"/>
      <c r="L44" s="57"/>
      <c r="M44" s="57">
        <f>VTB_CaMau!G13/10^6</f>
        <v>444.51293835616445</v>
      </c>
      <c r="N44" s="57"/>
      <c r="O44" s="57"/>
      <c r="P44" s="57">
        <f>VTB_CaMau!G14/10^6</f>
        <v>437.1740547945206</v>
      </c>
      <c r="Q44" s="57"/>
      <c r="R44" s="57"/>
    </row>
    <row r="45" spans="2:19" ht="13.15" thickBot="1" x14ac:dyDescent="0.4">
      <c r="B45" s="86" t="s">
        <v>251</v>
      </c>
      <c r="C45" s="87"/>
      <c r="D45" s="87"/>
      <c r="E45" s="70"/>
      <c r="F45" s="88">
        <f>SUM(F38:F44)</f>
        <v>19818.327686301367</v>
      </c>
      <c r="G45" s="88">
        <f t="shared" ref="G45:R45" si="10">SUM(G38:G43)</f>
        <v>3850.0567342465752</v>
      </c>
      <c r="H45" s="88">
        <f t="shared" si="10"/>
        <v>679.63353424657532</v>
      </c>
      <c r="I45" s="88">
        <f t="shared" si="10"/>
        <v>0</v>
      </c>
      <c r="J45" s="88">
        <f t="shared" si="10"/>
        <v>3846.9164931506848</v>
      </c>
      <c r="K45" s="88">
        <f t="shared" si="10"/>
        <v>710.06197260273973</v>
      </c>
      <c r="L45" s="88">
        <f t="shared" si="10"/>
        <v>0</v>
      </c>
      <c r="M45" s="88">
        <f t="shared" si="10"/>
        <v>3797.5338630136989</v>
      </c>
      <c r="N45" s="88">
        <f t="shared" si="10"/>
        <v>705.29271232876704</v>
      </c>
      <c r="O45" s="88">
        <f t="shared" si="10"/>
        <v>0</v>
      </c>
      <c r="P45" s="88">
        <f t="shared" si="10"/>
        <v>3739.8485479452056</v>
      </c>
      <c r="Q45" s="88">
        <f t="shared" si="10"/>
        <v>693.74608219178083</v>
      </c>
      <c r="R45" s="88">
        <f t="shared" si="10"/>
        <v>0</v>
      </c>
      <c r="S45" s="88"/>
    </row>
    <row r="46" spans="2:19" x14ac:dyDescent="0.35">
      <c r="B46" s="89"/>
      <c r="C46" s="90"/>
      <c r="D46" s="90"/>
      <c r="E46" s="91"/>
      <c r="F46" s="91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</row>
    <row r="47" spans="2:19" x14ac:dyDescent="0.35">
      <c r="B47" s="27" t="s">
        <v>274</v>
      </c>
      <c r="C47" s="6"/>
      <c r="D47" s="6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</row>
    <row r="48" spans="2:19" x14ac:dyDescent="0.35">
      <c r="B48" s="27"/>
      <c r="C48" s="6"/>
      <c r="D48" s="6"/>
      <c r="E48" s="2" t="s">
        <v>147</v>
      </c>
      <c r="F48" s="57">
        <f>HaiDuong!AB91</f>
        <v>520</v>
      </c>
      <c r="G48" s="57">
        <f>$F$48/12</f>
        <v>43.333333333333336</v>
      </c>
      <c r="H48" s="57">
        <f t="shared" ref="H48:R48" si="11">$F$48/12</f>
        <v>43.333333333333336</v>
      </c>
      <c r="I48" s="57">
        <f t="shared" si="11"/>
        <v>43.333333333333336</v>
      </c>
      <c r="J48" s="57">
        <f t="shared" si="11"/>
        <v>43.333333333333336</v>
      </c>
      <c r="K48" s="57">
        <f t="shared" si="11"/>
        <v>43.333333333333336</v>
      </c>
      <c r="L48" s="57">
        <f t="shared" si="11"/>
        <v>43.333333333333336</v>
      </c>
      <c r="M48" s="57">
        <f t="shared" si="11"/>
        <v>43.333333333333336</v>
      </c>
      <c r="N48" s="57">
        <f t="shared" si="11"/>
        <v>43.333333333333336</v>
      </c>
      <c r="O48" s="57">
        <f t="shared" si="11"/>
        <v>43.333333333333336</v>
      </c>
      <c r="P48" s="57">
        <f t="shared" si="11"/>
        <v>43.333333333333336</v>
      </c>
      <c r="Q48" s="57">
        <f t="shared" si="11"/>
        <v>43.333333333333336</v>
      </c>
      <c r="R48" s="57">
        <f t="shared" si="11"/>
        <v>43.333333333333336</v>
      </c>
      <c r="S48" s="85"/>
    </row>
    <row r="49" spans="2:19" x14ac:dyDescent="0.35">
      <c r="B49" s="27"/>
      <c r="C49" s="6"/>
      <c r="D49" s="6"/>
      <c r="E49" s="2" t="s">
        <v>150</v>
      </c>
      <c r="F49" s="208">
        <v>0</v>
      </c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</row>
    <row r="50" spans="2:19" x14ac:dyDescent="0.35">
      <c r="B50" s="27"/>
      <c r="C50" s="6"/>
      <c r="D50" s="6"/>
      <c r="E50" s="2" t="s">
        <v>146</v>
      </c>
      <c r="F50" s="195">
        <f>ThanhHoa!AC90</f>
        <v>1040</v>
      </c>
      <c r="G50" s="57">
        <f>$F50/12</f>
        <v>86.666666666666671</v>
      </c>
      <c r="H50" s="57">
        <f t="shared" ref="H50:R50" si="12">$F50/12</f>
        <v>86.666666666666671</v>
      </c>
      <c r="I50" s="57">
        <f t="shared" si="12"/>
        <v>86.666666666666671</v>
      </c>
      <c r="J50" s="57">
        <f t="shared" si="12"/>
        <v>86.666666666666671</v>
      </c>
      <c r="K50" s="57">
        <f t="shared" si="12"/>
        <v>86.666666666666671</v>
      </c>
      <c r="L50" s="57">
        <f t="shared" si="12"/>
        <v>86.666666666666671</v>
      </c>
      <c r="M50" s="57">
        <f t="shared" si="12"/>
        <v>86.666666666666671</v>
      </c>
      <c r="N50" s="57">
        <f t="shared" si="12"/>
        <v>86.666666666666671</v>
      </c>
      <c r="O50" s="57">
        <f t="shared" si="12"/>
        <v>86.666666666666671</v>
      </c>
      <c r="P50" s="57">
        <f t="shared" si="12"/>
        <v>86.666666666666671</v>
      </c>
      <c r="Q50" s="57">
        <f t="shared" si="12"/>
        <v>86.666666666666671</v>
      </c>
      <c r="R50" s="57">
        <f t="shared" si="12"/>
        <v>86.666666666666671</v>
      </c>
      <c r="S50" s="85"/>
    </row>
    <row r="51" spans="2:19" x14ac:dyDescent="0.35">
      <c r="B51" s="27"/>
      <c r="C51" s="6"/>
      <c r="D51" s="6"/>
      <c r="E51" s="2" t="s">
        <v>148</v>
      </c>
      <c r="F51" s="195">
        <f>ThaiNguyen!AB60</f>
        <v>0</v>
      </c>
      <c r="G51" s="57">
        <f t="shared" ref="G51:R52" si="13">$F51/12</f>
        <v>0</v>
      </c>
      <c r="H51" s="57">
        <f t="shared" si="13"/>
        <v>0</v>
      </c>
      <c r="I51" s="57">
        <f t="shared" si="13"/>
        <v>0</v>
      </c>
      <c r="J51" s="57">
        <f t="shared" si="13"/>
        <v>0</v>
      </c>
      <c r="K51" s="57">
        <f t="shared" si="13"/>
        <v>0</v>
      </c>
      <c r="L51" s="57">
        <f t="shared" si="13"/>
        <v>0</v>
      </c>
      <c r="M51" s="57">
        <f t="shared" si="13"/>
        <v>0</v>
      </c>
      <c r="N51" s="57">
        <f t="shared" si="13"/>
        <v>0</v>
      </c>
      <c r="O51" s="57">
        <f t="shared" si="13"/>
        <v>0</v>
      </c>
      <c r="P51" s="57">
        <f t="shared" si="13"/>
        <v>0</v>
      </c>
      <c r="Q51" s="57">
        <f t="shared" si="13"/>
        <v>0</v>
      </c>
      <c r="R51" s="57">
        <f t="shared" si="13"/>
        <v>0</v>
      </c>
      <c r="S51" s="85"/>
    </row>
    <row r="52" spans="2:19" x14ac:dyDescent="0.35">
      <c r="B52" s="27"/>
      <c r="C52" s="6"/>
      <c r="D52" s="6"/>
      <c r="E52" s="2" t="s">
        <v>149</v>
      </c>
      <c r="F52" s="195">
        <f>ThaiBinh!Z47</f>
        <v>0</v>
      </c>
      <c r="G52" s="57">
        <f t="shared" si="13"/>
        <v>0</v>
      </c>
      <c r="H52" s="57">
        <f t="shared" si="13"/>
        <v>0</v>
      </c>
      <c r="I52" s="57">
        <f t="shared" si="13"/>
        <v>0</v>
      </c>
      <c r="J52" s="57">
        <f t="shared" si="13"/>
        <v>0</v>
      </c>
      <c r="K52" s="57">
        <f t="shared" si="13"/>
        <v>0</v>
      </c>
      <c r="L52" s="57">
        <f t="shared" si="13"/>
        <v>0</v>
      </c>
      <c r="M52" s="57">
        <f t="shared" si="13"/>
        <v>0</v>
      </c>
      <c r="N52" s="57">
        <f t="shared" si="13"/>
        <v>0</v>
      </c>
      <c r="O52" s="57">
        <f t="shared" si="13"/>
        <v>0</v>
      </c>
      <c r="P52" s="57">
        <f t="shared" si="13"/>
        <v>0</v>
      </c>
      <c r="Q52" s="57">
        <f t="shared" si="13"/>
        <v>0</v>
      </c>
      <c r="R52" s="57">
        <f t="shared" si="13"/>
        <v>0</v>
      </c>
      <c r="S52" s="85"/>
    </row>
    <row r="53" spans="2:19" x14ac:dyDescent="0.35">
      <c r="B53" s="27"/>
      <c r="C53" s="6"/>
      <c r="D53" s="6"/>
      <c r="E53" s="2" t="s">
        <v>151</v>
      </c>
      <c r="F53" s="208">
        <v>0</v>
      </c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</row>
    <row r="54" spans="2:19" x14ac:dyDescent="0.35">
      <c r="B54" s="27"/>
      <c r="C54" s="6"/>
      <c r="D54" s="6"/>
      <c r="E54" s="2" t="s">
        <v>153</v>
      </c>
      <c r="F54" s="208">
        <v>0</v>
      </c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</row>
    <row r="55" spans="2:19" x14ac:dyDescent="0.35">
      <c r="B55" s="27"/>
      <c r="C55" s="6"/>
      <c r="D55" s="6"/>
      <c r="E55" s="2" t="s">
        <v>154</v>
      </c>
      <c r="F55" s="208">
        <v>0</v>
      </c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</row>
    <row r="56" spans="2:19" x14ac:dyDescent="0.35">
      <c r="B56" s="27"/>
      <c r="C56" s="6"/>
      <c r="D56" s="6"/>
      <c r="E56" s="2" t="s">
        <v>155</v>
      </c>
      <c r="F56" s="208">
        <v>0</v>
      </c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</row>
    <row r="57" spans="2:19" x14ac:dyDescent="0.35">
      <c r="B57" s="27"/>
      <c r="C57" s="6"/>
      <c r="D57" s="6"/>
      <c r="E57" s="2" t="s">
        <v>165</v>
      </c>
      <c r="F57" s="208">
        <v>0</v>
      </c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</row>
    <row r="58" spans="2:19" x14ac:dyDescent="0.35">
      <c r="B58" s="27"/>
      <c r="C58" s="6"/>
      <c r="D58" s="6"/>
      <c r="E58" s="2" t="s">
        <v>176</v>
      </c>
      <c r="F58" s="208">
        <v>0</v>
      </c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</row>
    <row r="59" spans="2:19" ht="13.15" thickBot="1" x14ac:dyDescent="0.4">
      <c r="B59" s="86" t="s">
        <v>279</v>
      </c>
      <c r="C59" s="87"/>
      <c r="D59" s="87"/>
      <c r="E59" s="70"/>
      <c r="F59" s="88">
        <f>SUM(F48:F58)</f>
        <v>1560</v>
      </c>
      <c r="G59" s="88">
        <f t="shared" ref="G59:R59" si="14">SUM(G48:G58)</f>
        <v>130</v>
      </c>
      <c r="H59" s="88">
        <f t="shared" si="14"/>
        <v>130</v>
      </c>
      <c r="I59" s="88">
        <f t="shared" si="14"/>
        <v>130</v>
      </c>
      <c r="J59" s="88">
        <f t="shared" si="14"/>
        <v>130</v>
      </c>
      <c r="K59" s="88">
        <f t="shared" si="14"/>
        <v>130</v>
      </c>
      <c r="L59" s="88">
        <f t="shared" si="14"/>
        <v>130</v>
      </c>
      <c r="M59" s="88">
        <f t="shared" si="14"/>
        <v>130</v>
      </c>
      <c r="N59" s="88">
        <f t="shared" si="14"/>
        <v>130</v>
      </c>
      <c r="O59" s="88">
        <f t="shared" si="14"/>
        <v>130</v>
      </c>
      <c r="P59" s="88">
        <f t="shared" si="14"/>
        <v>130</v>
      </c>
      <c r="Q59" s="88">
        <f t="shared" si="14"/>
        <v>130</v>
      </c>
      <c r="R59" s="88">
        <f t="shared" si="14"/>
        <v>130</v>
      </c>
      <c r="S59" s="88"/>
    </row>
    <row r="60" spans="2:19" x14ac:dyDescent="0.35">
      <c r="B60" s="89"/>
      <c r="C60" s="90"/>
      <c r="D60" s="90"/>
      <c r="E60" s="91"/>
      <c r="F60" s="91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</row>
    <row r="61" spans="2:19" x14ac:dyDescent="0.35">
      <c r="B61" s="27" t="s">
        <v>255</v>
      </c>
      <c r="C61" s="6"/>
      <c r="D61" s="6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</row>
    <row r="62" spans="2:19" x14ac:dyDescent="0.35">
      <c r="B62" s="27"/>
      <c r="C62" s="2" t="s">
        <v>256</v>
      </c>
      <c r="D62" s="6"/>
      <c r="F62" s="57">
        <f>SUM(G62:R62)</f>
        <v>7400</v>
      </c>
      <c r="G62" s="62">
        <f>7400000000/(10^6)</f>
        <v>7400</v>
      </c>
      <c r="H62" s="62">
        <f t="shared" ref="H62:M65" si="15">0/(10^6)</f>
        <v>0</v>
      </c>
      <c r="I62" s="62">
        <f t="shared" si="15"/>
        <v>0</v>
      </c>
      <c r="J62" s="62">
        <f t="shared" si="15"/>
        <v>0</v>
      </c>
      <c r="K62" s="62">
        <f t="shared" si="15"/>
        <v>0</v>
      </c>
      <c r="L62" s="62">
        <f t="shared" si="15"/>
        <v>0</v>
      </c>
      <c r="M62" s="62">
        <f t="shared" si="15"/>
        <v>0</v>
      </c>
      <c r="N62" s="85"/>
      <c r="O62" s="85"/>
      <c r="P62" s="85"/>
      <c r="Q62" s="85"/>
      <c r="R62" s="85"/>
      <c r="S62" s="85"/>
    </row>
    <row r="63" spans="2:19" x14ac:dyDescent="0.35">
      <c r="B63" s="27"/>
      <c r="C63" s="2" t="s">
        <v>257</v>
      </c>
      <c r="D63" s="6"/>
      <c r="F63" s="57">
        <f t="shared" ref="F63:F69" si="16">SUM(G63:R63)</f>
        <v>900</v>
      </c>
      <c r="G63" s="62">
        <f>900000000/(10^6)</f>
        <v>900</v>
      </c>
      <c r="H63" s="62">
        <f t="shared" si="15"/>
        <v>0</v>
      </c>
      <c r="I63" s="62">
        <f t="shared" si="15"/>
        <v>0</v>
      </c>
      <c r="J63" s="62">
        <f t="shared" si="15"/>
        <v>0</v>
      </c>
      <c r="K63" s="62">
        <f t="shared" si="15"/>
        <v>0</v>
      </c>
      <c r="L63" s="62">
        <f t="shared" si="15"/>
        <v>0</v>
      </c>
      <c r="M63" s="62">
        <f t="shared" si="15"/>
        <v>0</v>
      </c>
      <c r="N63" s="85"/>
      <c r="O63" s="85"/>
      <c r="P63" s="85"/>
      <c r="Q63" s="85"/>
      <c r="R63" s="85"/>
      <c r="S63" s="85"/>
    </row>
    <row r="64" spans="2:19" x14ac:dyDescent="0.35">
      <c r="B64" s="27"/>
      <c r="C64" s="2" t="s">
        <v>258</v>
      </c>
      <c r="D64" s="6"/>
      <c r="F64" s="57">
        <f t="shared" si="16"/>
        <v>3900</v>
      </c>
      <c r="G64" s="62">
        <f>3900000000/(10^6)</f>
        <v>3900</v>
      </c>
      <c r="H64" s="62">
        <f t="shared" si="15"/>
        <v>0</v>
      </c>
      <c r="I64" s="62">
        <f t="shared" si="15"/>
        <v>0</v>
      </c>
      <c r="J64" s="62">
        <f t="shared" si="15"/>
        <v>0</v>
      </c>
      <c r="K64" s="62">
        <f t="shared" si="15"/>
        <v>0</v>
      </c>
      <c r="L64" s="62">
        <f t="shared" si="15"/>
        <v>0</v>
      </c>
      <c r="M64" s="62">
        <f t="shared" si="15"/>
        <v>0</v>
      </c>
      <c r="N64" s="85"/>
      <c r="O64" s="85"/>
      <c r="P64" s="85"/>
      <c r="Q64" s="85"/>
      <c r="R64" s="85"/>
      <c r="S64" s="85"/>
    </row>
    <row r="65" spans="2:19" x14ac:dyDescent="0.35">
      <c r="C65" s="2" t="s">
        <v>259</v>
      </c>
      <c r="F65" s="57">
        <f t="shared" si="16"/>
        <v>6560</v>
      </c>
      <c r="G65" s="62">
        <f>6560000000/(10^6)</f>
        <v>6560</v>
      </c>
      <c r="H65" s="62">
        <f t="shared" si="15"/>
        <v>0</v>
      </c>
      <c r="I65" s="62">
        <f t="shared" si="15"/>
        <v>0</v>
      </c>
      <c r="J65" s="62">
        <f t="shared" si="15"/>
        <v>0</v>
      </c>
      <c r="K65" s="62">
        <f t="shared" si="15"/>
        <v>0</v>
      </c>
      <c r="L65" s="62">
        <f t="shared" si="15"/>
        <v>0</v>
      </c>
      <c r="M65" s="62">
        <f t="shared" si="15"/>
        <v>0</v>
      </c>
      <c r="N65" s="57"/>
      <c r="O65" s="57"/>
      <c r="P65" s="57"/>
      <c r="Q65" s="57"/>
      <c r="R65" s="57"/>
    </row>
    <row r="66" spans="2:19" x14ac:dyDescent="0.35">
      <c r="C66" s="2" t="s">
        <v>260</v>
      </c>
      <c r="F66" s="57">
        <f t="shared" si="16"/>
        <v>8440</v>
      </c>
      <c r="G66" s="62">
        <f t="shared" ref="G66:L66" si="17">0/(10^6)</f>
        <v>0</v>
      </c>
      <c r="H66" s="62">
        <f t="shared" si="17"/>
        <v>0</v>
      </c>
      <c r="I66" s="62">
        <f t="shared" si="17"/>
        <v>0</v>
      </c>
      <c r="J66" s="62">
        <f t="shared" si="17"/>
        <v>0</v>
      </c>
      <c r="K66" s="62">
        <f t="shared" si="17"/>
        <v>0</v>
      </c>
      <c r="L66" s="62">
        <f t="shared" si="17"/>
        <v>0</v>
      </c>
      <c r="M66" s="62">
        <f>8440000000/(10^6)</f>
        <v>8440</v>
      </c>
      <c r="N66" s="57"/>
      <c r="O66" s="57"/>
      <c r="P66" s="57"/>
      <c r="Q66" s="57"/>
      <c r="R66" s="57"/>
    </row>
    <row r="67" spans="2:19" x14ac:dyDescent="0.35">
      <c r="B67" s="27"/>
      <c r="C67" s="2" t="s">
        <v>261</v>
      </c>
      <c r="D67" s="6"/>
      <c r="F67" s="57">
        <f t="shared" si="16"/>
        <v>7000</v>
      </c>
      <c r="G67" s="62">
        <f>7000000000/(10^6)</f>
        <v>7000</v>
      </c>
      <c r="H67" s="62">
        <f t="shared" ref="H67:M68" si="18">0/(10^6)</f>
        <v>0</v>
      </c>
      <c r="I67" s="62">
        <f t="shared" si="18"/>
        <v>0</v>
      </c>
      <c r="J67" s="62">
        <f t="shared" si="18"/>
        <v>0</v>
      </c>
      <c r="K67" s="62">
        <f t="shared" si="18"/>
        <v>0</v>
      </c>
      <c r="L67" s="62">
        <f t="shared" si="18"/>
        <v>0</v>
      </c>
      <c r="M67" s="62">
        <f t="shared" si="18"/>
        <v>0</v>
      </c>
      <c r="N67" s="85"/>
      <c r="O67" s="85"/>
      <c r="P67" s="85"/>
      <c r="Q67" s="85"/>
      <c r="R67" s="85"/>
      <c r="S67" s="57"/>
    </row>
    <row r="68" spans="2:19" x14ac:dyDescent="0.35">
      <c r="B68" s="27"/>
      <c r="C68" s="2" t="s">
        <v>262</v>
      </c>
      <c r="D68" s="6"/>
      <c r="F68" s="57">
        <f t="shared" si="16"/>
        <v>2000</v>
      </c>
      <c r="G68" s="62">
        <f>2000000000/(10^6)</f>
        <v>2000</v>
      </c>
      <c r="H68" s="62">
        <f t="shared" si="18"/>
        <v>0</v>
      </c>
      <c r="I68" s="62">
        <f t="shared" si="18"/>
        <v>0</v>
      </c>
      <c r="J68" s="62">
        <f t="shared" si="18"/>
        <v>0</v>
      </c>
      <c r="K68" s="62">
        <f t="shared" si="18"/>
        <v>0</v>
      </c>
      <c r="L68" s="62">
        <f t="shared" si="18"/>
        <v>0</v>
      </c>
      <c r="M68" s="62">
        <f t="shared" si="18"/>
        <v>0</v>
      </c>
      <c r="N68" s="62"/>
      <c r="O68" s="62"/>
      <c r="P68" s="62"/>
      <c r="Q68" s="62"/>
      <c r="R68" s="57"/>
      <c r="S68" s="57"/>
    </row>
    <row r="69" spans="2:19" x14ac:dyDescent="0.35">
      <c r="B69" s="27"/>
      <c r="C69" s="2" t="s">
        <v>273</v>
      </c>
      <c r="D69" s="6"/>
      <c r="F69" s="57">
        <f t="shared" si="16"/>
        <v>3600</v>
      </c>
      <c r="G69" s="62">
        <v>600</v>
      </c>
      <c r="H69" s="62">
        <v>600</v>
      </c>
      <c r="I69" s="62">
        <v>600</v>
      </c>
      <c r="J69" s="62">
        <v>600</v>
      </c>
      <c r="K69" s="62">
        <v>600</v>
      </c>
      <c r="L69" s="62">
        <v>600</v>
      </c>
      <c r="M69" s="62"/>
      <c r="N69" s="62"/>
      <c r="O69" s="62"/>
      <c r="P69" s="62"/>
      <c r="Q69" s="62"/>
      <c r="R69" s="57"/>
      <c r="S69" s="57"/>
    </row>
    <row r="70" spans="2:19" ht="13.15" thickBot="1" x14ac:dyDescent="0.4">
      <c r="B70" s="86" t="s">
        <v>263</v>
      </c>
      <c r="C70" s="87"/>
      <c r="D70" s="87"/>
      <c r="E70" s="70"/>
      <c r="F70" s="88">
        <f>SUM(F62:F69)</f>
        <v>39800</v>
      </c>
      <c r="G70" s="88">
        <f t="shared" ref="G70:R70" si="19">SUM(G65:G68)</f>
        <v>15560</v>
      </c>
      <c r="H70" s="88">
        <f t="shared" si="19"/>
        <v>0</v>
      </c>
      <c r="I70" s="88">
        <f t="shared" si="19"/>
        <v>0</v>
      </c>
      <c r="J70" s="88">
        <f t="shared" si="19"/>
        <v>0</v>
      </c>
      <c r="K70" s="88">
        <f t="shared" si="19"/>
        <v>0</v>
      </c>
      <c r="L70" s="88">
        <f t="shared" si="19"/>
        <v>0</v>
      </c>
      <c r="M70" s="88">
        <f t="shared" si="19"/>
        <v>8440</v>
      </c>
      <c r="N70" s="88">
        <f t="shared" si="19"/>
        <v>0</v>
      </c>
      <c r="O70" s="88">
        <f t="shared" si="19"/>
        <v>0</v>
      </c>
      <c r="P70" s="88">
        <f t="shared" si="19"/>
        <v>0</v>
      </c>
      <c r="Q70" s="88">
        <f t="shared" si="19"/>
        <v>0</v>
      </c>
      <c r="R70" s="88">
        <f t="shared" si="19"/>
        <v>0</v>
      </c>
      <c r="S70" s="88"/>
    </row>
    <row r="71" spans="2:19" x14ac:dyDescent="0.35">
      <c r="B71" s="89"/>
      <c r="C71" s="90"/>
      <c r="D71" s="90"/>
      <c r="E71" s="91"/>
      <c r="F71" s="91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</row>
    <row r="72" spans="2:19" x14ac:dyDescent="0.35">
      <c r="B72" s="27"/>
      <c r="D72" s="6"/>
      <c r="E72" s="93"/>
      <c r="F72" s="57"/>
      <c r="G72" s="62"/>
      <c r="H72" s="62"/>
      <c r="I72" s="62"/>
      <c r="J72" s="62"/>
      <c r="K72" s="62"/>
      <c r="L72" s="62"/>
      <c r="M72" s="94"/>
      <c r="N72" s="94"/>
      <c r="O72" s="94"/>
      <c r="P72" s="94"/>
      <c r="Q72" s="94"/>
      <c r="R72" s="94"/>
      <c r="S72" s="57"/>
    </row>
    <row r="73" spans="2:19" ht="13.15" thickBot="1" x14ac:dyDescent="0.4">
      <c r="B73" s="86" t="s">
        <v>264</v>
      </c>
      <c r="C73" s="87"/>
      <c r="D73" s="87"/>
      <c r="E73" s="70"/>
      <c r="F73" s="88">
        <f t="shared" ref="F73:R73" si="20">F45+F70+F72-F35+F59</f>
        <v>51690.851325204494</v>
      </c>
      <c r="G73" s="88">
        <f t="shared" si="20"/>
        <v>18789.782424854096</v>
      </c>
      <c r="H73" s="88">
        <f t="shared" si="20"/>
        <v>116.4990280799002</v>
      </c>
      <c r="I73" s="88">
        <f t="shared" si="20"/>
        <v>-620.27430939248154</v>
      </c>
      <c r="J73" s="88">
        <f t="shared" si="20"/>
        <v>3241.678974080784</v>
      </c>
      <c r="K73" s="88">
        <f t="shared" si="20"/>
        <v>43.173613210258281</v>
      </c>
      <c r="L73" s="88">
        <f t="shared" si="20"/>
        <v>-666.88835939248145</v>
      </c>
      <c r="M73" s="88">
        <f t="shared" si="20"/>
        <v>11570.645503621217</v>
      </c>
      <c r="N73" s="88">
        <f t="shared" si="20"/>
        <v>38.404352936285591</v>
      </c>
      <c r="O73" s="88">
        <f t="shared" si="20"/>
        <v>-666.88835939248145</v>
      </c>
      <c r="P73" s="88">
        <f t="shared" si="20"/>
        <v>3072.960188552724</v>
      </c>
      <c r="Q73" s="88">
        <f t="shared" si="20"/>
        <v>-64.866698168442554</v>
      </c>
      <c r="R73" s="88">
        <f t="shared" si="20"/>
        <v>-758.61278036022338</v>
      </c>
      <c r="S73" s="88">
        <f>S45+S70+S72-S35</f>
        <v>0</v>
      </c>
    </row>
    <row r="74" spans="2:19" x14ac:dyDescent="0.35">
      <c r="B74" s="89"/>
      <c r="C74" s="90"/>
      <c r="D74" s="90"/>
      <c r="E74" s="91"/>
      <c r="F74" s="91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</row>
    <row r="75" spans="2:19" x14ac:dyDescent="0.35">
      <c r="B75" s="27" t="s">
        <v>315</v>
      </c>
      <c r="D75" s="6"/>
      <c r="E75" s="93"/>
      <c r="F75" s="215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57"/>
    </row>
    <row r="76" spans="2:19" x14ac:dyDescent="0.35">
      <c r="B76" s="27"/>
      <c r="C76" s="230" t="s">
        <v>316</v>
      </c>
      <c r="D76" s="6"/>
      <c r="E76" s="93"/>
      <c r="F76" s="9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57"/>
      <c r="S76" s="57"/>
    </row>
    <row r="77" spans="2:19" x14ac:dyDescent="0.35">
      <c r="D77" s="2" t="s">
        <v>317</v>
      </c>
      <c r="F77" s="62">
        <v>4350</v>
      </c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59"/>
    </row>
    <row r="78" spans="2:19" x14ac:dyDescent="0.35">
      <c r="D78" s="2" t="s">
        <v>318</v>
      </c>
      <c r="F78" s="62">
        <v>1320</v>
      </c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59"/>
    </row>
    <row r="79" spans="2:19" x14ac:dyDescent="0.35">
      <c r="B79" s="27"/>
      <c r="C79" s="6"/>
      <c r="D79" s="2" t="s">
        <v>319</v>
      </c>
      <c r="F79" s="62">
        <v>600</v>
      </c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</row>
    <row r="80" spans="2:19" x14ac:dyDescent="0.35">
      <c r="C80" s="65" t="s">
        <v>320</v>
      </c>
      <c r="D80" s="65"/>
      <c r="E80" s="66"/>
      <c r="F80" s="229">
        <f>SUM(F77:F79)</f>
        <v>6270</v>
      </c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</row>
    <row r="81" spans="2:19" x14ac:dyDescent="0.35">
      <c r="B81" s="27"/>
      <c r="C81" s="230" t="s">
        <v>321</v>
      </c>
      <c r="D81" s="6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</row>
    <row r="82" spans="2:19" x14ac:dyDescent="0.35">
      <c r="D82" s="2" t="s">
        <v>322</v>
      </c>
      <c r="F82" s="62">
        <v>14800</v>
      </c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</row>
    <row r="83" spans="2:19" x14ac:dyDescent="0.35">
      <c r="B83" s="6"/>
      <c r="C83" s="6"/>
      <c r="D83" s="2" t="s">
        <v>323</v>
      </c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</row>
    <row r="84" spans="2:19" x14ac:dyDescent="0.35">
      <c r="D84" s="2" t="s">
        <v>324</v>
      </c>
    </row>
    <row r="85" spans="2:19" x14ac:dyDescent="0.35">
      <c r="C85" s="231" t="s">
        <v>325</v>
      </c>
      <c r="D85" s="70"/>
      <c r="E85" s="70"/>
      <c r="F85" s="88">
        <f>SUM(F82:F84)</f>
        <v>14800</v>
      </c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</row>
    <row r="86" spans="2:19" ht="13.15" thickBot="1" x14ac:dyDescent="0.4"/>
    <row r="87" spans="2:19" ht="13.15" thickBot="1" x14ac:dyDescent="0.4">
      <c r="B87" s="6" t="s">
        <v>337</v>
      </c>
      <c r="F87" s="241">
        <f>F73-F80-F85</f>
        <v>30620.851325204494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50816-DC08-4A34-96C4-06634DF5D121}">
  <dimension ref="B1:O12"/>
  <sheetViews>
    <sheetView workbookViewId="0">
      <selection activeCell="D12" sqref="D12"/>
    </sheetView>
  </sheetViews>
  <sheetFormatPr defaultRowHeight="14.25" x14ac:dyDescent="0.45"/>
  <cols>
    <col min="2" max="2" width="18.59765625" customWidth="1"/>
    <col min="3" max="3" width="10.73046875" customWidth="1"/>
    <col min="4" max="5" width="11.1328125" customWidth="1"/>
    <col min="6" max="6" width="12.265625" customWidth="1"/>
    <col min="11" max="11" width="10.73046875" customWidth="1"/>
  </cols>
  <sheetData>
    <row r="1" spans="2:15" x14ac:dyDescent="0.45">
      <c r="B1" t="s">
        <v>6</v>
      </c>
      <c r="C1" t="s">
        <v>516</v>
      </c>
      <c r="D1" t="s">
        <v>147</v>
      </c>
      <c r="E1" t="s">
        <v>518</v>
      </c>
    </row>
    <row r="2" spans="2:15" x14ac:dyDescent="0.45">
      <c r="D2" t="s">
        <v>18</v>
      </c>
      <c r="E2" t="s">
        <v>519</v>
      </c>
    </row>
    <row r="3" spans="2:15" x14ac:dyDescent="0.45">
      <c r="B3" t="s">
        <v>8</v>
      </c>
      <c r="C3" t="s">
        <v>517</v>
      </c>
      <c r="E3" t="s">
        <v>519</v>
      </c>
    </row>
    <row r="7" spans="2:15" x14ac:dyDescent="0.45">
      <c r="B7" s="431"/>
      <c r="D7" s="1" t="s">
        <v>147</v>
      </c>
      <c r="E7" s="1" t="s">
        <v>150</v>
      </c>
      <c r="F7" s="1" t="s">
        <v>146</v>
      </c>
      <c r="G7" s="1" t="s">
        <v>148</v>
      </c>
      <c r="H7" s="1" t="s">
        <v>149</v>
      </c>
      <c r="I7" s="1" t="s">
        <v>151</v>
      </c>
      <c r="J7" s="1" t="s">
        <v>153</v>
      </c>
      <c r="K7" s="1" t="s">
        <v>154</v>
      </c>
      <c r="L7" s="1" t="s">
        <v>155</v>
      </c>
      <c r="M7" s="1" t="s">
        <v>165</v>
      </c>
      <c r="N7" s="1" t="s">
        <v>176</v>
      </c>
      <c r="O7" s="1" t="s">
        <v>454</v>
      </c>
    </row>
    <row r="8" spans="2:15" x14ac:dyDescent="0.45">
      <c r="B8" t="s">
        <v>533</v>
      </c>
      <c r="C8" t="s">
        <v>6</v>
      </c>
      <c r="D8" s="81">
        <v>250.30125000000001</v>
      </c>
      <c r="E8" s="81">
        <v>250.30125000000001</v>
      </c>
      <c r="F8" s="81">
        <v>250.30125000000001</v>
      </c>
      <c r="G8" s="81">
        <v>250.30125000000001</v>
      </c>
      <c r="H8" s="81">
        <v>250.30125000000001</v>
      </c>
      <c r="I8" s="81">
        <v>250.30125000000001</v>
      </c>
      <c r="J8" s="81">
        <v>250.30125000000001</v>
      </c>
      <c r="K8" s="1"/>
      <c r="L8" s="81">
        <v>250.30125000000001</v>
      </c>
    </row>
    <row r="9" spans="2:15" x14ac:dyDescent="0.45">
      <c r="C9" t="s">
        <v>8</v>
      </c>
      <c r="D9" s="1">
        <f>70</f>
        <v>70</v>
      </c>
      <c r="E9" s="1"/>
      <c r="F9" s="1">
        <f>70</f>
        <v>70</v>
      </c>
      <c r="G9" s="1">
        <f>70</f>
        <v>70</v>
      </c>
      <c r="H9" s="1"/>
      <c r="I9" s="1">
        <f>70</f>
        <v>70</v>
      </c>
      <c r="J9" s="1">
        <f>70</f>
        <v>70</v>
      </c>
      <c r="K9" s="1">
        <f>70</f>
        <v>70</v>
      </c>
      <c r="L9" s="1"/>
    </row>
    <row r="10" spans="2:15" x14ac:dyDescent="0.45">
      <c r="B10" t="s">
        <v>515</v>
      </c>
      <c r="C10" t="s">
        <v>6</v>
      </c>
      <c r="D10" s="432">
        <f>2000/3</f>
        <v>666.66666666666663</v>
      </c>
      <c r="E10">
        <f>1000/3</f>
        <v>333.33333333333331</v>
      </c>
      <c r="F10">
        <f t="shared" ref="F10:M11" si="0">1000/3</f>
        <v>333.33333333333331</v>
      </c>
      <c r="G10">
        <f t="shared" si="0"/>
        <v>333.33333333333331</v>
      </c>
      <c r="H10">
        <f t="shared" si="0"/>
        <v>333.33333333333331</v>
      </c>
      <c r="I10">
        <f t="shared" si="0"/>
        <v>333.33333333333331</v>
      </c>
      <c r="J10">
        <f t="shared" si="0"/>
        <v>333.33333333333331</v>
      </c>
      <c r="L10">
        <f t="shared" si="0"/>
        <v>333.33333333333331</v>
      </c>
      <c r="M10">
        <f t="shared" si="0"/>
        <v>333.33333333333331</v>
      </c>
    </row>
    <row r="11" spans="2:15" x14ac:dyDescent="0.45">
      <c r="C11" t="s">
        <v>8</v>
      </c>
      <c r="D11" s="432">
        <f>1000/3</f>
        <v>333.33333333333331</v>
      </c>
      <c r="F11">
        <f t="shared" si="0"/>
        <v>333.33333333333331</v>
      </c>
      <c r="G11">
        <f t="shared" si="0"/>
        <v>333.33333333333331</v>
      </c>
      <c r="I11">
        <f t="shared" si="0"/>
        <v>333.33333333333331</v>
      </c>
      <c r="J11">
        <f t="shared" si="0"/>
        <v>333.33333333333331</v>
      </c>
      <c r="K11">
        <f t="shared" si="0"/>
        <v>333.33333333333331</v>
      </c>
      <c r="M11">
        <f t="shared" si="0"/>
        <v>333.33333333333331</v>
      </c>
    </row>
    <row r="12" spans="2:15" x14ac:dyDescent="0.45">
      <c r="B12" t="s">
        <v>52</v>
      </c>
      <c r="D12" s="432">
        <f>SUM(D8:D11)/12</f>
        <v>110.02510416666667</v>
      </c>
      <c r="E12" s="432">
        <f t="shared" ref="E12:M12" si="1">SUM(E8:E11)/12</f>
        <v>48.636215277777779</v>
      </c>
      <c r="F12" s="432">
        <f t="shared" si="1"/>
        <v>82.247326388888879</v>
      </c>
      <c r="G12" s="432">
        <f t="shared" si="1"/>
        <v>82.247326388888879</v>
      </c>
      <c r="H12" s="432">
        <f t="shared" si="1"/>
        <v>48.636215277777779</v>
      </c>
      <c r="I12" s="432">
        <f t="shared" si="1"/>
        <v>82.247326388888879</v>
      </c>
      <c r="J12" s="432">
        <f t="shared" si="1"/>
        <v>82.247326388888879</v>
      </c>
      <c r="K12" s="432">
        <f t="shared" si="1"/>
        <v>33.611111111111107</v>
      </c>
      <c r="L12" s="432">
        <f t="shared" si="1"/>
        <v>48.636215277777779</v>
      </c>
      <c r="M12" s="432">
        <f t="shared" si="1"/>
        <v>55.55555555555555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CC909-14AF-4C9A-AE88-F7D1205197D3}">
  <sheetPr>
    <tabColor rgb="FF00B0F0"/>
  </sheetPr>
  <dimension ref="A1:M60"/>
  <sheetViews>
    <sheetView workbookViewId="0">
      <selection activeCell="J6" sqref="J6"/>
    </sheetView>
  </sheetViews>
  <sheetFormatPr defaultRowHeight="14.25" x14ac:dyDescent="0.45"/>
  <cols>
    <col min="1" max="1" width="18" bestFit="1" customWidth="1"/>
    <col min="2" max="2" width="13" customWidth="1"/>
    <col min="3" max="3" width="21.59765625" style="179" customWidth="1"/>
    <col min="4" max="4" width="19.86328125" customWidth="1"/>
    <col min="5" max="5" width="22.73046875" customWidth="1"/>
    <col min="6" max="6" width="15.86328125" bestFit="1" customWidth="1"/>
    <col min="7" max="8" width="15.86328125" customWidth="1"/>
    <col min="9" max="9" width="15.265625" customWidth="1"/>
    <col min="10" max="10" width="19.3984375" customWidth="1"/>
    <col min="11" max="11" width="28.86328125" customWidth="1"/>
    <col min="12" max="12" width="17.1328125" bestFit="1" customWidth="1"/>
    <col min="13" max="13" width="26.73046875" style="168" bestFit="1" customWidth="1"/>
  </cols>
  <sheetData>
    <row r="1" spans="1:13" x14ac:dyDescent="0.45">
      <c r="A1" s="143"/>
      <c r="B1" s="143"/>
      <c r="C1" s="169"/>
      <c r="D1" s="143"/>
      <c r="E1" s="143"/>
      <c r="F1" s="143"/>
      <c r="G1" s="147" t="s">
        <v>283</v>
      </c>
      <c r="H1" s="147" t="s">
        <v>284</v>
      </c>
      <c r="I1" s="144" t="s">
        <v>237</v>
      </c>
      <c r="J1" s="145">
        <f>A3</f>
        <v>11345000000</v>
      </c>
      <c r="K1" s="143"/>
    </row>
    <row r="2" spans="1:13" x14ac:dyDescent="0.45">
      <c r="A2" s="146" t="s">
        <v>238</v>
      </c>
      <c r="B2" s="146" t="s">
        <v>239</v>
      </c>
      <c r="C2" s="170" t="s">
        <v>240</v>
      </c>
      <c r="D2" s="146" t="s">
        <v>241</v>
      </c>
      <c r="E2" s="146" t="s">
        <v>242</v>
      </c>
      <c r="F2" s="146" t="s">
        <v>243</v>
      </c>
      <c r="G2" s="213">
        <f>'Site list'!H5</f>
        <v>0.55000000000000004</v>
      </c>
      <c r="H2" s="214">
        <f>1-G2</f>
        <v>0.44999999999999996</v>
      </c>
      <c r="I2" s="147" t="s">
        <v>244</v>
      </c>
      <c r="J2" s="148">
        <v>0.06</v>
      </c>
      <c r="K2" s="143"/>
    </row>
    <row r="3" spans="1:13" x14ac:dyDescent="0.45">
      <c r="A3" s="145">
        <v>11345000000</v>
      </c>
      <c r="B3" s="153">
        <v>45316</v>
      </c>
      <c r="C3" s="170"/>
      <c r="D3" s="146"/>
      <c r="E3" s="146"/>
      <c r="F3" s="146"/>
      <c r="G3" s="209"/>
      <c r="H3" s="209"/>
      <c r="I3" s="147"/>
      <c r="J3" s="148"/>
      <c r="K3" s="143"/>
    </row>
    <row r="4" spans="1:13" x14ac:dyDescent="0.45">
      <c r="A4" s="146"/>
      <c r="B4" s="153">
        <v>45407</v>
      </c>
      <c r="C4" s="170"/>
      <c r="D4" s="146"/>
      <c r="E4" s="146"/>
      <c r="F4" s="146"/>
      <c r="G4" s="209"/>
      <c r="H4" s="209"/>
      <c r="I4" s="147"/>
      <c r="J4" s="148"/>
      <c r="K4" s="143"/>
    </row>
    <row r="5" spans="1:13" x14ac:dyDescent="0.45">
      <c r="A5" s="149"/>
      <c r="B5" s="153">
        <v>45498</v>
      </c>
      <c r="C5" s="169">
        <f>390*10^6</f>
        <v>390000000</v>
      </c>
      <c r="D5" s="145">
        <f>A3-C5</f>
        <v>10955000000</v>
      </c>
      <c r="E5" s="145">
        <f>A3</f>
        <v>11345000000</v>
      </c>
      <c r="F5" s="145"/>
      <c r="G5" s="210"/>
      <c r="H5" s="210"/>
      <c r="I5" s="147" t="s">
        <v>245</v>
      </c>
      <c r="J5" s="152">
        <v>0.09</v>
      </c>
      <c r="K5" s="143"/>
    </row>
    <row r="6" spans="1:13" x14ac:dyDescent="0.45">
      <c r="A6" s="143"/>
      <c r="B6" s="153">
        <f>EDATE(B5,3)</f>
        <v>45590</v>
      </c>
      <c r="C6" s="169">
        <f>390*10^6</f>
        <v>390000000</v>
      </c>
      <c r="D6" s="145">
        <f>D5-C6</f>
        <v>10565000000</v>
      </c>
      <c r="E6" s="145">
        <f>D5</f>
        <v>10955000000</v>
      </c>
      <c r="F6" s="145"/>
      <c r="G6" s="211"/>
      <c r="H6" s="211"/>
      <c r="J6" s="171"/>
    </row>
    <row r="7" spans="1:13" x14ac:dyDescent="0.45">
      <c r="A7" s="143"/>
      <c r="B7" s="153">
        <f t="shared" ref="B7:B21" si="0">EDATE(B6,3)</f>
        <v>45682</v>
      </c>
      <c r="C7" s="169">
        <f>660*10^6</f>
        <v>660000000</v>
      </c>
      <c r="D7" s="145">
        <f t="shared" ref="D7:D22" si="1">D6-C7</f>
        <v>9905000000</v>
      </c>
      <c r="E7" s="145">
        <f t="shared" ref="E7:E22" si="2">D6</f>
        <v>10565000000</v>
      </c>
      <c r="F7" s="145"/>
      <c r="G7" s="211"/>
      <c r="H7" s="211"/>
      <c r="J7" s="171"/>
      <c r="K7" s="336">
        <f t="shared" ref="K7:K14" si="3">C7+F7</f>
        <v>660000000</v>
      </c>
      <c r="L7" s="165">
        <f t="shared" ref="L7:L14" si="4">K7/10^6</f>
        <v>660</v>
      </c>
    </row>
    <row r="8" spans="1:13" x14ac:dyDescent="0.45">
      <c r="A8" s="143"/>
      <c r="B8" s="153">
        <f t="shared" si="0"/>
        <v>45772</v>
      </c>
      <c r="C8" s="169">
        <f t="shared" ref="C8:C21" si="5">660*10^6</f>
        <v>660000000</v>
      </c>
      <c r="D8" s="145">
        <f t="shared" si="1"/>
        <v>9245000000</v>
      </c>
      <c r="E8" s="145">
        <f t="shared" si="2"/>
        <v>9905000000</v>
      </c>
      <c r="F8" s="172"/>
      <c r="G8" s="168"/>
      <c r="H8" s="168"/>
      <c r="I8" s="165"/>
      <c r="K8" s="336">
        <f t="shared" si="3"/>
        <v>660000000</v>
      </c>
      <c r="L8" s="165">
        <f t="shared" si="4"/>
        <v>660</v>
      </c>
    </row>
    <row r="9" spans="1:13" s="162" customFormat="1" x14ac:dyDescent="0.45">
      <c r="A9" s="157"/>
      <c r="B9" s="153">
        <f t="shared" si="0"/>
        <v>45863</v>
      </c>
      <c r="C9" s="169">
        <f t="shared" si="5"/>
        <v>660000000</v>
      </c>
      <c r="D9" s="160">
        <f>D8-C9</f>
        <v>8585000000</v>
      </c>
      <c r="E9" s="145">
        <f t="shared" si="2"/>
        <v>9245000000</v>
      </c>
      <c r="F9" s="174"/>
      <c r="G9" s="161"/>
      <c r="H9" s="161"/>
      <c r="I9" s="175"/>
      <c r="J9" s="161"/>
      <c r="K9" s="336">
        <f t="shared" si="3"/>
        <v>660000000</v>
      </c>
      <c r="L9" s="165">
        <f t="shared" si="4"/>
        <v>660</v>
      </c>
      <c r="M9" s="168"/>
    </row>
    <row r="10" spans="1:13" x14ac:dyDescent="0.45">
      <c r="A10" s="143"/>
      <c r="B10" s="153">
        <f t="shared" si="0"/>
        <v>45955</v>
      </c>
      <c r="C10" s="169">
        <f t="shared" si="5"/>
        <v>660000000</v>
      </c>
      <c r="D10" s="145">
        <f>D9-C10</f>
        <v>7925000000</v>
      </c>
      <c r="E10" s="145">
        <f t="shared" si="2"/>
        <v>8585000000</v>
      </c>
      <c r="F10" s="155"/>
      <c r="G10" s="165"/>
      <c r="H10" s="165"/>
      <c r="I10" s="163" t="s">
        <v>334</v>
      </c>
      <c r="J10" t="s">
        <v>243</v>
      </c>
      <c r="K10" s="336">
        <f t="shared" si="3"/>
        <v>660000000</v>
      </c>
      <c r="L10" s="165">
        <f t="shared" si="4"/>
        <v>660</v>
      </c>
    </row>
    <row r="11" spans="1:13" x14ac:dyDescent="0.45">
      <c r="A11" s="143"/>
      <c r="B11" s="153">
        <f t="shared" si="0"/>
        <v>46047</v>
      </c>
      <c r="C11" s="169">
        <f t="shared" si="5"/>
        <v>660000000</v>
      </c>
      <c r="D11" s="191">
        <f t="shared" si="1"/>
        <v>7265000000</v>
      </c>
      <c r="E11" s="145">
        <f t="shared" si="2"/>
        <v>7925000000</v>
      </c>
      <c r="F11" s="193">
        <f>E11*$J$5*(B11-B10)/365</f>
        <v>179778082.19178084</v>
      </c>
      <c r="G11" s="212">
        <f>SUM($F11,$C11)*G$2</f>
        <v>461877945.2054795</v>
      </c>
      <c r="H11" s="212">
        <f>SUM($F11,$C11)*H$2</f>
        <v>377900136.9863013</v>
      </c>
      <c r="I11" s="165">
        <f>C11*$G$2/10^6</f>
        <v>363</v>
      </c>
      <c r="J11" s="165">
        <f>F11*$G$2/10^6</f>
        <v>98.877945205479477</v>
      </c>
      <c r="K11" s="336">
        <f t="shared" si="3"/>
        <v>839778082.19178081</v>
      </c>
      <c r="L11" s="165">
        <f t="shared" si="4"/>
        <v>839.77808219178075</v>
      </c>
    </row>
    <row r="12" spans="1:13" x14ac:dyDescent="0.45">
      <c r="A12" s="143"/>
      <c r="B12" s="153">
        <f t="shared" si="0"/>
        <v>46137</v>
      </c>
      <c r="C12" s="169">
        <f t="shared" si="5"/>
        <v>660000000</v>
      </c>
      <c r="D12" s="191">
        <f t="shared" si="1"/>
        <v>6605000000</v>
      </c>
      <c r="E12" s="145">
        <f t="shared" si="2"/>
        <v>7265000000</v>
      </c>
      <c r="F12" s="193">
        <f t="shared" ref="F12:F22" si="6">E12*$J$5*(B12-B11)/365</f>
        <v>161223287.67123288</v>
      </c>
      <c r="G12" s="212">
        <f t="shared" ref="G12:H22" si="7">SUM($F12,$C12)*G$2</f>
        <v>451672808.21917814</v>
      </c>
      <c r="H12" s="212">
        <f t="shared" si="7"/>
        <v>369550479.4520548</v>
      </c>
      <c r="I12" s="165">
        <f>C12*$G$2/10^6</f>
        <v>363</v>
      </c>
      <c r="J12" s="165">
        <f>F12*$G$2/10^6</f>
        <v>88.672808219178094</v>
      </c>
      <c r="K12" s="336">
        <f t="shared" si="3"/>
        <v>821223287.67123294</v>
      </c>
      <c r="L12" s="165">
        <f t="shared" si="4"/>
        <v>821.22328767123292</v>
      </c>
    </row>
    <row r="13" spans="1:13" x14ac:dyDescent="0.45">
      <c r="A13" s="143"/>
      <c r="B13" s="153">
        <f t="shared" si="0"/>
        <v>46228</v>
      </c>
      <c r="C13" s="169">
        <f t="shared" si="5"/>
        <v>660000000</v>
      </c>
      <c r="D13" s="191">
        <f t="shared" si="1"/>
        <v>5945000000</v>
      </c>
      <c r="E13" s="145">
        <f t="shared" si="2"/>
        <v>6605000000</v>
      </c>
      <c r="F13" s="193">
        <f t="shared" si="6"/>
        <v>148205342.46575344</v>
      </c>
      <c r="G13" s="212">
        <f t="shared" si="7"/>
        <v>444512938.35616446</v>
      </c>
      <c r="H13" s="212">
        <f t="shared" si="7"/>
        <v>363692404.10958898</v>
      </c>
      <c r="I13" s="165">
        <f>C13*$G$2/10^6</f>
        <v>363</v>
      </c>
      <c r="J13" s="165">
        <f>F13*$G$2/10^6</f>
        <v>81.512938356164398</v>
      </c>
      <c r="K13" s="336">
        <f t="shared" si="3"/>
        <v>808205342.46575344</v>
      </c>
      <c r="L13" s="165">
        <f t="shared" si="4"/>
        <v>808.20534246575346</v>
      </c>
    </row>
    <row r="14" spans="1:13" x14ac:dyDescent="0.45">
      <c r="A14" s="143"/>
      <c r="B14" s="153">
        <f t="shared" si="0"/>
        <v>46320</v>
      </c>
      <c r="C14" s="169">
        <f t="shared" si="5"/>
        <v>660000000</v>
      </c>
      <c r="D14" s="191">
        <f t="shared" si="1"/>
        <v>5285000000</v>
      </c>
      <c r="E14" s="145">
        <f t="shared" si="2"/>
        <v>5945000000</v>
      </c>
      <c r="F14" s="193">
        <f t="shared" si="6"/>
        <v>134861917.80821916</v>
      </c>
      <c r="G14" s="212">
        <f t="shared" si="7"/>
        <v>437174054.79452062</v>
      </c>
      <c r="H14" s="212">
        <f t="shared" si="7"/>
        <v>357687863.01369858</v>
      </c>
      <c r="I14" s="165">
        <f>C14*$G$2/10^6</f>
        <v>363</v>
      </c>
      <c r="J14" s="165">
        <f>F14*$G$2/10^6</f>
        <v>74.174054794520544</v>
      </c>
      <c r="K14" s="336">
        <f t="shared" si="3"/>
        <v>794861917.80821919</v>
      </c>
      <c r="L14" s="165">
        <f t="shared" si="4"/>
        <v>794.86191780821923</v>
      </c>
      <c r="M14" s="176"/>
    </row>
    <row r="15" spans="1:13" x14ac:dyDescent="0.45">
      <c r="A15" s="143"/>
      <c r="B15" s="153">
        <f t="shared" si="0"/>
        <v>46412</v>
      </c>
      <c r="C15" s="169">
        <f t="shared" si="5"/>
        <v>660000000</v>
      </c>
      <c r="D15" s="145">
        <f t="shared" si="1"/>
        <v>4625000000</v>
      </c>
      <c r="E15" s="145">
        <f t="shared" si="2"/>
        <v>5285000000</v>
      </c>
      <c r="F15" s="193">
        <f t="shared" si="6"/>
        <v>119889863.01369864</v>
      </c>
      <c r="G15" s="212">
        <f t="shared" si="7"/>
        <v>428939424.65753424</v>
      </c>
      <c r="H15" s="212">
        <f t="shared" si="7"/>
        <v>350950438.35616434</v>
      </c>
      <c r="I15" s="165"/>
      <c r="J15" s="165"/>
    </row>
    <row r="16" spans="1:13" x14ac:dyDescent="0.45">
      <c r="A16" s="143"/>
      <c r="B16" s="153">
        <f t="shared" si="0"/>
        <v>46502</v>
      </c>
      <c r="C16" s="169">
        <f t="shared" si="5"/>
        <v>660000000</v>
      </c>
      <c r="D16" s="145">
        <f t="shared" si="1"/>
        <v>3965000000</v>
      </c>
      <c r="E16" s="145">
        <f t="shared" si="2"/>
        <v>4625000000</v>
      </c>
      <c r="F16" s="193">
        <f t="shared" si="6"/>
        <v>102636986.30136986</v>
      </c>
      <c r="G16" s="212">
        <f t="shared" si="7"/>
        <v>419450342.4657535</v>
      </c>
      <c r="H16" s="212">
        <f t="shared" si="7"/>
        <v>343186643.83561641</v>
      </c>
      <c r="I16" s="165"/>
      <c r="J16" s="165"/>
    </row>
    <row r="17" spans="1:10" x14ac:dyDescent="0.45">
      <c r="A17" s="143"/>
      <c r="B17" s="153">
        <f t="shared" si="0"/>
        <v>46593</v>
      </c>
      <c r="C17" s="169">
        <f t="shared" si="5"/>
        <v>660000000</v>
      </c>
      <c r="D17" s="145">
        <f t="shared" si="1"/>
        <v>3305000000</v>
      </c>
      <c r="E17" s="145">
        <f t="shared" si="2"/>
        <v>3965000000</v>
      </c>
      <c r="F17" s="193">
        <f t="shared" si="6"/>
        <v>88968082.19178082</v>
      </c>
      <c r="G17" s="212">
        <f t="shared" si="7"/>
        <v>411932445.2054795</v>
      </c>
      <c r="H17" s="212">
        <f t="shared" si="7"/>
        <v>337035636.9863013</v>
      </c>
      <c r="I17" s="165"/>
      <c r="J17" s="165"/>
    </row>
    <row r="18" spans="1:10" x14ac:dyDescent="0.45">
      <c r="A18" s="143"/>
      <c r="B18" s="153">
        <f t="shared" si="0"/>
        <v>46685</v>
      </c>
      <c r="C18" s="169">
        <f t="shared" si="5"/>
        <v>660000000</v>
      </c>
      <c r="D18" s="145">
        <f t="shared" si="1"/>
        <v>2645000000</v>
      </c>
      <c r="E18" s="145">
        <f t="shared" si="2"/>
        <v>3305000000</v>
      </c>
      <c r="F18" s="193">
        <f t="shared" si="6"/>
        <v>74973698.630136982</v>
      </c>
      <c r="G18" s="212">
        <f t="shared" si="7"/>
        <v>404235534.24657536</v>
      </c>
      <c r="H18" s="212">
        <f t="shared" si="7"/>
        <v>330738164.38356161</v>
      </c>
      <c r="I18" s="165"/>
      <c r="J18" s="165"/>
    </row>
    <row r="19" spans="1:10" x14ac:dyDescent="0.45">
      <c r="A19" s="143"/>
      <c r="B19" s="153">
        <f t="shared" si="0"/>
        <v>46777</v>
      </c>
      <c r="C19" s="169">
        <f t="shared" si="5"/>
        <v>660000000</v>
      </c>
      <c r="D19" s="145">
        <f t="shared" si="1"/>
        <v>1985000000</v>
      </c>
      <c r="E19" s="145">
        <f t="shared" si="2"/>
        <v>2645000000</v>
      </c>
      <c r="F19" s="193">
        <f t="shared" si="6"/>
        <v>60001643.83561644</v>
      </c>
      <c r="G19" s="212">
        <f t="shared" si="7"/>
        <v>396000904.1095891</v>
      </c>
      <c r="H19" s="212">
        <f t="shared" si="7"/>
        <v>324000739.72602737</v>
      </c>
      <c r="I19" s="165"/>
      <c r="J19" s="165"/>
    </row>
    <row r="20" spans="1:10" x14ac:dyDescent="0.45">
      <c r="A20" s="143"/>
      <c r="B20" s="153">
        <f t="shared" si="0"/>
        <v>46868</v>
      </c>
      <c r="C20" s="169">
        <f t="shared" si="5"/>
        <v>660000000</v>
      </c>
      <c r="D20" s="145">
        <f t="shared" si="1"/>
        <v>1325000000</v>
      </c>
      <c r="E20" s="145">
        <f t="shared" si="2"/>
        <v>1985000000</v>
      </c>
      <c r="F20" s="193">
        <f t="shared" si="6"/>
        <v>44540136.98630137</v>
      </c>
      <c r="G20" s="212">
        <f t="shared" si="7"/>
        <v>387497075.34246582</v>
      </c>
      <c r="H20" s="212">
        <f t="shared" si="7"/>
        <v>317043061.6438356</v>
      </c>
      <c r="I20" s="165"/>
      <c r="J20" s="165"/>
    </row>
    <row r="21" spans="1:10" x14ac:dyDescent="0.45">
      <c r="A21" s="143"/>
      <c r="B21" s="153">
        <f t="shared" si="0"/>
        <v>46959</v>
      </c>
      <c r="C21" s="169">
        <f t="shared" si="5"/>
        <v>660000000</v>
      </c>
      <c r="D21" s="145">
        <f t="shared" si="1"/>
        <v>665000000</v>
      </c>
      <c r="E21" s="145">
        <f t="shared" si="2"/>
        <v>1325000000</v>
      </c>
      <c r="F21" s="193">
        <f t="shared" si="6"/>
        <v>29730821.91780822</v>
      </c>
      <c r="G21" s="212">
        <f t="shared" si="7"/>
        <v>379351952.05479455</v>
      </c>
      <c r="H21" s="212">
        <f t="shared" si="7"/>
        <v>310378869.86301363</v>
      </c>
      <c r="I21" s="165"/>
      <c r="J21" s="165"/>
    </row>
    <row r="22" spans="1:10" x14ac:dyDescent="0.45">
      <c r="A22" s="143"/>
      <c r="B22" s="153">
        <v>47038</v>
      </c>
      <c r="C22" s="169">
        <f>665*10^6</f>
        <v>665000000</v>
      </c>
      <c r="D22" s="145">
        <f t="shared" si="1"/>
        <v>0</v>
      </c>
      <c r="E22" s="145">
        <f t="shared" si="2"/>
        <v>665000000</v>
      </c>
      <c r="F22" s="193">
        <f t="shared" si="6"/>
        <v>12953835.616438355</v>
      </c>
      <c r="G22" s="212">
        <f t="shared" si="7"/>
        <v>372874609.58904117</v>
      </c>
      <c r="H22" s="212">
        <f t="shared" si="7"/>
        <v>305079226.02739722</v>
      </c>
      <c r="I22" s="165"/>
      <c r="J22" s="165"/>
    </row>
    <row r="23" spans="1:10" x14ac:dyDescent="0.45">
      <c r="A23" s="143"/>
      <c r="B23" s="153"/>
      <c r="C23" s="169"/>
      <c r="D23" s="145"/>
      <c r="E23" s="145"/>
      <c r="F23" s="155"/>
      <c r="G23" s="165"/>
      <c r="H23" s="165"/>
    </row>
    <row r="24" spans="1:10" x14ac:dyDescent="0.45">
      <c r="A24" s="143"/>
      <c r="B24" s="153"/>
      <c r="C24" s="169"/>
      <c r="D24" s="145"/>
      <c r="E24" s="145"/>
      <c r="F24" s="155"/>
      <c r="G24" s="165"/>
      <c r="H24" s="165"/>
    </row>
    <row r="25" spans="1:10" x14ac:dyDescent="0.45">
      <c r="A25" s="143"/>
      <c r="B25" s="153"/>
      <c r="C25" s="169"/>
      <c r="D25" s="145"/>
      <c r="E25" s="145"/>
      <c r="F25" s="155"/>
      <c r="G25" s="165"/>
      <c r="H25" s="165"/>
      <c r="I25" s="235">
        <f>SUM(I11:I14)</f>
        <v>1452</v>
      </c>
      <c r="J25" s="235">
        <f>SUM(J11:J14)</f>
        <v>343.2377465753425</v>
      </c>
    </row>
    <row r="26" spans="1:10" x14ac:dyDescent="0.45">
      <c r="A26" s="143"/>
      <c r="B26" s="153"/>
      <c r="C26" s="169"/>
      <c r="D26" s="145"/>
      <c r="E26" s="145"/>
      <c r="F26" s="155"/>
      <c r="G26" s="165"/>
      <c r="H26" s="165" t="s">
        <v>415</v>
      </c>
      <c r="J26" s="165">
        <f>SUM(F11:F14)/12/10^6</f>
        <v>52.005719178082195</v>
      </c>
    </row>
    <row r="27" spans="1:10" x14ac:dyDescent="0.45">
      <c r="A27" s="143"/>
      <c r="B27" s="153"/>
      <c r="C27" s="169"/>
      <c r="D27" s="145"/>
      <c r="E27" s="145"/>
      <c r="F27" s="155"/>
      <c r="G27" s="165"/>
      <c r="H27" s="165"/>
    </row>
    <row r="28" spans="1:10" x14ac:dyDescent="0.45">
      <c r="B28" s="178"/>
    </row>
    <row r="29" spans="1:10" x14ac:dyDescent="0.45">
      <c r="A29" s="434" t="s">
        <v>547</v>
      </c>
      <c r="D29" s="63">
        <f>D11+'BIDV-THH'!D11+VTB_TNN!D10+VTB_TBH!D7+'VTB_YẾT KIÊU'!E10+'VTB_Nha trang.'!E10</f>
        <v>59548500000</v>
      </c>
    </row>
    <row r="30" spans="1:10" x14ac:dyDescent="0.45">
      <c r="B30" s="156"/>
    </row>
    <row r="31" spans="1:10" x14ac:dyDescent="0.45">
      <c r="B31" s="156"/>
    </row>
    <row r="32" spans="1:10" x14ac:dyDescent="0.45">
      <c r="B32" s="156"/>
    </row>
    <row r="33" spans="1:13" x14ac:dyDescent="0.45">
      <c r="B33" s="156"/>
    </row>
    <row r="34" spans="1:13" x14ac:dyDescent="0.45">
      <c r="B34" s="156"/>
    </row>
    <row r="35" spans="1:13" s="179" customFormat="1" x14ac:dyDescent="0.45">
      <c r="A35"/>
      <c r="B35" s="156"/>
      <c r="D35"/>
      <c r="E35"/>
      <c r="F35"/>
      <c r="G35"/>
      <c r="H35"/>
      <c r="I35"/>
      <c r="J35"/>
      <c r="K35"/>
      <c r="L35"/>
      <c r="M35" s="168"/>
    </row>
    <row r="36" spans="1:13" s="179" customFormat="1" x14ac:dyDescent="0.45">
      <c r="A36"/>
      <c r="B36" s="156"/>
      <c r="D36"/>
      <c r="E36"/>
      <c r="F36"/>
      <c r="G36"/>
      <c r="H36"/>
      <c r="I36"/>
      <c r="J36"/>
      <c r="K36"/>
      <c r="L36"/>
      <c r="M36" s="168"/>
    </row>
    <row r="37" spans="1:13" s="179" customFormat="1" x14ac:dyDescent="0.45">
      <c r="A37"/>
      <c r="B37" s="156"/>
      <c r="D37"/>
      <c r="E37"/>
      <c r="F37"/>
      <c r="G37"/>
      <c r="H37"/>
      <c r="I37"/>
      <c r="J37"/>
      <c r="K37"/>
      <c r="L37"/>
      <c r="M37" s="168"/>
    </row>
    <row r="38" spans="1:13" s="179" customFormat="1" x14ac:dyDescent="0.45">
      <c r="A38"/>
      <c r="B38" s="156"/>
      <c r="D38"/>
      <c r="E38"/>
      <c r="F38"/>
      <c r="G38"/>
      <c r="H38"/>
      <c r="I38"/>
      <c r="J38"/>
      <c r="K38"/>
      <c r="L38"/>
      <c r="M38" s="168"/>
    </row>
    <row r="39" spans="1:13" s="179" customFormat="1" x14ac:dyDescent="0.45">
      <c r="A39"/>
      <c r="B39" s="156"/>
      <c r="D39"/>
      <c r="E39"/>
      <c r="F39"/>
      <c r="G39"/>
      <c r="H39"/>
      <c r="I39"/>
      <c r="J39"/>
      <c r="K39"/>
      <c r="L39"/>
      <c r="M39" s="168"/>
    </row>
    <row r="40" spans="1:13" s="179" customFormat="1" x14ac:dyDescent="0.45">
      <c r="A40"/>
      <c r="B40" s="156"/>
      <c r="D40"/>
      <c r="E40"/>
      <c r="F40"/>
      <c r="G40"/>
      <c r="H40"/>
      <c r="I40"/>
      <c r="J40"/>
      <c r="K40"/>
      <c r="L40"/>
      <c r="M40" s="168"/>
    </row>
    <row r="41" spans="1:13" s="179" customFormat="1" x14ac:dyDescent="0.45">
      <c r="A41"/>
      <c r="B41" s="156"/>
      <c r="D41"/>
      <c r="E41"/>
      <c r="F41"/>
      <c r="G41"/>
      <c r="H41"/>
      <c r="I41"/>
      <c r="J41"/>
      <c r="K41"/>
      <c r="L41"/>
      <c r="M41" s="168"/>
    </row>
    <row r="42" spans="1:13" s="179" customFormat="1" x14ac:dyDescent="0.45">
      <c r="A42"/>
      <c r="B42" s="156"/>
      <c r="D42"/>
      <c r="E42"/>
      <c r="F42"/>
      <c r="G42"/>
      <c r="H42"/>
      <c r="I42"/>
      <c r="J42"/>
      <c r="K42"/>
      <c r="L42"/>
      <c r="M42" s="168"/>
    </row>
    <row r="43" spans="1:13" s="179" customFormat="1" x14ac:dyDescent="0.45">
      <c r="A43"/>
      <c r="B43" s="156"/>
      <c r="D43"/>
      <c r="E43"/>
      <c r="F43"/>
      <c r="G43"/>
      <c r="H43"/>
      <c r="I43"/>
      <c r="J43"/>
      <c r="K43"/>
      <c r="L43"/>
      <c r="M43" s="168"/>
    </row>
    <row r="44" spans="1:13" s="179" customFormat="1" x14ac:dyDescent="0.45">
      <c r="A44"/>
      <c r="B44" s="156"/>
      <c r="D44"/>
      <c r="E44"/>
      <c r="F44"/>
      <c r="G44"/>
      <c r="H44"/>
      <c r="I44"/>
      <c r="J44"/>
      <c r="K44"/>
      <c r="L44"/>
      <c r="M44" s="168"/>
    </row>
    <row r="45" spans="1:13" s="179" customFormat="1" x14ac:dyDescent="0.45">
      <c r="A45"/>
      <c r="B45" s="156"/>
      <c r="D45"/>
      <c r="E45"/>
      <c r="F45"/>
      <c r="G45"/>
      <c r="H45"/>
      <c r="I45"/>
      <c r="J45"/>
      <c r="K45"/>
      <c r="L45"/>
      <c r="M45" s="168"/>
    </row>
    <row r="46" spans="1:13" s="179" customFormat="1" x14ac:dyDescent="0.45">
      <c r="A46"/>
      <c r="B46" s="156"/>
      <c r="D46"/>
      <c r="E46"/>
      <c r="F46"/>
      <c r="G46"/>
      <c r="H46"/>
      <c r="I46"/>
      <c r="J46"/>
      <c r="K46"/>
      <c r="L46"/>
      <c r="M46" s="168"/>
    </row>
    <row r="47" spans="1:13" s="179" customFormat="1" x14ac:dyDescent="0.45">
      <c r="A47"/>
      <c r="B47" s="156"/>
      <c r="D47"/>
      <c r="E47"/>
      <c r="F47"/>
      <c r="G47"/>
      <c r="H47"/>
      <c r="I47"/>
      <c r="J47"/>
      <c r="K47"/>
      <c r="L47"/>
      <c r="M47" s="168"/>
    </row>
    <row r="48" spans="1:13" s="179" customFormat="1" x14ac:dyDescent="0.45">
      <c r="A48"/>
      <c r="B48" s="156"/>
      <c r="D48"/>
      <c r="E48"/>
      <c r="F48"/>
      <c r="G48"/>
      <c r="H48"/>
      <c r="I48"/>
      <c r="J48"/>
      <c r="K48"/>
      <c r="L48"/>
      <c r="M48" s="168"/>
    </row>
    <row r="49" spans="1:13" s="179" customFormat="1" x14ac:dyDescent="0.45">
      <c r="A49"/>
      <c r="B49" s="156"/>
      <c r="D49"/>
      <c r="E49"/>
      <c r="F49"/>
      <c r="G49"/>
      <c r="H49"/>
      <c r="I49"/>
      <c r="J49"/>
      <c r="K49"/>
      <c r="L49"/>
      <c r="M49" s="168"/>
    </row>
    <row r="50" spans="1:13" s="179" customFormat="1" x14ac:dyDescent="0.45">
      <c r="A50"/>
      <c r="B50" s="156"/>
      <c r="D50"/>
      <c r="E50"/>
      <c r="F50"/>
      <c r="G50"/>
      <c r="H50"/>
      <c r="I50"/>
      <c r="J50"/>
      <c r="K50"/>
      <c r="L50"/>
      <c r="M50" s="168"/>
    </row>
    <row r="51" spans="1:13" s="179" customFormat="1" x14ac:dyDescent="0.45">
      <c r="A51"/>
      <c r="B51" s="156"/>
      <c r="D51"/>
      <c r="E51"/>
      <c r="F51"/>
      <c r="G51"/>
      <c r="H51"/>
      <c r="I51"/>
      <c r="J51"/>
      <c r="K51"/>
      <c r="L51"/>
      <c r="M51" s="168"/>
    </row>
    <row r="52" spans="1:13" s="179" customFormat="1" x14ac:dyDescent="0.45">
      <c r="A52"/>
      <c r="B52" s="156"/>
      <c r="D52"/>
      <c r="E52"/>
      <c r="F52"/>
      <c r="G52"/>
      <c r="H52"/>
      <c r="I52"/>
      <c r="J52"/>
      <c r="K52"/>
      <c r="L52"/>
      <c r="M52" s="168"/>
    </row>
    <row r="53" spans="1:13" s="179" customFormat="1" x14ac:dyDescent="0.45">
      <c r="A53"/>
      <c r="B53" s="156"/>
      <c r="D53"/>
      <c r="E53"/>
      <c r="F53"/>
      <c r="G53"/>
      <c r="H53"/>
      <c r="I53"/>
      <c r="J53"/>
      <c r="K53"/>
      <c r="L53"/>
      <c r="M53" s="168"/>
    </row>
    <row r="54" spans="1:13" s="179" customFormat="1" x14ac:dyDescent="0.45">
      <c r="A54"/>
      <c r="B54" s="156"/>
      <c r="D54"/>
      <c r="E54"/>
      <c r="F54"/>
      <c r="G54"/>
      <c r="H54"/>
      <c r="I54"/>
      <c r="J54"/>
      <c r="K54"/>
      <c r="L54"/>
      <c r="M54" s="168"/>
    </row>
    <row r="55" spans="1:13" s="179" customFormat="1" x14ac:dyDescent="0.45">
      <c r="A55"/>
      <c r="B55" s="156"/>
      <c r="D55"/>
      <c r="E55"/>
      <c r="F55"/>
      <c r="G55"/>
      <c r="H55"/>
      <c r="I55"/>
      <c r="J55"/>
      <c r="K55"/>
      <c r="L55"/>
      <c r="M55" s="168"/>
    </row>
    <row r="56" spans="1:13" s="179" customFormat="1" x14ac:dyDescent="0.45">
      <c r="A56"/>
      <c r="B56" s="156"/>
      <c r="D56"/>
      <c r="E56"/>
      <c r="F56"/>
      <c r="G56"/>
      <c r="H56"/>
      <c r="I56"/>
      <c r="J56"/>
      <c r="K56"/>
      <c r="L56"/>
      <c r="M56" s="168"/>
    </row>
    <row r="57" spans="1:13" s="179" customFormat="1" x14ac:dyDescent="0.45">
      <c r="A57"/>
      <c r="B57" s="156"/>
      <c r="D57"/>
      <c r="E57"/>
      <c r="F57"/>
      <c r="G57"/>
      <c r="H57"/>
      <c r="I57"/>
      <c r="J57"/>
      <c r="K57"/>
      <c r="L57"/>
      <c r="M57" s="168"/>
    </row>
    <row r="58" spans="1:13" s="179" customFormat="1" x14ac:dyDescent="0.45">
      <c r="A58"/>
      <c r="B58" s="156"/>
      <c r="D58"/>
      <c r="E58"/>
      <c r="F58"/>
      <c r="G58"/>
      <c r="H58"/>
      <c r="I58"/>
      <c r="J58"/>
      <c r="K58"/>
      <c r="L58"/>
      <c r="M58" s="168"/>
    </row>
    <row r="59" spans="1:13" s="179" customFormat="1" x14ac:dyDescent="0.45">
      <c r="A59"/>
      <c r="B59" s="156"/>
      <c r="D59"/>
      <c r="E59"/>
      <c r="F59"/>
      <c r="G59"/>
      <c r="H59"/>
      <c r="I59"/>
      <c r="J59"/>
      <c r="K59"/>
      <c r="L59"/>
      <c r="M59" s="168"/>
    </row>
    <row r="60" spans="1:13" s="179" customFormat="1" x14ac:dyDescent="0.45">
      <c r="A60"/>
      <c r="B60" s="156"/>
      <c r="D60"/>
      <c r="E60"/>
      <c r="F60"/>
      <c r="G60"/>
      <c r="H60"/>
      <c r="I60"/>
      <c r="J60"/>
      <c r="K60"/>
      <c r="L60"/>
      <c r="M60" s="16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2789C-8514-4B0F-AD35-65C43DAD1666}">
  <sheetPr>
    <tabColor rgb="FF00B0F0"/>
  </sheetPr>
  <dimension ref="A1:K25"/>
  <sheetViews>
    <sheetView workbookViewId="0">
      <selection activeCell="E14" sqref="E14"/>
    </sheetView>
  </sheetViews>
  <sheetFormatPr defaultColWidth="8.73046875" defaultRowHeight="13.9" x14ac:dyDescent="0.4"/>
  <cols>
    <col min="1" max="1" width="15.59765625" style="119" customWidth="1"/>
    <col min="2" max="3" width="15.59765625" style="120" customWidth="1"/>
    <col min="4" max="4" width="16.3984375" style="120" customWidth="1"/>
    <col min="5" max="5" width="12.73046875" style="121" customWidth="1"/>
    <col min="6" max="6" width="16" style="122" customWidth="1"/>
    <col min="7" max="7" width="18.59765625" style="122" customWidth="1"/>
    <col min="8" max="8" width="8.1328125" style="120" customWidth="1"/>
    <col min="9" max="9" width="17.1328125" style="120" customWidth="1"/>
    <col min="10" max="10" width="17.59765625" style="122" bestFit="1" customWidth="1"/>
    <col min="11" max="11" width="14" style="120" bestFit="1" customWidth="1"/>
    <col min="12" max="16384" width="8.73046875" style="122"/>
  </cols>
  <sheetData>
    <row r="1" spans="1:11" x14ac:dyDescent="0.4">
      <c r="A1" s="119" t="s">
        <v>170</v>
      </c>
    </row>
    <row r="2" spans="1:11" x14ac:dyDescent="0.4">
      <c r="A2" s="122" t="s">
        <v>146</v>
      </c>
    </row>
    <row r="3" spans="1:11" ht="20.100000000000001" customHeight="1" x14ac:dyDescent="0.4">
      <c r="A3" s="626" t="s">
        <v>226</v>
      </c>
      <c r="B3" s="624" t="s">
        <v>227</v>
      </c>
      <c r="C3" s="628" t="s">
        <v>228</v>
      </c>
      <c r="D3" s="628" t="s">
        <v>229</v>
      </c>
      <c r="E3" s="630" t="s">
        <v>230</v>
      </c>
      <c r="F3" s="632" t="s">
        <v>231</v>
      </c>
      <c r="G3" s="633"/>
      <c r="H3" s="634"/>
      <c r="I3" s="624" t="s">
        <v>232</v>
      </c>
    </row>
    <row r="4" spans="1:11" ht="27" x14ac:dyDescent="0.4">
      <c r="A4" s="627"/>
      <c r="B4" s="625"/>
      <c r="C4" s="629"/>
      <c r="D4" s="629"/>
      <c r="E4" s="631"/>
      <c r="F4" s="124" t="s">
        <v>233</v>
      </c>
      <c r="G4" s="124" t="s">
        <v>234</v>
      </c>
      <c r="H4" s="123" t="s">
        <v>235</v>
      </c>
      <c r="I4" s="625"/>
    </row>
    <row r="5" spans="1:11" ht="20.100000000000001" customHeight="1" x14ac:dyDescent="0.4">
      <c r="A5" s="125">
        <v>45596</v>
      </c>
      <c r="B5" s="126">
        <f>13507000000+338000000</f>
        <v>13845000000</v>
      </c>
      <c r="C5" s="126">
        <v>338000000</v>
      </c>
      <c r="D5" s="126">
        <f>B5-C5</f>
        <v>13507000000</v>
      </c>
      <c r="E5" s="127"/>
      <c r="F5" s="128"/>
      <c r="G5" s="128">
        <f>A4</f>
        <v>0</v>
      </c>
      <c r="H5" s="126"/>
      <c r="I5" s="126">
        <f>H5*E5*D5/365*90</f>
        <v>0</v>
      </c>
    </row>
    <row r="6" spans="1:11" ht="20.100000000000001" customHeight="1" x14ac:dyDescent="0.4">
      <c r="A6" s="125">
        <v>45688</v>
      </c>
      <c r="B6" s="126"/>
      <c r="C6" s="126">
        <v>600000000</v>
      </c>
      <c r="D6" s="126">
        <f>D5-C6</f>
        <v>12907000000</v>
      </c>
      <c r="E6" s="127">
        <v>7.0000000000000007E-2</v>
      </c>
      <c r="F6" s="128">
        <v>45596</v>
      </c>
      <c r="G6" s="180">
        <f>+A6</f>
        <v>45688</v>
      </c>
      <c r="H6" s="126"/>
      <c r="I6" s="126">
        <f>D6*E6/365*H6</f>
        <v>0</v>
      </c>
    </row>
    <row r="7" spans="1:11" ht="20.45" customHeight="1" x14ac:dyDescent="0.4">
      <c r="A7" s="125">
        <v>45777</v>
      </c>
      <c r="B7" s="126"/>
      <c r="C7" s="126">
        <v>600000000</v>
      </c>
      <c r="D7" s="126">
        <f>D6-C7</f>
        <v>12307000000</v>
      </c>
      <c r="E7" s="127">
        <v>7.0000000000000007E-2</v>
      </c>
      <c r="F7" s="129">
        <f>+G6</f>
        <v>45688</v>
      </c>
      <c r="G7" s="140">
        <f>+A7</f>
        <v>45777</v>
      </c>
      <c r="H7" s="126">
        <f>G7-F7</f>
        <v>89</v>
      </c>
      <c r="I7" s="126">
        <f>D6*E6/365*H7</f>
        <v>220303041.09589046</v>
      </c>
    </row>
    <row r="8" spans="1:11" s="133" customFormat="1" ht="20.100000000000001" customHeight="1" x14ac:dyDescent="0.4">
      <c r="A8" s="125">
        <v>45869</v>
      </c>
      <c r="B8" s="130"/>
      <c r="C8" s="126">
        <v>820000000</v>
      </c>
      <c r="D8" s="126">
        <f t="shared" ref="D8:D18" si="0">D7-C8</f>
        <v>11487000000</v>
      </c>
      <c r="E8" s="127">
        <v>7.6999999999999999E-2</v>
      </c>
      <c r="F8" s="129">
        <f t="shared" ref="F8:F22" si="1">+G7</f>
        <v>45777</v>
      </c>
      <c r="G8" s="140">
        <f t="shared" ref="G8:G22" si="2">+A8</f>
        <v>45869</v>
      </c>
      <c r="H8" s="126">
        <v>88</v>
      </c>
      <c r="I8" s="126">
        <f>D7*E7/365*H8</f>
        <v>207701698.63013703</v>
      </c>
      <c r="J8" s="131"/>
      <c r="K8" s="132"/>
    </row>
    <row r="9" spans="1:11" ht="20.100000000000001" customHeight="1" x14ac:dyDescent="0.4">
      <c r="A9" s="125">
        <v>45961</v>
      </c>
      <c r="B9" s="126"/>
      <c r="C9" s="126">
        <v>820000000</v>
      </c>
      <c r="D9" s="126">
        <f t="shared" si="0"/>
        <v>10667000000</v>
      </c>
      <c r="E9" s="127">
        <v>7.6999999999999999E-2</v>
      </c>
      <c r="F9" s="129">
        <f t="shared" si="1"/>
        <v>45869</v>
      </c>
      <c r="G9" s="140">
        <f t="shared" si="2"/>
        <v>45961</v>
      </c>
      <c r="H9" s="126">
        <v>90</v>
      </c>
      <c r="I9" s="126">
        <f>D8*E8/365*H9</f>
        <v>218095643.83561644</v>
      </c>
      <c r="J9" s="134"/>
    </row>
    <row r="10" spans="1:11" ht="20.100000000000001" customHeight="1" x14ac:dyDescent="0.4">
      <c r="A10" s="181">
        <v>46053</v>
      </c>
      <c r="B10" s="182"/>
      <c r="C10" s="182">
        <v>820000000</v>
      </c>
      <c r="D10" s="182">
        <f t="shared" si="0"/>
        <v>9847000000</v>
      </c>
      <c r="E10" s="183">
        <v>0.09</v>
      </c>
      <c r="F10" s="184">
        <f t="shared" si="1"/>
        <v>45961</v>
      </c>
      <c r="G10" s="185">
        <f t="shared" si="2"/>
        <v>46053</v>
      </c>
      <c r="H10" s="182">
        <f>+G10-F10</f>
        <v>92</v>
      </c>
      <c r="I10" s="182">
        <f>D9*E9/365*H10</f>
        <v>207027473.97260273</v>
      </c>
      <c r="J10" s="134"/>
    </row>
    <row r="11" spans="1:11" ht="20.100000000000001" customHeight="1" x14ac:dyDescent="0.4">
      <c r="A11" s="181">
        <v>46142</v>
      </c>
      <c r="B11" s="182"/>
      <c r="C11" s="182">
        <v>820000000</v>
      </c>
      <c r="D11" s="182">
        <f t="shared" si="0"/>
        <v>9027000000</v>
      </c>
      <c r="E11" s="183">
        <v>0.09</v>
      </c>
      <c r="F11" s="184">
        <f t="shared" si="1"/>
        <v>46053</v>
      </c>
      <c r="G11" s="185">
        <f t="shared" si="2"/>
        <v>46142</v>
      </c>
      <c r="H11" s="182">
        <f t="shared" ref="H11:H22" si="3">+G11-F11</f>
        <v>89</v>
      </c>
      <c r="I11" s="182">
        <f t="shared" ref="I11:I20" si="4">D10*E10/365*H11</f>
        <v>216094438.35616437</v>
      </c>
    </row>
    <row r="12" spans="1:11" ht="20.100000000000001" customHeight="1" x14ac:dyDescent="0.4">
      <c r="A12" s="181">
        <v>46234</v>
      </c>
      <c r="B12" s="182"/>
      <c r="C12" s="182">
        <v>820000000</v>
      </c>
      <c r="D12" s="182">
        <f t="shared" si="0"/>
        <v>8207000000</v>
      </c>
      <c r="E12" s="183">
        <v>0.09</v>
      </c>
      <c r="F12" s="184">
        <f t="shared" si="1"/>
        <v>46142</v>
      </c>
      <c r="G12" s="185">
        <f t="shared" si="2"/>
        <v>46234</v>
      </c>
      <c r="H12" s="182">
        <f t="shared" si="3"/>
        <v>92</v>
      </c>
      <c r="I12" s="182">
        <f t="shared" si="4"/>
        <v>204776876.71232876</v>
      </c>
    </row>
    <row r="13" spans="1:11" ht="20.100000000000001" customHeight="1" x14ac:dyDescent="0.4">
      <c r="A13" s="181">
        <v>46326</v>
      </c>
      <c r="B13" s="182"/>
      <c r="C13" s="182">
        <v>820000000</v>
      </c>
      <c r="D13" s="182">
        <f t="shared" si="0"/>
        <v>7387000000</v>
      </c>
      <c r="E13" s="183">
        <v>0.09</v>
      </c>
      <c r="F13" s="184">
        <f t="shared" si="1"/>
        <v>46234</v>
      </c>
      <c r="G13" s="185">
        <f t="shared" si="2"/>
        <v>46326</v>
      </c>
      <c r="H13" s="182">
        <f t="shared" si="3"/>
        <v>92</v>
      </c>
      <c r="I13" s="182">
        <f t="shared" si="4"/>
        <v>186175232.87671232</v>
      </c>
    </row>
    <row r="14" spans="1:11" ht="20.100000000000001" customHeight="1" x14ac:dyDescent="0.4">
      <c r="A14" s="125">
        <v>46418</v>
      </c>
      <c r="B14" s="126"/>
      <c r="C14" s="126">
        <v>820000000</v>
      </c>
      <c r="D14" s="126">
        <f t="shared" si="0"/>
        <v>6567000000</v>
      </c>
      <c r="E14" s="127">
        <v>7.6999999999999999E-2</v>
      </c>
      <c r="F14" s="129">
        <f t="shared" si="1"/>
        <v>46326</v>
      </c>
      <c r="G14" s="140">
        <f t="shared" si="2"/>
        <v>46418</v>
      </c>
      <c r="H14" s="126">
        <f t="shared" si="3"/>
        <v>92</v>
      </c>
      <c r="I14" s="126">
        <f t="shared" si="4"/>
        <v>167573589.04109588</v>
      </c>
    </row>
    <row r="15" spans="1:11" ht="20.100000000000001" customHeight="1" x14ac:dyDescent="0.4">
      <c r="A15" s="125">
        <v>46507</v>
      </c>
      <c r="B15" s="126"/>
      <c r="C15" s="126">
        <v>820000000</v>
      </c>
      <c r="D15" s="126">
        <f t="shared" si="0"/>
        <v>5747000000</v>
      </c>
      <c r="E15" s="127">
        <v>7.6999999999999999E-2</v>
      </c>
      <c r="F15" s="129">
        <f t="shared" si="1"/>
        <v>46418</v>
      </c>
      <c r="G15" s="140">
        <f t="shared" si="2"/>
        <v>46507</v>
      </c>
      <c r="H15" s="126">
        <f t="shared" si="3"/>
        <v>89</v>
      </c>
      <c r="I15" s="126">
        <f t="shared" si="4"/>
        <v>123297673.97260274</v>
      </c>
    </row>
    <row r="16" spans="1:11" ht="20.100000000000001" customHeight="1" x14ac:dyDescent="0.4">
      <c r="A16" s="125">
        <v>46599</v>
      </c>
      <c r="B16" s="126"/>
      <c r="C16" s="126">
        <v>820000000</v>
      </c>
      <c r="D16" s="126">
        <f t="shared" si="0"/>
        <v>4927000000</v>
      </c>
      <c r="E16" s="127">
        <v>7.6999999999999999E-2</v>
      </c>
      <c r="F16" s="129">
        <f t="shared" si="1"/>
        <v>46507</v>
      </c>
      <c r="G16" s="140">
        <f t="shared" si="2"/>
        <v>46599</v>
      </c>
      <c r="H16" s="126">
        <f t="shared" si="3"/>
        <v>92</v>
      </c>
      <c r="I16" s="126">
        <f t="shared" si="4"/>
        <v>111539035.61643834</v>
      </c>
    </row>
    <row r="17" spans="1:10" ht="20.100000000000001" customHeight="1" x14ac:dyDescent="0.4">
      <c r="A17" s="125">
        <v>46691</v>
      </c>
      <c r="B17" s="126"/>
      <c r="C17" s="126">
        <v>820000000</v>
      </c>
      <c r="D17" s="126">
        <f t="shared" si="0"/>
        <v>4107000000</v>
      </c>
      <c r="E17" s="127">
        <v>7.6999999999999999E-2</v>
      </c>
      <c r="F17" s="129">
        <f t="shared" si="1"/>
        <v>46599</v>
      </c>
      <c r="G17" s="140">
        <f t="shared" si="2"/>
        <v>46691</v>
      </c>
      <c r="H17" s="126">
        <f t="shared" si="3"/>
        <v>92</v>
      </c>
      <c r="I17" s="126">
        <f t="shared" si="4"/>
        <v>95624295.89041096</v>
      </c>
    </row>
    <row r="18" spans="1:10" ht="20.100000000000001" customHeight="1" x14ac:dyDescent="0.4">
      <c r="A18" s="125">
        <v>46783</v>
      </c>
      <c r="B18" s="126"/>
      <c r="C18" s="126">
        <v>820000000</v>
      </c>
      <c r="D18" s="126">
        <f t="shared" si="0"/>
        <v>3287000000</v>
      </c>
      <c r="E18" s="127">
        <v>7.6999999999999999E-2</v>
      </c>
      <c r="F18" s="129">
        <f t="shared" si="1"/>
        <v>46691</v>
      </c>
      <c r="G18" s="140">
        <f t="shared" si="2"/>
        <v>46783</v>
      </c>
      <c r="H18" s="126">
        <f t="shared" si="3"/>
        <v>92</v>
      </c>
      <c r="I18" s="126">
        <f t="shared" si="4"/>
        <v>79709556.16438356</v>
      </c>
    </row>
    <row r="19" spans="1:10" ht="20.100000000000001" customHeight="1" x14ac:dyDescent="0.4">
      <c r="A19" s="125">
        <v>46873</v>
      </c>
      <c r="B19" s="126"/>
      <c r="C19" s="126">
        <v>820000000</v>
      </c>
      <c r="D19" s="126">
        <f>D18-C19</f>
        <v>2467000000</v>
      </c>
      <c r="E19" s="127">
        <v>7.6999999999999999E-2</v>
      </c>
      <c r="F19" s="129">
        <f t="shared" si="1"/>
        <v>46783</v>
      </c>
      <c r="G19" s="140">
        <f t="shared" si="2"/>
        <v>46873</v>
      </c>
      <c r="H19" s="126">
        <f t="shared" si="3"/>
        <v>90</v>
      </c>
      <c r="I19" s="126">
        <f t="shared" si="4"/>
        <v>62407972.602739729</v>
      </c>
    </row>
    <row r="20" spans="1:10" ht="20.100000000000001" customHeight="1" x14ac:dyDescent="0.4">
      <c r="A20" s="125">
        <v>46965</v>
      </c>
      <c r="B20" s="126"/>
      <c r="C20" s="126">
        <v>820000000</v>
      </c>
      <c r="D20" s="126">
        <f>D19-C20</f>
        <v>1647000000</v>
      </c>
      <c r="E20" s="127">
        <v>7.6999999999999999E-2</v>
      </c>
      <c r="F20" s="129">
        <f t="shared" si="1"/>
        <v>46873</v>
      </c>
      <c r="G20" s="140">
        <f t="shared" si="2"/>
        <v>46965</v>
      </c>
      <c r="H20" s="126">
        <f t="shared" si="3"/>
        <v>92</v>
      </c>
      <c r="I20" s="126">
        <f t="shared" si="4"/>
        <v>47880076.712328769</v>
      </c>
    </row>
    <row r="21" spans="1:10" ht="20.100000000000001" customHeight="1" x14ac:dyDescent="0.4">
      <c r="A21" s="125">
        <v>47057</v>
      </c>
      <c r="B21" s="126"/>
      <c r="C21" s="126">
        <v>820000000</v>
      </c>
      <c r="D21" s="126">
        <f>D20-C21</f>
        <v>827000000</v>
      </c>
      <c r="E21" s="127">
        <v>7.6999999999999999E-2</v>
      </c>
      <c r="F21" s="129">
        <f t="shared" si="1"/>
        <v>46965</v>
      </c>
      <c r="G21" s="140">
        <f t="shared" si="2"/>
        <v>47057</v>
      </c>
      <c r="H21" s="126">
        <f t="shared" si="3"/>
        <v>92</v>
      </c>
      <c r="I21" s="126">
        <f>D20*E20/365*H21</f>
        <v>31965336.98630137</v>
      </c>
    </row>
    <row r="22" spans="1:10" ht="15.4" x14ac:dyDescent="0.4">
      <c r="A22" s="125">
        <v>47149</v>
      </c>
      <c r="B22" s="126"/>
      <c r="C22" s="126">
        <v>827000000</v>
      </c>
      <c r="D22" s="126">
        <f>D21-C22</f>
        <v>0</v>
      </c>
      <c r="E22" s="127">
        <v>7.6999999999999999E-2</v>
      </c>
      <c r="F22" s="129">
        <f t="shared" si="1"/>
        <v>47057</v>
      </c>
      <c r="G22" s="140">
        <f t="shared" si="2"/>
        <v>47149</v>
      </c>
      <c r="H22" s="126">
        <f t="shared" si="3"/>
        <v>92</v>
      </c>
      <c r="I22" s="126">
        <f>D21*E21/365*H22</f>
        <v>16050597.260273974</v>
      </c>
    </row>
    <row r="24" spans="1:10" x14ac:dyDescent="0.4">
      <c r="A24" s="119" t="s">
        <v>333</v>
      </c>
      <c r="C24" s="120">
        <f>-SUM(C10:C13)/10^6</f>
        <v>-3280</v>
      </c>
      <c r="I24" s="120">
        <f>-SUM(I10:I13)/10^6</f>
        <v>-814.07402191780818</v>
      </c>
      <c r="J24" s="142">
        <f>I24/12</f>
        <v>-67.83950182648401</v>
      </c>
    </row>
    <row r="25" spans="1:10" x14ac:dyDescent="0.4">
      <c r="A25" s="119" t="s">
        <v>423</v>
      </c>
      <c r="C25" s="120">
        <f>-SUM(C6:C9)/10^6</f>
        <v>-2840</v>
      </c>
      <c r="I25" s="120">
        <f>-SUM(I6:I9)/10^6</f>
        <v>-646.10038356164398</v>
      </c>
    </row>
  </sheetData>
  <mergeCells count="7">
    <mergeCell ref="I3:I4"/>
    <mergeCell ref="A3:A4"/>
    <mergeCell ref="B3:B4"/>
    <mergeCell ref="C3:C4"/>
    <mergeCell ref="D3:D4"/>
    <mergeCell ref="E3:E4"/>
    <mergeCell ref="F3:H3"/>
  </mergeCells>
  <pageMargins left="0.7" right="0.7" top="0.75" bottom="0.75" header="0.3" footer="0.3"/>
  <pageSetup orientation="portrait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D3DE-3AF3-4CCA-B889-55C2048A5C32}">
  <sheetPr>
    <tabColor rgb="FF00B0F0"/>
  </sheetPr>
  <dimension ref="A1:L29"/>
  <sheetViews>
    <sheetView workbookViewId="0">
      <selection activeCell="E13" sqref="E13"/>
    </sheetView>
  </sheetViews>
  <sheetFormatPr defaultColWidth="8.73046875" defaultRowHeight="13.9" x14ac:dyDescent="0.4"/>
  <cols>
    <col min="1" max="1" width="15.59765625" style="119" customWidth="1"/>
    <col min="2" max="4" width="15.59765625" style="120" customWidth="1"/>
    <col min="5" max="5" width="12.73046875" style="121" customWidth="1"/>
    <col min="6" max="6" width="16" style="122" customWidth="1"/>
    <col min="7" max="7" width="18.59765625" style="122" customWidth="1"/>
    <col min="8" max="8" width="14.86328125" style="122" customWidth="1"/>
    <col min="9" max="9" width="17.1328125" style="120" customWidth="1"/>
    <col min="10" max="10" width="15.1328125" style="122" bestFit="1" customWidth="1"/>
    <col min="11" max="11" width="8.73046875" style="122"/>
    <col min="12" max="12" width="15.1328125" style="122" bestFit="1" customWidth="1"/>
    <col min="13" max="16384" width="8.73046875" style="122"/>
  </cols>
  <sheetData>
    <row r="1" spans="1:12" x14ac:dyDescent="0.4">
      <c r="A1" s="119" t="s">
        <v>170</v>
      </c>
    </row>
    <row r="3" spans="1:12" ht="20.100000000000001" customHeight="1" x14ac:dyDescent="0.4">
      <c r="A3" s="626" t="s">
        <v>226</v>
      </c>
      <c r="B3" s="624" t="s">
        <v>227</v>
      </c>
      <c r="C3" s="628" t="s">
        <v>228</v>
      </c>
      <c r="D3" s="628" t="s">
        <v>229</v>
      </c>
      <c r="E3" s="630" t="s">
        <v>230</v>
      </c>
      <c r="F3" s="632" t="s">
        <v>231</v>
      </c>
      <c r="G3" s="633"/>
      <c r="H3" s="634"/>
      <c r="I3" s="624" t="s">
        <v>232</v>
      </c>
    </row>
    <row r="4" spans="1:12" ht="20.100000000000001" customHeight="1" x14ac:dyDescent="0.4">
      <c r="A4" s="636"/>
      <c r="B4" s="635"/>
      <c r="C4" s="637"/>
      <c r="D4" s="637"/>
      <c r="E4" s="638"/>
      <c r="F4" s="135" t="s">
        <v>233</v>
      </c>
      <c r="G4" s="135" t="s">
        <v>234</v>
      </c>
      <c r="H4" s="135" t="s">
        <v>235</v>
      </c>
      <c r="I4" s="635"/>
    </row>
    <row r="5" spans="1:12" ht="20.100000000000001" customHeight="1" x14ac:dyDescent="0.45">
      <c r="A5" s="136">
        <v>45575</v>
      </c>
      <c r="B5" s="126">
        <f>8600000000</f>
        <v>8600000000</v>
      </c>
      <c r="C5" s="126"/>
      <c r="D5" s="126">
        <f>B5-C5</f>
        <v>8600000000</v>
      </c>
      <c r="E5" s="127"/>
      <c r="F5" s="137"/>
      <c r="G5" s="137"/>
      <c r="H5" s="137"/>
      <c r="I5" s="126">
        <f>H5*E5*D5/365*90</f>
        <v>0</v>
      </c>
      <c r="J5" s="122" t="s">
        <v>236</v>
      </c>
    </row>
    <row r="6" spans="1:12" ht="20.100000000000001" customHeight="1" x14ac:dyDescent="0.45">
      <c r="A6" s="136">
        <v>45603</v>
      </c>
      <c r="B6" s="126">
        <f>2150000000</f>
        <v>2150000000</v>
      </c>
      <c r="C6" s="126"/>
      <c r="D6" s="126">
        <f>D5+B6</f>
        <v>10750000000</v>
      </c>
      <c r="E6" s="127"/>
      <c r="F6" s="137"/>
      <c r="G6" s="137"/>
      <c r="H6" s="137"/>
      <c r="I6" s="126"/>
    </row>
    <row r="7" spans="1:12" ht="20.100000000000001" customHeight="1" x14ac:dyDescent="0.45">
      <c r="A7" s="136">
        <v>45863</v>
      </c>
      <c r="B7" s="126"/>
      <c r="C7" s="139">
        <v>537500000</v>
      </c>
      <c r="D7" s="126">
        <f>D6</f>
        <v>10750000000</v>
      </c>
      <c r="E7" s="127">
        <v>6.9000000000000006E-2</v>
      </c>
      <c r="F7" s="136">
        <f>A5</f>
        <v>45575</v>
      </c>
      <c r="G7" s="136">
        <f>A7</f>
        <v>45863</v>
      </c>
      <c r="H7" s="137">
        <f>G7-F7</f>
        <v>288</v>
      </c>
      <c r="I7" s="126">
        <f>B5*E7*H7/365+B6*E7*(G7-A6)/365</f>
        <v>573890958.9041096</v>
      </c>
      <c r="J7" s="136">
        <v>45658</v>
      </c>
      <c r="K7" s="122">
        <f>G7-J7</f>
        <v>205</v>
      </c>
      <c r="L7" s="141">
        <f>E7*D7*K7/365</f>
        <v>416599315.06849325</v>
      </c>
    </row>
    <row r="8" spans="1:12" ht="20.45" customHeight="1" x14ac:dyDescent="0.45">
      <c r="A8" s="136">
        <v>45955</v>
      </c>
      <c r="B8" s="126"/>
      <c r="C8" s="139">
        <v>537500000</v>
      </c>
      <c r="D8" s="126">
        <f>D7-C7</f>
        <v>10212500000</v>
      </c>
      <c r="E8" s="127">
        <v>6.9000000000000006E-2</v>
      </c>
      <c r="F8" s="136">
        <f>A7</f>
        <v>45863</v>
      </c>
      <c r="G8" s="136">
        <f>A8</f>
        <v>45955</v>
      </c>
      <c r="H8" s="137">
        <f t="shared" ref="H8:H26" si="0">G8-F8</f>
        <v>92</v>
      </c>
      <c r="I8" s="126">
        <f t="shared" ref="I8:I26" si="1">D8*E8*H8/365</f>
        <v>177613561.6438356</v>
      </c>
      <c r="J8" s="142"/>
      <c r="L8" s="120">
        <f>L7+I8</f>
        <v>594212876.71232891</v>
      </c>
    </row>
    <row r="9" spans="1:12" ht="20.100000000000001" customHeight="1" x14ac:dyDescent="0.45">
      <c r="A9" s="186">
        <v>46047</v>
      </c>
      <c r="B9" s="182"/>
      <c r="C9" s="187">
        <v>537500000</v>
      </c>
      <c r="D9" s="182">
        <f t="shared" ref="D9:D26" si="2">D8-C8</f>
        <v>9675000000</v>
      </c>
      <c r="E9" s="183">
        <v>6.9000000000000006E-2</v>
      </c>
      <c r="F9" s="186">
        <f t="shared" ref="F9:F25" si="3">A8</f>
        <v>45955</v>
      </c>
      <c r="G9" s="186">
        <f t="shared" ref="G9:G26" si="4">A9</f>
        <v>46047</v>
      </c>
      <c r="H9" s="188">
        <f t="shared" si="0"/>
        <v>92</v>
      </c>
      <c r="I9" s="182">
        <f t="shared" si="1"/>
        <v>168265479.4520548</v>
      </c>
      <c r="J9" s="141"/>
      <c r="L9" s="120"/>
    </row>
    <row r="10" spans="1:12" ht="20.100000000000001" customHeight="1" x14ac:dyDescent="0.45">
      <c r="A10" s="186">
        <v>46137</v>
      </c>
      <c r="B10" s="182"/>
      <c r="C10" s="187">
        <v>537500000</v>
      </c>
      <c r="D10" s="182">
        <f t="shared" si="2"/>
        <v>9137500000</v>
      </c>
      <c r="E10" s="183">
        <v>0.09</v>
      </c>
      <c r="F10" s="186">
        <f t="shared" si="3"/>
        <v>46047</v>
      </c>
      <c r="G10" s="186">
        <f t="shared" si="4"/>
        <v>46137</v>
      </c>
      <c r="H10" s="188">
        <f t="shared" si="0"/>
        <v>90</v>
      </c>
      <c r="I10" s="182">
        <f t="shared" si="1"/>
        <v>202777397.26027396</v>
      </c>
      <c r="L10" s="134"/>
    </row>
    <row r="11" spans="1:12" ht="20.100000000000001" customHeight="1" x14ac:dyDescent="0.45">
      <c r="A11" s="186">
        <v>46228</v>
      </c>
      <c r="B11" s="182"/>
      <c r="C11" s="187">
        <v>537500000</v>
      </c>
      <c r="D11" s="182">
        <f t="shared" si="2"/>
        <v>8600000000</v>
      </c>
      <c r="E11" s="183">
        <v>0.09</v>
      </c>
      <c r="F11" s="186">
        <f t="shared" si="3"/>
        <v>46137</v>
      </c>
      <c r="G11" s="186">
        <f t="shared" si="4"/>
        <v>46228</v>
      </c>
      <c r="H11" s="188">
        <f t="shared" si="0"/>
        <v>91</v>
      </c>
      <c r="I11" s="182">
        <f t="shared" si="1"/>
        <v>192969863.01369864</v>
      </c>
      <c r="J11" s="142"/>
      <c r="L11" s="120"/>
    </row>
    <row r="12" spans="1:12" ht="20.100000000000001" customHeight="1" x14ac:dyDescent="0.45">
      <c r="A12" s="186">
        <v>46320</v>
      </c>
      <c r="B12" s="182"/>
      <c r="C12" s="187">
        <v>537500000</v>
      </c>
      <c r="D12" s="182">
        <f t="shared" si="2"/>
        <v>8062500000</v>
      </c>
      <c r="E12" s="183">
        <v>0.09</v>
      </c>
      <c r="F12" s="186">
        <f t="shared" si="3"/>
        <v>46228</v>
      </c>
      <c r="G12" s="186">
        <f t="shared" si="4"/>
        <v>46320</v>
      </c>
      <c r="H12" s="188">
        <f t="shared" si="0"/>
        <v>92</v>
      </c>
      <c r="I12" s="182">
        <f t="shared" si="1"/>
        <v>182897260.2739726</v>
      </c>
      <c r="J12" s="141"/>
    </row>
    <row r="13" spans="1:12" ht="20.100000000000001" customHeight="1" x14ac:dyDescent="0.45">
      <c r="A13" s="136">
        <v>46412</v>
      </c>
      <c r="B13" s="126"/>
      <c r="C13" s="139">
        <v>537500000</v>
      </c>
      <c r="D13" s="126">
        <f t="shared" si="2"/>
        <v>7525000000</v>
      </c>
      <c r="E13" s="127">
        <v>6.9000000000000006E-2</v>
      </c>
      <c r="F13" s="136">
        <f t="shared" si="3"/>
        <v>46320</v>
      </c>
      <c r="G13" s="136">
        <f t="shared" si="4"/>
        <v>46412</v>
      </c>
      <c r="H13" s="137">
        <f t="shared" si="0"/>
        <v>92</v>
      </c>
      <c r="I13" s="126">
        <f t="shared" si="1"/>
        <v>130873150.68493153</v>
      </c>
      <c r="J13" s="141"/>
    </row>
    <row r="14" spans="1:12" ht="20.100000000000001" customHeight="1" x14ac:dyDescent="0.45">
      <c r="A14" s="136">
        <v>46502</v>
      </c>
      <c r="B14" s="126"/>
      <c r="C14" s="139">
        <v>537500000</v>
      </c>
      <c r="D14" s="126">
        <f t="shared" si="2"/>
        <v>6987500000</v>
      </c>
      <c r="E14" s="127">
        <v>6.9000000000000006E-2</v>
      </c>
      <c r="F14" s="136">
        <f t="shared" si="3"/>
        <v>46412</v>
      </c>
      <c r="G14" s="136">
        <f t="shared" si="4"/>
        <v>46502</v>
      </c>
      <c r="H14" s="137">
        <f t="shared" si="0"/>
        <v>90</v>
      </c>
      <c r="I14" s="126">
        <f t="shared" si="1"/>
        <v>118883219.17808221</v>
      </c>
    </row>
    <row r="15" spans="1:12" ht="20.100000000000001" customHeight="1" x14ac:dyDescent="0.45">
      <c r="A15" s="136">
        <v>46593</v>
      </c>
      <c r="B15" s="126"/>
      <c r="C15" s="139">
        <v>537500000</v>
      </c>
      <c r="D15" s="126">
        <f t="shared" si="2"/>
        <v>6450000000</v>
      </c>
      <c r="E15" s="127">
        <v>6.9000000000000006E-2</v>
      </c>
      <c r="F15" s="136">
        <f t="shared" si="3"/>
        <v>46502</v>
      </c>
      <c r="G15" s="136">
        <f t="shared" si="4"/>
        <v>46593</v>
      </c>
      <c r="H15" s="137">
        <f t="shared" si="0"/>
        <v>91</v>
      </c>
      <c r="I15" s="126">
        <f t="shared" si="1"/>
        <v>110957671.23287673</v>
      </c>
    </row>
    <row r="16" spans="1:12" ht="20.100000000000001" customHeight="1" x14ac:dyDescent="0.45">
      <c r="A16" s="136">
        <v>46685</v>
      </c>
      <c r="B16" s="126"/>
      <c r="C16" s="139">
        <v>537500000</v>
      </c>
      <c r="D16" s="126">
        <f t="shared" si="2"/>
        <v>5912500000</v>
      </c>
      <c r="E16" s="127">
        <v>6.9000000000000006E-2</v>
      </c>
      <c r="F16" s="136">
        <f t="shared" si="3"/>
        <v>46593</v>
      </c>
      <c r="G16" s="136">
        <f t="shared" si="4"/>
        <v>46685</v>
      </c>
      <c r="H16" s="137">
        <f t="shared" si="0"/>
        <v>92</v>
      </c>
      <c r="I16" s="126">
        <f t="shared" si="1"/>
        <v>102828904.10958906</v>
      </c>
    </row>
    <row r="17" spans="1:9" ht="20.100000000000001" customHeight="1" x14ac:dyDescent="0.45">
      <c r="A17" s="136">
        <v>46777</v>
      </c>
      <c r="B17" s="126"/>
      <c r="C17" s="139">
        <v>537500000</v>
      </c>
      <c r="D17" s="126">
        <f t="shared" si="2"/>
        <v>5375000000</v>
      </c>
      <c r="E17" s="127">
        <v>6.9000000000000006E-2</v>
      </c>
      <c r="F17" s="136">
        <f t="shared" si="3"/>
        <v>46685</v>
      </c>
      <c r="G17" s="136">
        <f t="shared" si="4"/>
        <v>46777</v>
      </c>
      <c r="H17" s="137">
        <f t="shared" si="0"/>
        <v>92</v>
      </c>
      <c r="I17" s="126">
        <f t="shared" si="1"/>
        <v>93480821.917808235</v>
      </c>
    </row>
    <row r="18" spans="1:9" ht="20.100000000000001" customHeight="1" x14ac:dyDescent="0.45">
      <c r="A18" s="136">
        <v>46868</v>
      </c>
      <c r="B18" s="126"/>
      <c r="C18" s="139">
        <v>537500000</v>
      </c>
      <c r="D18" s="126">
        <f t="shared" si="2"/>
        <v>4837500000</v>
      </c>
      <c r="E18" s="127">
        <v>6.9000000000000006E-2</v>
      </c>
      <c r="F18" s="136">
        <f t="shared" si="3"/>
        <v>46777</v>
      </c>
      <c r="G18" s="136">
        <f t="shared" si="4"/>
        <v>46868</v>
      </c>
      <c r="H18" s="137">
        <f t="shared" si="0"/>
        <v>91</v>
      </c>
      <c r="I18" s="126">
        <f t="shared" si="1"/>
        <v>83218253.424657539</v>
      </c>
    </row>
    <row r="19" spans="1:9" ht="20.100000000000001" customHeight="1" x14ac:dyDescent="0.45">
      <c r="A19" s="136">
        <v>46959</v>
      </c>
      <c r="B19" s="126"/>
      <c r="C19" s="139">
        <v>537500000</v>
      </c>
      <c r="D19" s="126">
        <f t="shared" si="2"/>
        <v>4300000000</v>
      </c>
      <c r="E19" s="127">
        <v>6.9000000000000006E-2</v>
      </c>
      <c r="F19" s="136">
        <f t="shared" si="3"/>
        <v>46868</v>
      </c>
      <c r="G19" s="136">
        <f t="shared" si="4"/>
        <v>46959</v>
      </c>
      <c r="H19" s="137">
        <f t="shared" si="0"/>
        <v>91</v>
      </c>
      <c r="I19" s="126">
        <f t="shared" si="1"/>
        <v>73971780.821917802</v>
      </c>
    </row>
    <row r="20" spans="1:9" ht="20.100000000000001" customHeight="1" x14ac:dyDescent="0.45">
      <c r="A20" s="136">
        <v>47051</v>
      </c>
      <c r="B20" s="126"/>
      <c r="C20" s="139">
        <v>537500000</v>
      </c>
      <c r="D20" s="126">
        <f t="shared" si="2"/>
        <v>3762500000</v>
      </c>
      <c r="E20" s="127">
        <v>6.9000000000000006E-2</v>
      </c>
      <c r="F20" s="136">
        <f t="shared" si="3"/>
        <v>46959</v>
      </c>
      <c r="G20" s="136">
        <f t="shared" si="4"/>
        <v>47051</v>
      </c>
      <c r="H20" s="137">
        <f t="shared" si="0"/>
        <v>92</v>
      </c>
      <c r="I20" s="126">
        <f t="shared" si="1"/>
        <v>65436575.342465766</v>
      </c>
    </row>
    <row r="21" spans="1:9" ht="20.100000000000001" customHeight="1" x14ac:dyDescent="0.45">
      <c r="A21" s="136">
        <v>47143</v>
      </c>
      <c r="B21" s="126"/>
      <c r="C21" s="139">
        <v>537500000</v>
      </c>
      <c r="D21" s="126">
        <f t="shared" si="2"/>
        <v>3225000000</v>
      </c>
      <c r="E21" s="127">
        <v>6.9000000000000006E-2</v>
      </c>
      <c r="F21" s="136">
        <f t="shared" si="3"/>
        <v>47051</v>
      </c>
      <c r="G21" s="136">
        <f t="shared" si="4"/>
        <v>47143</v>
      </c>
      <c r="H21" s="137">
        <f t="shared" si="0"/>
        <v>92</v>
      </c>
      <c r="I21" s="126">
        <f t="shared" si="1"/>
        <v>56088493.150684945</v>
      </c>
    </row>
    <row r="22" spans="1:9" ht="20.100000000000001" customHeight="1" x14ac:dyDescent="0.45">
      <c r="A22" s="136">
        <v>47233</v>
      </c>
      <c r="B22" s="126"/>
      <c r="C22" s="139">
        <v>537500000</v>
      </c>
      <c r="D22" s="126">
        <f t="shared" si="2"/>
        <v>2687500000</v>
      </c>
      <c r="E22" s="127">
        <v>6.9000000000000006E-2</v>
      </c>
      <c r="F22" s="136">
        <f t="shared" si="3"/>
        <v>47143</v>
      </c>
      <c r="G22" s="136">
        <f t="shared" si="4"/>
        <v>47233</v>
      </c>
      <c r="H22" s="137">
        <f t="shared" si="0"/>
        <v>90</v>
      </c>
      <c r="I22" s="126">
        <f t="shared" si="1"/>
        <v>45724315.068493158</v>
      </c>
    </row>
    <row r="23" spans="1:9" ht="15.4" x14ac:dyDescent="0.45">
      <c r="A23" s="136">
        <v>47324</v>
      </c>
      <c r="C23" s="139">
        <v>537500000</v>
      </c>
      <c r="D23" s="126">
        <f t="shared" si="2"/>
        <v>2150000000</v>
      </c>
      <c r="E23" s="127">
        <v>6.9000000000000006E-2</v>
      </c>
      <c r="F23" s="136">
        <f t="shared" si="3"/>
        <v>47233</v>
      </c>
      <c r="G23" s="136">
        <f t="shared" si="4"/>
        <v>47324</v>
      </c>
      <c r="H23" s="137">
        <f t="shared" si="0"/>
        <v>91</v>
      </c>
      <c r="I23" s="126">
        <f t="shared" si="1"/>
        <v>36985890.410958901</v>
      </c>
    </row>
    <row r="24" spans="1:9" ht="15.4" x14ac:dyDescent="0.45">
      <c r="A24" s="136">
        <v>47416</v>
      </c>
      <c r="C24" s="139">
        <v>537500000</v>
      </c>
      <c r="D24" s="126">
        <f t="shared" si="2"/>
        <v>1612500000</v>
      </c>
      <c r="E24" s="127">
        <v>6.9000000000000006E-2</v>
      </c>
      <c r="F24" s="136">
        <f t="shared" si="3"/>
        <v>47324</v>
      </c>
      <c r="G24" s="136">
        <f t="shared" si="4"/>
        <v>47416</v>
      </c>
      <c r="H24" s="137">
        <f t="shared" si="0"/>
        <v>92</v>
      </c>
      <c r="I24" s="126">
        <f t="shared" si="1"/>
        <v>28044246.575342473</v>
      </c>
    </row>
    <row r="25" spans="1:9" ht="15.4" x14ac:dyDescent="0.45">
      <c r="A25" s="136">
        <v>47508</v>
      </c>
      <c r="C25" s="139">
        <v>537500000</v>
      </c>
      <c r="D25" s="126">
        <f t="shared" si="2"/>
        <v>1075000000</v>
      </c>
      <c r="E25" s="127">
        <v>6.9000000000000006E-2</v>
      </c>
      <c r="F25" s="136">
        <f t="shared" si="3"/>
        <v>47416</v>
      </c>
      <c r="G25" s="136">
        <f t="shared" si="4"/>
        <v>47508</v>
      </c>
      <c r="H25" s="137">
        <f t="shared" si="0"/>
        <v>92</v>
      </c>
      <c r="I25" s="126">
        <f t="shared" si="1"/>
        <v>18696164.383561645</v>
      </c>
    </row>
    <row r="26" spans="1:9" ht="15.4" x14ac:dyDescent="0.45">
      <c r="A26" s="136">
        <v>47583</v>
      </c>
      <c r="C26" s="139">
        <v>537500000</v>
      </c>
      <c r="D26" s="126">
        <f t="shared" si="2"/>
        <v>537500000</v>
      </c>
      <c r="E26" s="127">
        <v>6.9000000000000006E-2</v>
      </c>
      <c r="F26" s="136">
        <f>A25</f>
        <v>47508</v>
      </c>
      <c r="G26" s="136">
        <f t="shared" si="4"/>
        <v>47583</v>
      </c>
      <c r="H26" s="137">
        <f t="shared" si="0"/>
        <v>75</v>
      </c>
      <c r="I26" s="126">
        <f t="shared" si="1"/>
        <v>7620719.1780821914</v>
      </c>
    </row>
    <row r="28" spans="1:9" x14ac:dyDescent="0.4">
      <c r="A28" s="119" t="s">
        <v>424</v>
      </c>
      <c r="C28" s="120">
        <f>-SUM(C9:C12)/10^6</f>
        <v>-2150</v>
      </c>
      <c r="I28" s="120">
        <f>-SUM(I9:I12)/10^6</f>
        <v>-746.91000000000008</v>
      </c>
    </row>
    <row r="29" spans="1:9" x14ac:dyDescent="0.4">
      <c r="A29" s="119" t="s">
        <v>425</v>
      </c>
      <c r="I29" s="120">
        <f>-L8/10^6</f>
        <v>-594.21287671232892</v>
      </c>
    </row>
  </sheetData>
  <mergeCells count="7">
    <mergeCell ref="I3:I4"/>
    <mergeCell ref="A3:A4"/>
    <mergeCell ref="B3:B4"/>
    <mergeCell ref="C3:C4"/>
    <mergeCell ref="D3:D4"/>
    <mergeCell ref="E3:E4"/>
    <mergeCell ref="F3:H3"/>
  </mergeCells>
  <pageMargins left="0.7" right="0.7" top="0.75" bottom="0.75" header="0.3" footer="0.3"/>
  <pageSetup orientation="portrait" horizontalDpi="0" verticalDpi="0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C1AE5-CF9A-4C41-8908-E38B7855FE9E}">
  <sheetPr>
    <tabColor rgb="FF00B0F0"/>
  </sheetPr>
  <dimension ref="A1:K29"/>
  <sheetViews>
    <sheetView workbookViewId="0">
      <selection activeCell="E11" sqref="E11"/>
    </sheetView>
  </sheetViews>
  <sheetFormatPr defaultColWidth="8.73046875" defaultRowHeight="13.9" x14ac:dyDescent="0.4"/>
  <cols>
    <col min="1" max="1" width="15.59765625" style="119" customWidth="1"/>
    <col min="2" max="4" width="15.59765625" style="120" customWidth="1"/>
    <col min="5" max="5" width="12.73046875" style="121" customWidth="1"/>
    <col min="6" max="6" width="17.73046875" style="122" customWidth="1"/>
    <col min="7" max="7" width="20" style="122" customWidth="1"/>
    <col min="8" max="8" width="12.86328125" style="122" customWidth="1"/>
    <col min="9" max="9" width="17.1328125" style="122" customWidth="1"/>
    <col min="10" max="10" width="16.1328125" style="122" bestFit="1" customWidth="1"/>
    <col min="11" max="11" width="14" style="122" bestFit="1" customWidth="1"/>
    <col min="12" max="16384" width="8.73046875" style="122"/>
  </cols>
  <sheetData>
    <row r="1" spans="1:11" x14ac:dyDescent="0.4">
      <c r="A1" s="119" t="s">
        <v>170</v>
      </c>
    </row>
    <row r="3" spans="1:11" ht="20.100000000000001" customHeight="1" x14ac:dyDescent="0.4">
      <c r="A3" s="626" t="s">
        <v>226</v>
      </c>
      <c r="B3" s="624" t="s">
        <v>227</v>
      </c>
      <c r="C3" s="628" t="s">
        <v>228</v>
      </c>
      <c r="D3" s="628" t="s">
        <v>229</v>
      </c>
      <c r="E3" s="630" t="s">
        <v>230</v>
      </c>
      <c r="F3" s="632" t="s">
        <v>231</v>
      </c>
      <c r="G3" s="633"/>
      <c r="H3" s="634"/>
      <c r="I3" s="639" t="s">
        <v>232</v>
      </c>
    </row>
    <row r="4" spans="1:11" ht="20.100000000000001" customHeight="1" x14ac:dyDescent="0.4">
      <c r="A4" s="636"/>
      <c r="B4" s="635"/>
      <c r="C4" s="637"/>
      <c r="D4" s="637"/>
      <c r="E4" s="638"/>
      <c r="F4" s="135" t="s">
        <v>233</v>
      </c>
      <c r="G4" s="135" t="s">
        <v>234</v>
      </c>
      <c r="H4" s="135" t="s">
        <v>235</v>
      </c>
      <c r="I4" s="640"/>
    </row>
    <row r="5" spans="1:11" ht="20.100000000000001" customHeight="1" x14ac:dyDescent="0.45">
      <c r="A5" s="136">
        <v>45737</v>
      </c>
      <c r="B5" s="126">
        <f>8150000000+2030000000</f>
        <v>10180000000</v>
      </c>
      <c r="C5" s="126"/>
      <c r="D5" s="126">
        <f>B5-C5</f>
        <v>10180000000</v>
      </c>
      <c r="E5" s="127"/>
      <c r="F5" s="137"/>
      <c r="G5" s="137"/>
      <c r="H5" s="137"/>
      <c r="I5" s="138">
        <f>H5*E5*D5/365*90</f>
        <v>0</v>
      </c>
      <c r="J5" s="122" t="s">
        <v>146</v>
      </c>
    </row>
    <row r="6" spans="1:11" ht="20.100000000000001" customHeight="1" x14ac:dyDescent="0.45">
      <c r="A6" s="136">
        <v>45986</v>
      </c>
      <c r="B6" s="126"/>
      <c r="C6" s="139">
        <v>509000000</v>
      </c>
      <c r="D6" s="126">
        <f>B5</f>
        <v>10180000000</v>
      </c>
      <c r="E6" s="127">
        <v>7.0000000000000007E-2</v>
      </c>
      <c r="F6" s="140">
        <f>A5</f>
        <v>45737</v>
      </c>
      <c r="G6" s="140">
        <f>A6</f>
        <v>45986</v>
      </c>
      <c r="H6" s="137">
        <f>G6-F6</f>
        <v>249</v>
      </c>
      <c r="I6" s="126">
        <f>D6*E6*H6/365</f>
        <v>486129863.0136987</v>
      </c>
    </row>
    <row r="7" spans="1:11" ht="20.45" customHeight="1" x14ac:dyDescent="0.45">
      <c r="A7" s="186">
        <v>46078</v>
      </c>
      <c r="B7" s="182"/>
      <c r="C7" s="187">
        <v>509000000</v>
      </c>
      <c r="D7" s="182">
        <f>D6-C6</f>
        <v>9671000000</v>
      </c>
      <c r="E7" s="183">
        <v>7.0000000000000007E-2</v>
      </c>
      <c r="F7" s="185">
        <f>A6</f>
        <v>45986</v>
      </c>
      <c r="G7" s="185">
        <f>A7</f>
        <v>46078</v>
      </c>
      <c r="H7" s="188">
        <f t="shared" ref="H7:H25" si="0">G7-F7</f>
        <v>92</v>
      </c>
      <c r="I7" s="182">
        <f t="shared" ref="I7:I25" si="1">D7*E7*H7/365</f>
        <v>170633534.24657536</v>
      </c>
      <c r="J7" s="134"/>
      <c r="K7" s="134"/>
    </row>
    <row r="8" spans="1:11" ht="20.100000000000001" customHeight="1" x14ac:dyDescent="0.45">
      <c r="A8" s="186">
        <v>46167</v>
      </c>
      <c r="B8" s="182"/>
      <c r="C8" s="187">
        <v>509000000</v>
      </c>
      <c r="D8" s="182">
        <f>D7-C7</f>
        <v>9162000000</v>
      </c>
      <c r="E8" s="183">
        <v>0.09</v>
      </c>
      <c r="F8" s="185">
        <f t="shared" ref="F8:F25" si="2">A7</f>
        <v>46078</v>
      </c>
      <c r="G8" s="185">
        <f t="shared" ref="G8:G25" si="3">A8</f>
        <v>46167</v>
      </c>
      <c r="H8" s="188">
        <f t="shared" si="0"/>
        <v>89</v>
      </c>
      <c r="I8" s="182">
        <f t="shared" si="1"/>
        <v>201061972.60273972</v>
      </c>
      <c r="J8" s="141"/>
      <c r="K8" s="134"/>
    </row>
    <row r="9" spans="1:11" ht="20.100000000000001" customHeight="1" x14ac:dyDescent="0.45">
      <c r="A9" s="186">
        <v>46259</v>
      </c>
      <c r="B9" s="182"/>
      <c r="C9" s="187">
        <v>509000000</v>
      </c>
      <c r="D9" s="182">
        <f t="shared" ref="D9:D25" si="4">D8-C8</f>
        <v>8653000000</v>
      </c>
      <c r="E9" s="183">
        <v>0.09</v>
      </c>
      <c r="F9" s="185">
        <f t="shared" si="2"/>
        <v>46167</v>
      </c>
      <c r="G9" s="185">
        <f t="shared" si="3"/>
        <v>46259</v>
      </c>
      <c r="H9" s="188">
        <f t="shared" si="0"/>
        <v>92</v>
      </c>
      <c r="I9" s="182">
        <f t="shared" si="1"/>
        <v>196292712.32876712</v>
      </c>
    </row>
    <row r="10" spans="1:11" ht="20.100000000000001" customHeight="1" x14ac:dyDescent="0.45">
      <c r="A10" s="186">
        <v>46351</v>
      </c>
      <c r="B10" s="182"/>
      <c r="C10" s="187">
        <v>509000000</v>
      </c>
      <c r="D10" s="182">
        <f t="shared" si="4"/>
        <v>8144000000</v>
      </c>
      <c r="E10" s="183">
        <v>0.09</v>
      </c>
      <c r="F10" s="185">
        <f t="shared" si="2"/>
        <v>46259</v>
      </c>
      <c r="G10" s="185">
        <f t="shared" si="3"/>
        <v>46351</v>
      </c>
      <c r="H10" s="188">
        <f t="shared" si="0"/>
        <v>92</v>
      </c>
      <c r="I10" s="182">
        <f t="shared" si="1"/>
        <v>184746082.19178084</v>
      </c>
      <c r="J10" s="142"/>
    </row>
    <row r="11" spans="1:11" ht="20.100000000000001" customHeight="1" x14ac:dyDescent="0.45">
      <c r="A11" s="136">
        <v>46443</v>
      </c>
      <c r="B11" s="126"/>
      <c r="C11" s="139">
        <v>509000000</v>
      </c>
      <c r="D11" s="126">
        <f t="shared" si="4"/>
        <v>7635000000</v>
      </c>
      <c r="E11" s="127">
        <v>7.6999999999999999E-2</v>
      </c>
      <c r="F11" s="140">
        <f t="shared" si="2"/>
        <v>46351</v>
      </c>
      <c r="G11" s="140">
        <f t="shared" si="3"/>
        <v>46443</v>
      </c>
      <c r="H11" s="137">
        <f t="shared" si="0"/>
        <v>92</v>
      </c>
      <c r="I11" s="126">
        <f t="shared" si="1"/>
        <v>148181753.42465752</v>
      </c>
      <c r="J11" s="142"/>
    </row>
    <row r="12" spans="1:11" ht="20.100000000000001" customHeight="1" x14ac:dyDescent="0.45">
      <c r="A12" s="136">
        <v>46532</v>
      </c>
      <c r="B12" s="126"/>
      <c r="C12" s="139">
        <v>509000000</v>
      </c>
      <c r="D12" s="126">
        <f t="shared" si="4"/>
        <v>7126000000</v>
      </c>
      <c r="E12" s="127">
        <v>7.6999999999999999E-2</v>
      </c>
      <c r="F12" s="140">
        <f t="shared" si="2"/>
        <v>46443</v>
      </c>
      <c r="G12" s="140">
        <f t="shared" si="3"/>
        <v>46532</v>
      </c>
      <c r="H12" s="137">
        <f t="shared" si="0"/>
        <v>89</v>
      </c>
      <c r="I12" s="126">
        <f t="shared" si="1"/>
        <v>133793090.4109589</v>
      </c>
    </row>
    <row r="13" spans="1:11" ht="20.100000000000001" customHeight="1" x14ac:dyDescent="0.45">
      <c r="A13" s="136">
        <v>46624</v>
      </c>
      <c r="B13" s="126"/>
      <c r="C13" s="139">
        <v>509000000</v>
      </c>
      <c r="D13" s="126">
        <f t="shared" si="4"/>
        <v>6617000000</v>
      </c>
      <c r="E13" s="127">
        <v>7.6999999999999999E-2</v>
      </c>
      <c r="F13" s="140">
        <f t="shared" si="2"/>
        <v>46532</v>
      </c>
      <c r="G13" s="140">
        <f t="shared" si="3"/>
        <v>46624</v>
      </c>
      <c r="H13" s="137">
        <f t="shared" si="0"/>
        <v>92</v>
      </c>
      <c r="I13" s="126">
        <f t="shared" si="1"/>
        <v>128424186.30136986</v>
      </c>
      <c r="J13" s="142"/>
    </row>
    <row r="14" spans="1:11" ht="20.100000000000001" customHeight="1" x14ac:dyDescent="0.45">
      <c r="A14" s="136">
        <v>46716</v>
      </c>
      <c r="B14" s="126"/>
      <c r="C14" s="139">
        <v>509000000</v>
      </c>
      <c r="D14" s="126">
        <f t="shared" si="4"/>
        <v>6108000000</v>
      </c>
      <c r="E14" s="127">
        <v>7.6999999999999999E-2</v>
      </c>
      <c r="F14" s="140">
        <f t="shared" si="2"/>
        <v>46624</v>
      </c>
      <c r="G14" s="140">
        <f t="shared" si="3"/>
        <v>46716</v>
      </c>
      <c r="H14" s="137">
        <f t="shared" si="0"/>
        <v>92</v>
      </c>
      <c r="I14" s="126">
        <f t="shared" si="1"/>
        <v>118545402.73972602</v>
      </c>
    </row>
    <row r="15" spans="1:11" ht="20.100000000000001" customHeight="1" x14ac:dyDescent="0.45">
      <c r="A15" s="136">
        <v>46808</v>
      </c>
      <c r="B15" s="126"/>
      <c r="C15" s="139">
        <v>509000000</v>
      </c>
      <c r="D15" s="126">
        <f t="shared" si="4"/>
        <v>5599000000</v>
      </c>
      <c r="E15" s="127">
        <v>7.6999999999999999E-2</v>
      </c>
      <c r="F15" s="140">
        <f t="shared" si="2"/>
        <v>46716</v>
      </c>
      <c r="G15" s="140">
        <f t="shared" si="3"/>
        <v>46808</v>
      </c>
      <c r="H15" s="137">
        <f t="shared" si="0"/>
        <v>92</v>
      </c>
      <c r="I15" s="126">
        <f t="shared" si="1"/>
        <v>108666619.1780822</v>
      </c>
    </row>
    <row r="16" spans="1:11" ht="20.100000000000001" customHeight="1" x14ac:dyDescent="0.45">
      <c r="A16" s="136">
        <v>46898</v>
      </c>
      <c r="B16" s="126"/>
      <c r="C16" s="139">
        <v>509000000</v>
      </c>
      <c r="D16" s="126">
        <f t="shared" si="4"/>
        <v>5090000000</v>
      </c>
      <c r="E16" s="127">
        <v>7.6999999999999999E-2</v>
      </c>
      <c r="F16" s="140">
        <f t="shared" si="2"/>
        <v>46808</v>
      </c>
      <c r="G16" s="140">
        <f t="shared" si="3"/>
        <v>46898</v>
      </c>
      <c r="H16" s="137">
        <f t="shared" si="0"/>
        <v>90</v>
      </c>
      <c r="I16" s="126">
        <f t="shared" si="1"/>
        <v>96640273.97260274</v>
      </c>
      <c r="J16" s="134"/>
    </row>
    <row r="17" spans="1:9" ht="20.100000000000001" customHeight="1" x14ac:dyDescent="0.45">
      <c r="A17" s="136">
        <v>46990</v>
      </c>
      <c r="B17" s="126"/>
      <c r="C17" s="139">
        <v>509000000</v>
      </c>
      <c r="D17" s="126">
        <f t="shared" si="4"/>
        <v>4581000000</v>
      </c>
      <c r="E17" s="127">
        <v>7.6999999999999999E-2</v>
      </c>
      <c r="F17" s="140">
        <f t="shared" si="2"/>
        <v>46898</v>
      </c>
      <c r="G17" s="140">
        <f t="shared" si="3"/>
        <v>46990</v>
      </c>
      <c r="H17" s="137">
        <f t="shared" si="0"/>
        <v>92</v>
      </c>
      <c r="I17" s="126">
        <f t="shared" si="1"/>
        <v>88909052.05479452</v>
      </c>
    </row>
    <row r="18" spans="1:9" ht="20.100000000000001" customHeight="1" x14ac:dyDescent="0.45">
      <c r="A18" s="136">
        <v>47084</v>
      </c>
      <c r="B18" s="126"/>
      <c r="C18" s="139">
        <v>509000000</v>
      </c>
      <c r="D18" s="126">
        <f t="shared" si="4"/>
        <v>4072000000</v>
      </c>
      <c r="E18" s="127">
        <v>7.6999999999999999E-2</v>
      </c>
      <c r="F18" s="140">
        <f t="shared" si="2"/>
        <v>46990</v>
      </c>
      <c r="G18" s="140">
        <f t="shared" si="3"/>
        <v>47084</v>
      </c>
      <c r="H18" s="137">
        <f t="shared" si="0"/>
        <v>94</v>
      </c>
      <c r="I18" s="126">
        <f t="shared" si="1"/>
        <v>80748317.80821918</v>
      </c>
    </row>
    <row r="19" spans="1:9" ht="20.100000000000001" customHeight="1" x14ac:dyDescent="0.45">
      <c r="A19" s="136">
        <v>47175</v>
      </c>
      <c r="B19" s="126"/>
      <c r="C19" s="139">
        <v>509000000</v>
      </c>
      <c r="D19" s="126">
        <f t="shared" si="4"/>
        <v>3563000000</v>
      </c>
      <c r="E19" s="127">
        <v>7.6999999999999999E-2</v>
      </c>
      <c r="F19" s="140">
        <f t="shared" si="2"/>
        <v>47084</v>
      </c>
      <c r="G19" s="140">
        <f t="shared" si="3"/>
        <v>47175</v>
      </c>
      <c r="H19" s="137">
        <f t="shared" si="0"/>
        <v>91</v>
      </c>
      <c r="I19" s="126">
        <f t="shared" si="1"/>
        <v>68399838.356164381</v>
      </c>
    </row>
    <row r="20" spans="1:9" ht="20.100000000000001" customHeight="1" x14ac:dyDescent="0.45">
      <c r="A20" s="136">
        <v>47263</v>
      </c>
      <c r="B20" s="126"/>
      <c r="C20" s="139">
        <v>509000000</v>
      </c>
      <c r="D20" s="126">
        <f t="shared" si="4"/>
        <v>3054000000</v>
      </c>
      <c r="E20" s="127">
        <v>7.6999999999999999E-2</v>
      </c>
      <c r="F20" s="140">
        <f t="shared" si="2"/>
        <v>47175</v>
      </c>
      <c r="G20" s="140">
        <f t="shared" si="3"/>
        <v>47263</v>
      </c>
      <c r="H20" s="137">
        <f t="shared" si="0"/>
        <v>88</v>
      </c>
      <c r="I20" s="126">
        <f t="shared" si="1"/>
        <v>56695627.397260271</v>
      </c>
    </row>
    <row r="21" spans="1:9" ht="20.100000000000001" customHeight="1" x14ac:dyDescent="0.45">
      <c r="A21" s="136">
        <v>47357</v>
      </c>
      <c r="B21" s="126"/>
      <c r="C21" s="139">
        <v>509000000</v>
      </c>
      <c r="D21" s="126">
        <f t="shared" si="4"/>
        <v>2545000000</v>
      </c>
      <c r="E21" s="127">
        <v>7.6999999999999999E-2</v>
      </c>
      <c r="F21" s="140">
        <f t="shared" si="2"/>
        <v>47263</v>
      </c>
      <c r="G21" s="140">
        <f t="shared" si="3"/>
        <v>47357</v>
      </c>
      <c r="H21" s="137">
        <f t="shared" si="0"/>
        <v>94</v>
      </c>
      <c r="I21" s="126">
        <f t="shared" si="1"/>
        <v>50467698.630136989</v>
      </c>
    </row>
    <row r="22" spans="1:9" ht="15.4" x14ac:dyDescent="0.45">
      <c r="A22" s="136">
        <v>47448</v>
      </c>
      <c r="B22" s="126"/>
      <c r="C22" s="139">
        <v>509000000</v>
      </c>
      <c r="D22" s="126">
        <f t="shared" si="4"/>
        <v>2036000000</v>
      </c>
      <c r="E22" s="127">
        <v>7.6999999999999999E-2</v>
      </c>
      <c r="F22" s="140">
        <f t="shared" si="2"/>
        <v>47357</v>
      </c>
      <c r="G22" s="140">
        <f t="shared" si="3"/>
        <v>47448</v>
      </c>
      <c r="H22" s="137">
        <f t="shared" si="0"/>
        <v>91</v>
      </c>
      <c r="I22" s="126">
        <f t="shared" si="1"/>
        <v>39085621.91780822</v>
      </c>
    </row>
    <row r="23" spans="1:9" ht="15.4" x14ac:dyDescent="0.45">
      <c r="A23" s="136">
        <v>47539</v>
      </c>
      <c r="B23" s="126"/>
      <c r="C23" s="139">
        <v>509000000</v>
      </c>
      <c r="D23" s="126">
        <f t="shared" si="4"/>
        <v>1527000000</v>
      </c>
      <c r="E23" s="127">
        <v>7.6999999999999999E-2</v>
      </c>
      <c r="F23" s="140">
        <f t="shared" si="2"/>
        <v>47448</v>
      </c>
      <c r="G23" s="140">
        <f t="shared" si="3"/>
        <v>47539</v>
      </c>
      <c r="H23" s="137">
        <f t="shared" si="0"/>
        <v>91</v>
      </c>
      <c r="I23" s="126">
        <f t="shared" si="1"/>
        <v>29314216.438356165</v>
      </c>
    </row>
    <row r="24" spans="1:9" ht="15.4" x14ac:dyDescent="0.45">
      <c r="A24" s="136">
        <v>47630</v>
      </c>
      <c r="B24" s="126"/>
      <c r="C24" s="139">
        <v>509000000</v>
      </c>
      <c r="D24" s="126">
        <f t="shared" si="4"/>
        <v>1018000000</v>
      </c>
      <c r="E24" s="127">
        <v>7.6999999999999999E-2</v>
      </c>
      <c r="F24" s="140">
        <f t="shared" si="2"/>
        <v>47539</v>
      </c>
      <c r="G24" s="140">
        <f t="shared" si="3"/>
        <v>47630</v>
      </c>
      <c r="H24" s="137">
        <f t="shared" si="0"/>
        <v>91</v>
      </c>
      <c r="I24" s="126">
        <f t="shared" si="1"/>
        <v>19542810.95890411</v>
      </c>
    </row>
    <row r="25" spans="1:9" ht="15.4" x14ac:dyDescent="0.45">
      <c r="A25" s="136">
        <v>47716</v>
      </c>
      <c r="B25" s="126"/>
      <c r="C25" s="139">
        <v>509000000</v>
      </c>
      <c r="D25" s="126">
        <f t="shared" si="4"/>
        <v>509000000</v>
      </c>
      <c r="E25" s="127">
        <v>7.6999999999999999E-2</v>
      </c>
      <c r="F25" s="140">
        <f t="shared" si="2"/>
        <v>47630</v>
      </c>
      <c r="G25" s="140">
        <f t="shared" si="3"/>
        <v>47716</v>
      </c>
      <c r="H25" s="137">
        <f t="shared" si="0"/>
        <v>86</v>
      </c>
      <c r="I25" s="126">
        <f t="shared" si="1"/>
        <v>9234515.0684931502</v>
      </c>
    </row>
    <row r="29" spans="1:9" x14ac:dyDescent="0.4">
      <c r="C29" s="120">
        <f>-SUM(C7:C10)/10^6</f>
        <v>-2036</v>
      </c>
      <c r="I29" s="120">
        <f>-SUM(I7:I10)/10^6</f>
        <v>-752.73430136986303</v>
      </c>
    </row>
  </sheetData>
  <mergeCells count="7">
    <mergeCell ref="I3:I4"/>
    <mergeCell ref="A3:A4"/>
    <mergeCell ref="B3:B4"/>
    <mergeCell ref="C3:C4"/>
    <mergeCell ref="D3:D4"/>
    <mergeCell ref="E3:E4"/>
    <mergeCell ref="F3:H3"/>
  </mergeCells>
  <pageMargins left="0.7" right="0.7" top="0.75" bottom="0.75" header="0.3" footer="0.3"/>
  <pageSetup orientation="portrait" horizontalDpi="0" verticalDpi="0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DB6B0-C515-4488-84AF-240DF7AEF467}">
  <sheetPr>
    <tabColor rgb="FF00B0F0"/>
  </sheetPr>
  <dimension ref="A1:K58"/>
  <sheetViews>
    <sheetView zoomScaleNormal="100" workbookViewId="0">
      <selection activeCell="H4" sqref="H4"/>
    </sheetView>
  </sheetViews>
  <sheetFormatPr defaultRowHeight="14.25" x14ac:dyDescent="0.45"/>
  <cols>
    <col min="1" max="1" width="18" bestFit="1" customWidth="1"/>
    <col min="2" max="2" width="11.1328125" bestFit="1" customWidth="1"/>
    <col min="3" max="3" width="20.265625" bestFit="1" customWidth="1"/>
    <col min="4" max="4" width="19.86328125" customWidth="1"/>
    <col min="5" max="5" width="23.1328125" customWidth="1"/>
    <col min="6" max="6" width="15.86328125" bestFit="1" customWidth="1"/>
    <col min="7" max="7" width="33.265625" customWidth="1"/>
    <col min="8" max="8" width="19.3984375" customWidth="1"/>
    <col min="9" max="9" width="28.86328125" customWidth="1"/>
    <col min="10" max="10" width="19.265625" customWidth="1"/>
    <col min="11" max="11" width="20" customWidth="1"/>
  </cols>
  <sheetData>
    <row r="1" spans="1:11" x14ac:dyDescent="0.45">
      <c r="A1" s="143"/>
      <c r="B1" s="143"/>
      <c r="C1" s="143"/>
      <c r="D1" s="143"/>
      <c r="E1" s="143"/>
      <c r="F1" s="143"/>
      <c r="G1" s="144" t="s">
        <v>237</v>
      </c>
      <c r="H1" s="145">
        <v>15330000000</v>
      </c>
      <c r="I1" s="143"/>
    </row>
    <row r="2" spans="1:11" x14ac:dyDescent="0.45">
      <c r="A2" s="146" t="s">
        <v>238</v>
      </c>
      <c r="B2" s="146" t="s">
        <v>239</v>
      </c>
      <c r="C2" s="146" t="s">
        <v>240</v>
      </c>
      <c r="D2" s="146" t="s">
        <v>241</v>
      </c>
      <c r="E2" s="146" t="s">
        <v>242</v>
      </c>
      <c r="F2" s="146" t="s">
        <v>243</v>
      </c>
      <c r="G2" s="147" t="s">
        <v>244</v>
      </c>
      <c r="H2" s="148">
        <v>0.06</v>
      </c>
      <c r="I2" s="143"/>
    </row>
    <row r="3" spans="1:11" x14ac:dyDescent="0.45">
      <c r="A3" s="149">
        <f>H1</f>
        <v>15330000000</v>
      </c>
      <c r="B3" s="150">
        <v>45498</v>
      </c>
      <c r="C3" s="151"/>
      <c r="D3" s="145">
        <f>A3-C3</f>
        <v>15330000000</v>
      </c>
      <c r="E3" s="145"/>
      <c r="F3" s="145">
        <v>173880000</v>
      </c>
      <c r="G3" s="147" t="s">
        <v>245</v>
      </c>
      <c r="H3" s="152">
        <v>0.09</v>
      </c>
      <c r="I3" s="143"/>
    </row>
    <row r="4" spans="1:11" x14ac:dyDescent="0.45">
      <c r="A4" s="143"/>
      <c r="B4" s="153">
        <f>EDATE(B3,3)</f>
        <v>45590</v>
      </c>
      <c r="C4" s="151"/>
      <c r="D4" s="145">
        <f>D3-C4</f>
        <v>15330000000</v>
      </c>
      <c r="E4" s="145"/>
      <c r="F4" s="145">
        <v>231840000</v>
      </c>
    </row>
    <row r="5" spans="1:11" x14ac:dyDescent="0.45">
      <c r="A5" s="143"/>
      <c r="B5" s="153">
        <v>45691</v>
      </c>
      <c r="C5" s="151"/>
      <c r="D5" s="145">
        <f t="shared" ref="D5:D25" si="0">D4-C5</f>
        <v>15330000000</v>
      </c>
      <c r="E5" s="145"/>
      <c r="F5" s="145">
        <v>254520000</v>
      </c>
      <c r="K5" s="154"/>
    </row>
    <row r="6" spans="1:11" x14ac:dyDescent="0.45">
      <c r="A6" s="143"/>
      <c r="B6" s="153">
        <v>45772</v>
      </c>
      <c r="C6" s="151">
        <f t="shared" ref="C6:C25" si="1">$A$3/20</f>
        <v>766500000</v>
      </c>
      <c r="D6" s="145">
        <f>D5-C6</f>
        <v>14563500000</v>
      </c>
      <c r="E6" s="145">
        <f>D5</f>
        <v>15330000000</v>
      </c>
      <c r="F6" s="155">
        <v>204120000</v>
      </c>
      <c r="K6" s="156"/>
    </row>
    <row r="7" spans="1:11" s="162" customFormat="1" x14ac:dyDescent="0.45">
      <c r="A7" s="157"/>
      <c r="B7" s="158">
        <f t="shared" ref="B7:B20" si="2">EDATE(B6,3)</f>
        <v>45863</v>
      </c>
      <c r="C7" s="159">
        <f t="shared" si="1"/>
        <v>766500000</v>
      </c>
      <c r="D7" s="160">
        <f>D6-C7</f>
        <v>13797000000</v>
      </c>
      <c r="E7" s="160">
        <f>D6</f>
        <v>14563500000</v>
      </c>
      <c r="F7" s="160">
        <v>394212000</v>
      </c>
      <c r="G7" s="161"/>
      <c r="H7" s="161"/>
    </row>
    <row r="8" spans="1:11" x14ac:dyDescent="0.45">
      <c r="A8" s="143"/>
      <c r="B8" s="153">
        <f t="shared" si="2"/>
        <v>45955</v>
      </c>
      <c r="C8" s="151">
        <f t="shared" si="1"/>
        <v>766500000</v>
      </c>
      <c r="D8" s="145">
        <f>D7-C8</f>
        <v>13030500000</v>
      </c>
      <c r="E8" s="160">
        <f t="shared" ref="E8:E25" si="3">D7</f>
        <v>13797000000</v>
      </c>
      <c r="F8" s="155">
        <f>$H$3*E8*(B8-B7)/365</f>
        <v>312984000</v>
      </c>
      <c r="G8" s="163"/>
      <c r="H8" s="164"/>
    </row>
    <row r="9" spans="1:11" x14ac:dyDescent="0.45">
      <c r="A9" s="143"/>
      <c r="B9" s="189">
        <f t="shared" si="2"/>
        <v>46047</v>
      </c>
      <c r="C9" s="190">
        <f t="shared" si="1"/>
        <v>766500000</v>
      </c>
      <c r="D9" s="191">
        <f t="shared" si="0"/>
        <v>12264000000</v>
      </c>
      <c r="E9" s="192">
        <f t="shared" si="3"/>
        <v>13030500000</v>
      </c>
      <c r="F9" s="193">
        <f t="shared" ref="F9:F25" si="4">$H$3*E9*(B9-B8)/365</f>
        <v>295596000</v>
      </c>
      <c r="G9" s="165">
        <f>C9+F9</f>
        <v>1062096000</v>
      </c>
      <c r="H9" s="165"/>
      <c r="J9" s="165"/>
      <c r="K9" s="166"/>
    </row>
    <row r="10" spans="1:11" x14ac:dyDescent="0.45">
      <c r="A10" s="143"/>
      <c r="B10" s="189">
        <f t="shared" si="2"/>
        <v>46137</v>
      </c>
      <c r="C10" s="190">
        <f t="shared" si="1"/>
        <v>766500000</v>
      </c>
      <c r="D10" s="191">
        <f t="shared" si="0"/>
        <v>11497500000</v>
      </c>
      <c r="E10" s="192">
        <f t="shared" si="3"/>
        <v>12264000000</v>
      </c>
      <c r="F10" s="193">
        <f t="shared" si="4"/>
        <v>272160000</v>
      </c>
      <c r="G10" s="165">
        <f>C10+F10</f>
        <v>1038660000</v>
      </c>
      <c r="K10" s="164"/>
    </row>
    <row r="11" spans="1:11" x14ac:dyDescent="0.45">
      <c r="A11" s="143"/>
      <c r="B11" s="189">
        <f t="shared" si="2"/>
        <v>46228</v>
      </c>
      <c r="C11" s="190">
        <f t="shared" si="1"/>
        <v>766500000</v>
      </c>
      <c r="D11" s="191">
        <f t="shared" si="0"/>
        <v>10731000000</v>
      </c>
      <c r="E11" s="192">
        <f t="shared" si="3"/>
        <v>11497500000</v>
      </c>
      <c r="F11" s="193">
        <f t="shared" si="4"/>
        <v>257985000</v>
      </c>
      <c r="G11" s="165">
        <f>C11+F11</f>
        <v>1024485000</v>
      </c>
      <c r="J11" s="164"/>
      <c r="K11" s="164"/>
    </row>
    <row r="12" spans="1:11" x14ac:dyDescent="0.45">
      <c r="A12" s="143"/>
      <c r="B12" s="189">
        <f t="shared" si="2"/>
        <v>46320</v>
      </c>
      <c r="C12" s="190">
        <f t="shared" si="1"/>
        <v>766500000</v>
      </c>
      <c r="D12" s="191">
        <f t="shared" si="0"/>
        <v>9964500000</v>
      </c>
      <c r="E12" s="192">
        <f t="shared" si="3"/>
        <v>10731000000</v>
      </c>
      <c r="F12" s="193">
        <f t="shared" si="4"/>
        <v>243432000</v>
      </c>
      <c r="G12" s="165">
        <f>C12+F12</f>
        <v>1009932000</v>
      </c>
      <c r="J12" s="164"/>
      <c r="K12" s="164"/>
    </row>
    <row r="13" spans="1:11" x14ac:dyDescent="0.45">
      <c r="A13" s="143"/>
      <c r="B13" s="153">
        <f t="shared" si="2"/>
        <v>46412</v>
      </c>
      <c r="C13" s="151">
        <f t="shared" si="1"/>
        <v>766500000</v>
      </c>
      <c r="D13" s="145">
        <f t="shared" si="0"/>
        <v>9198000000</v>
      </c>
      <c r="E13" s="160">
        <f t="shared" si="3"/>
        <v>9964500000</v>
      </c>
      <c r="F13" s="155">
        <f t="shared" si="4"/>
        <v>226044000</v>
      </c>
      <c r="G13" s="165"/>
      <c r="H13" s="166"/>
      <c r="K13" s="164"/>
    </row>
    <row r="14" spans="1:11" x14ac:dyDescent="0.45">
      <c r="A14" s="143"/>
      <c r="B14" s="153">
        <f t="shared" si="2"/>
        <v>46502</v>
      </c>
      <c r="C14" s="151">
        <f t="shared" si="1"/>
        <v>766500000</v>
      </c>
      <c r="D14" s="145">
        <f t="shared" si="0"/>
        <v>8431500000</v>
      </c>
      <c r="E14" s="160">
        <f t="shared" si="3"/>
        <v>9198000000</v>
      </c>
      <c r="F14" s="155">
        <f t="shared" si="4"/>
        <v>204120000</v>
      </c>
      <c r="K14" s="167"/>
    </row>
    <row r="15" spans="1:11" x14ac:dyDescent="0.45">
      <c r="A15" s="143"/>
      <c r="B15" s="153">
        <f t="shared" si="2"/>
        <v>46593</v>
      </c>
      <c r="C15" s="151">
        <f t="shared" si="1"/>
        <v>766500000</v>
      </c>
      <c r="D15" s="145">
        <f t="shared" si="0"/>
        <v>7665000000</v>
      </c>
      <c r="E15" s="160">
        <f t="shared" si="3"/>
        <v>8431500000</v>
      </c>
      <c r="F15" s="155">
        <f t="shared" si="4"/>
        <v>189189000</v>
      </c>
    </row>
    <row r="16" spans="1:11" x14ac:dyDescent="0.45">
      <c r="A16" s="143"/>
      <c r="B16" s="153">
        <f t="shared" si="2"/>
        <v>46685</v>
      </c>
      <c r="C16" s="151">
        <f t="shared" si="1"/>
        <v>766500000</v>
      </c>
      <c r="D16" s="145">
        <f t="shared" si="0"/>
        <v>6898500000</v>
      </c>
      <c r="E16" s="160">
        <f t="shared" si="3"/>
        <v>7665000000</v>
      </c>
      <c r="F16" s="155">
        <f t="shared" si="4"/>
        <v>173880000</v>
      </c>
      <c r="K16" s="168"/>
    </row>
    <row r="17" spans="1:11" x14ac:dyDescent="0.45">
      <c r="A17" s="143"/>
      <c r="B17" s="153">
        <f t="shared" si="2"/>
        <v>46777</v>
      </c>
      <c r="C17" s="151">
        <f t="shared" si="1"/>
        <v>766500000</v>
      </c>
      <c r="D17" s="145">
        <f t="shared" si="0"/>
        <v>6132000000</v>
      </c>
      <c r="E17" s="160">
        <f t="shared" si="3"/>
        <v>6898500000</v>
      </c>
      <c r="F17" s="155">
        <f t="shared" si="4"/>
        <v>156492000</v>
      </c>
      <c r="K17" s="164"/>
    </row>
    <row r="18" spans="1:11" x14ac:dyDescent="0.45">
      <c r="A18" s="143"/>
      <c r="B18" s="153">
        <f t="shared" si="2"/>
        <v>46868</v>
      </c>
      <c r="C18" s="151">
        <f t="shared" si="1"/>
        <v>766500000</v>
      </c>
      <c r="D18" s="145">
        <f t="shared" si="0"/>
        <v>5365500000</v>
      </c>
      <c r="E18" s="160">
        <f t="shared" si="3"/>
        <v>6132000000</v>
      </c>
      <c r="F18" s="155">
        <f t="shared" si="4"/>
        <v>137592000</v>
      </c>
    </row>
    <row r="19" spans="1:11" x14ac:dyDescent="0.45">
      <c r="A19" s="143"/>
      <c r="B19" s="153">
        <f t="shared" si="2"/>
        <v>46959</v>
      </c>
      <c r="C19" s="151">
        <f t="shared" si="1"/>
        <v>766500000</v>
      </c>
      <c r="D19" s="145">
        <f t="shared" si="0"/>
        <v>4599000000</v>
      </c>
      <c r="E19" s="160">
        <f t="shared" si="3"/>
        <v>5365500000</v>
      </c>
      <c r="F19" s="155">
        <f t="shared" si="4"/>
        <v>120393000</v>
      </c>
    </row>
    <row r="20" spans="1:11" x14ac:dyDescent="0.45">
      <c r="A20" s="143"/>
      <c r="B20" s="153">
        <f t="shared" si="2"/>
        <v>47051</v>
      </c>
      <c r="C20" s="151">
        <f t="shared" si="1"/>
        <v>766500000</v>
      </c>
      <c r="D20" s="145">
        <f t="shared" si="0"/>
        <v>3832500000</v>
      </c>
      <c r="E20" s="160">
        <f t="shared" si="3"/>
        <v>4599000000</v>
      </c>
      <c r="F20" s="155">
        <f t="shared" si="4"/>
        <v>104328000</v>
      </c>
    </row>
    <row r="21" spans="1:11" x14ac:dyDescent="0.45">
      <c r="A21" s="143"/>
      <c r="B21" s="153">
        <f>EDATE(B20,3)</f>
        <v>47143</v>
      </c>
      <c r="C21" s="151">
        <f t="shared" si="1"/>
        <v>766500000</v>
      </c>
      <c r="D21" s="145">
        <f t="shared" si="0"/>
        <v>3066000000</v>
      </c>
      <c r="E21" s="160">
        <f t="shared" si="3"/>
        <v>3832500000</v>
      </c>
      <c r="F21" s="155">
        <f t="shared" si="4"/>
        <v>86940000</v>
      </c>
    </row>
    <row r="22" spans="1:11" x14ac:dyDescent="0.45">
      <c r="A22" s="143"/>
      <c r="B22" s="153">
        <f>EDATE(B21,3)</f>
        <v>47233</v>
      </c>
      <c r="C22" s="151">
        <f t="shared" si="1"/>
        <v>766500000</v>
      </c>
      <c r="D22" s="145">
        <f t="shared" si="0"/>
        <v>2299500000</v>
      </c>
      <c r="E22" s="160">
        <f t="shared" si="3"/>
        <v>3066000000</v>
      </c>
      <c r="F22" s="155">
        <f t="shared" si="4"/>
        <v>68040000</v>
      </c>
    </row>
    <row r="23" spans="1:11" x14ac:dyDescent="0.45">
      <c r="A23" s="143"/>
      <c r="B23" s="153">
        <f>EDATE(B22,3)</f>
        <v>47324</v>
      </c>
      <c r="C23" s="151">
        <f t="shared" si="1"/>
        <v>766500000</v>
      </c>
      <c r="D23" s="145">
        <f t="shared" si="0"/>
        <v>1533000000</v>
      </c>
      <c r="E23" s="160">
        <f t="shared" si="3"/>
        <v>2299500000</v>
      </c>
      <c r="F23" s="155">
        <f t="shared" si="4"/>
        <v>51597000</v>
      </c>
    </row>
    <row r="24" spans="1:11" x14ac:dyDescent="0.45">
      <c r="A24" s="143"/>
      <c r="B24" s="153">
        <f>EDATE(B23,3)</f>
        <v>47416</v>
      </c>
      <c r="C24" s="151">
        <f t="shared" si="1"/>
        <v>766500000</v>
      </c>
      <c r="D24" s="145">
        <f t="shared" si="0"/>
        <v>766500000</v>
      </c>
      <c r="E24" s="160">
        <f t="shared" si="3"/>
        <v>1533000000</v>
      </c>
      <c r="F24" s="155">
        <f t="shared" si="4"/>
        <v>34776000</v>
      </c>
    </row>
    <row r="25" spans="1:11" x14ac:dyDescent="0.45">
      <c r="A25" s="143"/>
      <c r="B25" s="153">
        <v>47500</v>
      </c>
      <c r="C25" s="151">
        <f t="shared" si="1"/>
        <v>766500000</v>
      </c>
      <c r="D25" s="145">
        <f t="shared" si="0"/>
        <v>0</v>
      </c>
      <c r="E25" s="160">
        <f t="shared" si="3"/>
        <v>766500000</v>
      </c>
      <c r="F25" s="155">
        <f t="shared" si="4"/>
        <v>15876000</v>
      </c>
    </row>
    <row r="26" spans="1:11" x14ac:dyDescent="0.45">
      <c r="B26" s="156"/>
    </row>
    <row r="27" spans="1:11" x14ac:dyDescent="0.45">
      <c r="B27" s="156"/>
      <c r="C27" s="164">
        <f>-SUM(C9:C12)/10^6</f>
        <v>-3066</v>
      </c>
      <c r="F27" s="164">
        <f>-SUM(F9:F12)/10^6</f>
        <v>-1069.173</v>
      </c>
    </row>
    <row r="28" spans="1:11" x14ac:dyDescent="0.45">
      <c r="B28" s="156"/>
    </row>
    <row r="29" spans="1:11" x14ac:dyDescent="0.45">
      <c r="B29" s="156"/>
    </row>
    <row r="30" spans="1:11" x14ac:dyDescent="0.45">
      <c r="B30" s="156"/>
    </row>
    <row r="31" spans="1:11" x14ac:dyDescent="0.45">
      <c r="B31" s="156"/>
    </row>
    <row r="32" spans="1:11" x14ac:dyDescent="0.45">
      <c r="B32" s="156"/>
    </row>
    <row r="33" spans="2:2" x14ac:dyDescent="0.45">
      <c r="B33" s="156"/>
    </row>
    <row r="34" spans="2:2" x14ac:dyDescent="0.45">
      <c r="B34" s="156"/>
    </row>
    <row r="35" spans="2:2" x14ac:dyDescent="0.45">
      <c r="B35" s="156"/>
    </row>
    <row r="36" spans="2:2" x14ac:dyDescent="0.45">
      <c r="B36" s="156"/>
    </row>
    <row r="37" spans="2:2" x14ac:dyDescent="0.45">
      <c r="B37" s="156"/>
    </row>
    <row r="38" spans="2:2" x14ac:dyDescent="0.45">
      <c r="B38" s="156"/>
    </row>
    <row r="39" spans="2:2" x14ac:dyDescent="0.45">
      <c r="B39" s="156"/>
    </row>
    <row r="40" spans="2:2" x14ac:dyDescent="0.45">
      <c r="B40" s="156"/>
    </row>
    <row r="41" spans="2:2" x14ac:dyDescent="0.45">
      <c r="B41" s="156"/>
    </row>
    <row r="42" spans="2:2" x14ac:dyDescent="0.45">
      <c r="B42" s="156"/>
    </row>
    <row r="43" spans="2:2" x14ac:dyDescent="0.45">
      <c r="B43" s="156"/>
    </row>
    <row r="44" spans="2:2" x14ac:dyDescent="0.45">
      <c r="B44" s="156"/>
    </row>
    <row r="45" spans="2:2" x14ac:dyDescent="0.45">
      <c r="B45" s="156"/>
    </row>
    <row r="46" spans="2:2" x14ac:dyDescent="0.45">
      <c r="B46" s="156"/>
    </row>
    <row r="47" spans="2:2" x14ac:dyDescent="0.45">
      <c r="B47" s="156"/>
    </row>
    <row r="48" spans="2:2" x14ac:dyDescent="0.45">
      <c r="B48" s="156"/>
    </row>
    <row r="49" spans="2:2" x14ac:dyDescent="0.45">
      <c r="B49" s="156"/>
    </row>
    <row r="50" spans="2:2" x14ac:dyDescent="0.45">
      <c r="B50" s="156"/>
    </row>
    <row r="51" spans="2:2" x14ac:dyDescent="0.45">
      <c r="B51" s="156"/>
    </row>
    <row r="52" spans="2:2" x14ac:dyDescent="0.45">
      <c r="B52" s="156"/>
    </row>
    <row r="53" spans="2:2" x14ac:dyDescent="0.45">
      <c r="B53" s="156"/>
    </row>
    <row r="54" spans="2:2" x14ac:dyDescent="0.45">
      <c r="B54" s="156"/>
    </row>
    <row r="55" spans="2:2" x14ac:dyDescent="0.45">
      <c r="B55" s="156"/>
    </row>
    <row r="56" spans="2:2" x14ac:dyDescent="0.45">
      <c r="B56" s="156"/>
    </row>
    <row r="57" spans="2:2" x14ac:dyDescent="0.45">
      <c r="B57" s="156"/>
    </row>
    <row r="58" spans="2:2" x14ac:dyDescent="0.45">
      <c r="B58" s="156"/>
    </row>
  </sheetData>
  <pageMargins left="0.7" right="0.7" top="0.75" bottom="0.75" header="0.3" footer="0.3"/>
  <pageSetup scale="65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7EDDA-7BA4-4101-9341-3B652CCBDEB0}">
  <sheetPr>
    <tabColor rgb="FF00B0F0"/>
  </sheetPr>
  <dimension ref="A1:K58"/>
  <sheetViews>
    <sheetView workbookViewId="0">
      <selection activeCell="H4" sqref="H4"/>
    </sheetView>
  </sheetViews>
  <sheetFormatPr defaultRowHeight="14.25" x14ac:dyDescent="0.45"/>
  <cols>
    <col min="1" max="1" width="18" bestFit="1" customWidth="1"/>
    <col min="2" max="2" width="13" customWidth="1"/>
    <col min="3" max="3" width="21.59765625" style="179" customWidth="1"/>
    <col min="4" max="4" width="19.86328125" customWidth="1"/>
    <col min="5" max="5" width="22.73046875" customWidth="1"/>
    <col min="6" max="6" width="15.86328125" bestFit="1" customWidth="1"/>
    <col min="7" max="7" width="33.265625" customWidth="1"/>
    <col min="8" max="8" width="19.3984375" customWidth="1"/>
    <col min="9" max="9" width="28.86328125" customWidth="1"/>
    <col min="10" max="10" width="17.1328125" bestFit="1" customWidth="1"/>
    <col min="11" max="11" width="26.73046875" style="168" bestFit="1" customWidth="1"/>
  </cols>
  <sheetData>
    <row r="1" spans="1:11" x14ac:dyDescent="0.45">
      <c r="A1" s="143"/>
      <c r="B1" s="143"/>
      <c r="C1" s="169"/>
      <c r="D1" s="143"/>
      <c r="E1" s="143"/>
      <c r="F1" s="143"/>
      <c r="G1" s="144" t="s">
        <v>237</v>
      </c>
      <c r="H1" s="145">
        <v>15230000000</v>
      </c>
      <c r="I1" s="143"/>
    </row>
    <row r="2" spans="1:11" x14ac:dyDescent="0.45">
      <c r="A2" s="146" t="s">
        <v>238</v>
      </c>
      <c r="B2" s="146" t="s">
        <v>239</v>
      </c>
      <c r="C2" s="170" t="s">
        <v>240</v>
      </c>
      <c r="D2" s="146" t="s">
        <v>241</v>
      </c>
      <c r="E2" s="146" t="s">
        <v>242</v>
      </c>
      <c r="F2" s="146" t="s">
        <v>243</v>
      </c>
      <c r="G2" s="147" t="s">
        <v>244</v>
      </c>
      <c r="H2" s="148">
        <v>0.06</v>
      </c>
      <c r="I2" s="143"/>
    </row>
    <row r="3" spans="1:11" x14ac:dyDescent="0.45">
      <c r="A3" s="149">
        <f>H1</f>
        <v>15230000000</v>
      </c>
      <c r="B3" s="150">
        <v>45498</v>
      </c>
      <c r="C3" s="169"/>
      <c r="D3" s="145">
        <f>A3-C3</f>
        <v>15230000000</v>
      </c>
      <c r="E3" s="145"/>
      <c r="F3" s="145">
        <v>142703014</v>
      </c>
      <c r="G3" s="147" t="s">
        <v>245</v>
      </c>
      <c r="H3" s="152">
        <v>0.09</v>
      </c>
      <c r="I3" s="143"/>
    </row>
    <row r="4" spans="1:11" x14ac:dyDescent="0.45">
      <c r="A4" s="143"/>
      <c r="B4" s="153">
        <f>EDATE(B3,3)</f>
        <v>45590</v>
      </c>
      <c r="C4" s="169"/>
      <c r="D4" s="145">
        <f>D3-C4</f>
        <v>15230000000</v>
      </c>
      <c r="E4" s="145"/>
      <c r="F4" s="145">
        <v>230327671</v>
      </c>
      <c r="H4" s="171"/>
    </row>
    <row r="5" spans="1:11" x14ac:dyDescent="0.45">
      <c r="A5" s="143"/>
      <c r="B5" s="153">
        <v>45691</v>
      </c>
      <c r="C5" s="169"/>
      <c r="D5" s="145">
        <f t="shared" ref="D5:D25" si="0">D4-C5</f>
        <v>15230000000</v>
      </c>
      <c r="E5" s="145"/>
      <c r="F5" s="145">
        <v>252859726</v>
      </c>
      <c r="H5" s="171"/>
    </row>
    <row r="6" spans="1:11" x14ac:dyDescent="0.45">
      <c r="A6" s="143"/>
      <c r="B6" s="153">
        <v>45772</v>
      </c>
      <c r="C6" s="169">
        <f t="shared" ref="C6:C25" si="1">$A$3/20</f>
        <v>761500000</v>
      </c>
      <c r="D6" s="145">
        <f t="shared" si="0"/>
        <v>14468500000</v>
      </c>
      <c r="E6" s="145">
        <f>D5</f>
        <v>15230000000</v>
      </c>
      <c r="F6" s="172">
        <v>202788493</v>
      </c>
      <c r="G6" s="165"/>
    </row>
    <row r="7" spans="1:11" s="162" customFormat="1" x14ac:dyDescent="0.45">
      <c r="A7" s="157"/>
      <c r="B7" s="158">
        <f t="shared" ref="B7:B20" si="2">EDATE(B6,3)</f>
        <v>45863</v>
      </c>
      <c r="C7" s="173">
        <f t="shared" si="1"/>
        <v>761500000</v>
      </c>
      <c r="D7" s="160">
        <f>D6-C7</f>
        <v>13707000000</v>
      </c>
      <c r="E7" s="145">
        <f t="shared" ref="E7:E25" si="3">D6</f>
        <v>14468500000</v>
      </c>
      <c r="F7" s="174">
        <v>360721507</v>
      </c>
      <c r="G7" s="175"/>
      <c r="H7" s="161"/>
      <c r="I7" s="165"/>
      <c r="J7" s="164"/>
      <c r="K7" s="168"/>
    </row>
    <row r="8" spans="1:11" x14ac:dyDescent="0.45">
      <c r="A8" s="143"/>
      <c r="B8" s="153">
        <f t="shared" si="2"/>
        <v>45955</v>
      </c>
      <c r="C8" s="169">
        <f>$A$3/20</f>
        <v>761500000</v>
      </c>
      <c r="D8" s="145">
        <f>D7-C8</f>
        <v>12945500000</v>
      </c>
      <c r="E8" s="145">
        <f t="shared" si="3"/>
        <v>13707000000</v>
      </c>
      <c r="F8" s="155">
        <f>$H$3*E8*(B8-B7)/365</f>
        <v>310942356.16438359</v>
      </c>
      <c r="G8" s="163"/>
    </row>
    <row r="9" spans="1:11" x14ac:dyDescent="0.45">
      <c r="A9" s="143"/>
      <c r="B9" s="189">
        <f t="shared" si="2"/>
        <v>46047</v>
      </c>
      <c r="C9" s="194">
        <f t="shared" si="1"/>
        <v>761500000</v>
      </c>
      <c r="D9" s="191">
        <f t="shared" si="0"/>
        <v>12184000000</v>
      </c>
      <c r="E9" s="191">
        <f t="shared" si="3"/>
        <v>12945500000</v>
      </c>
      <c r="F9" s="193">
        <f t="shared" ref="F9:F25" si="4">$H$3*E9*(B9-B8)/365</f>
        <v>293667780.82191783</v>
      </c>
      <c r="G9" s="165"/>
      <c r="I9" s="164"/>
      <c r="J9" s="164"/>
    </row>
    <row r="10" spans="1:11" x14ac:dyDescent="0.45">
      <c r="A10" s="143"/>
      <c r="B10" s="189">
        <f t="shared" si="2"/>
        <v>46137</v>
      </c>
      <c r="C10" s="194">
        <f t="shared" si="1"/>
        <v>761500000</v>
      </c>
      <c r="D10" s="191">
        <f t="shared" si="0"/>
        <v>11422500000</v>
      </c>
      <c r="E10" s="191">
        <f t="shared" si="3"/>
        <v>12184000000</v>
      </c>
      <c r="F10" s="193">
        <f t="shared" si="4"/>
        <v>270384657.53424656</v>
      </c>
      <c r="G10" s="165"/>
      <c r="I10" s="164"/>
      <c r="J10" s="164"/>
    </row>
    <row r="11" spans="1:11" x14ac:dyDescent="0.45">
      <c r="A11" s="143"/>
      <c r="B11" s="189">
        <f t="shared" si="2"/>
        <v>46228</v>
      </c>
      <c r="C11" s="194">
        <f t="shared" si="1"/>
        <v>761500000</v>
      </c>
      <c r="D11" s="191">
        <f t="shared" si="0"/>
        <v>10661000000</v>
      </c>
      <c r="E11" s="191">
        <f t="shared" si="3"/>
        <v>11422500000</v>
      </c>
      <c r="F11" s="193">
        <f t="shared" si="4"/>
        <v>256302123.28767124</v>
      </c>
    </row>
    <row r="12" spans="1:11" x14ac:dyDescent="0.45">
      <c r="A12" s="143"/>
      <c r="B12" s="189">
        <f t="shared" si="2"/>
        <v>46320</v>
      </c>
      <c r="C12" s="194">
        <f t="shared" si="1"/>
        <v>761500000</v>
      </c>
      <c r="D12" s="191">
        <f t="shared" si="0"/>
        <v>9899500000</v>
      </c>
      <c r="E12" s="191">
        <f t="shared" si="3"/>
        <v>10661000000</v>
      </c>
      <c r="F12" s="193">
        <f t="shared" si="4"/>
        <v>241844054.79452056</v>
      </c>
      <c r="K12" s="176"/>
    </row>
    <row r="13" spans="1:11" x14ac:dyDescent="0.45">
      <c r="A13" s="143"/>
      <c r="B13" s="153">
        <f t="shared" si="2"/>
        <v>46412</v>
      </c>
      <c r="C13" s="169">
        <f t="shared" si="1"/>
        <v>761500000</v>
      </c>
      <c r="D13" s="145">
        <f t="shared" si="0"/>
        <v>9138000000</v>
      </c>
      <c r="E13" s="145">
        <f t="shared" si="3"/>
        <v>9899500000</v>
      </c>
      <c r="F13" s="155">
        <f t="shared" si="4"/>
        <v>224569479.4520548</v>
      </c>
    </row>
    <row r="14" spans="1:11" x14ac:dyDescent="0.45">
      <c r="A14" s="143"/>
      <c r="B14" s="153">
        <f t="shared" si="2"/>
        <v>46502</v>
      </c>
      <c r="C14" s="169">
        <f t="shared" si="1"/>
        <v>761500000</v>
      </c>
      <c r="D14" s="145">
        <f t="shared" si="0"/>
        <v>8376500000</v>
      </c>
      <c r="E14" s="145">
        <f t="shared" si="3"/>
        <v>9138000000</v>
      </c>
      <c r="F14" s="155">
        <f t="shared" si="4"/>
        <v>202788493.15068492</v>
      </c>
    </row>
    <row r="15" spans="1:11" x14ac:dyDescent="0.45">
      <c r="A15" s="143"/>
      <c r="B15" s="153">
        <f t="shared" si="2"/>
        <v>46593</v>
      </c>
      <c r="C15" s="169">
        <f t="shared" si="1"/>
        <v>761500000</v>
      </c>
      <c r="D15" s="145">
        <f t="shared" si="0"/>
        <v>7615000000</v>
      </c>
      <c r="E15" s="145">
        <f t="shared" si="3"/>
        <v>8376500000</v>
      </c>
      <c r="F15" s="155">
        <f t="shared" si="4"/>
        <v>187954890.41095892</v>
      </c>
    </row>
    <row r="16" spans="1:11" x14ac:dyDescent="0.45">
      <c r="A16" s="143"/>
      <c r="B16" s="153">
        <f t="shared" si="2"/>
        <v>46685</v>
      </c>
      <c r="C16" s="169">
        <f t="shared" si="1"/>
        <v>761500000</v>
      </c>
      <c r="D16" s="145">
        <f t="shared" si="0"/>
        <v>6853500000</v>
      </c>
      <c r="E16" s="145">
        <f t="shared" si="3"/>
        <v>7615000000</v>
      </c>
      <c r="F16" s="155">
        <f t="shared" si="4"/>
        <v>172745753.42465752</v>
      </c>
    </row>
    <row r="17" spans="1:6" x14ac:dyDescent="0.45">
      <c r="A17" s="143"/>
      <c r="B17" s="153">
        <f t="shared" si="2"/>
        <v>46777</v>
      </c>
      <c r="C17" s="169">
        <f t="shared" si="1"/>
        <v>761500000</v>
      </c>
      <c r="D17" s="145">
        <f t="shared" si="0"/>
        <v>6092000000</v>
      </c>
      <c r="E17" s="145">
        <f t="shared" si="3"/>
        <v>6853500000</v>
      </c>
      <c r="F17" s="155">
        <f t="shared" si="4"/>
        <v>155471178.0821918</v>
      </c>
    </row>
    <row r="18" spans="1:6" x14ac:dyDescent="0.45">
      <c r="A18" s="143"/>
      <c r="B18" s="153">
        <f t="shared" si="2"/>
        <v>46868</v>
      </c>
      <c r="C18" s="169">
        <f t="shared" si="1"/>
        <v>761500000</v>
      </c>
      <c r="D18" s="145">
        <f t="shared" si="0"/>
        <v>5330500000</v>
      </c>
      <c r="E18" s="145">
        <f t="shared" si="3"/>
        <v>6092000000</v>
      </c>
      <c r="F18" s="155">
        <f t="shared" si="4"/>
        <v>136694465.75342464</v>
      </c>
    </row>
    <row r="19" spans="1:6" x14ac:dyDescent="0.45">
      <c r="A19" s="143"/>
      <c r="B19" s="153">
        <f t="shared" si="2"/>
        <v>46959</v>
      </c>
      <c r="C19" s="169">
        <f t="shared" si="1"/>
        <v>761500000</v>
      </c>
      <c r="D19" s="145">
        <f t="shared" si="0"/>
        <v>4569000000</v>
      </c>
      <c r="E19" s="145">
        <f t="shared" si="3"/>
        <v>5330500000</v>
      </c>
      <c r="F19" s="155">
        <f t="shared" si="4"/>
        <v>119607657.53424658</v>
      </c>
    </row>
    <row r="20" spans="1:6" x14ac:dyDescent="0.45">
      <c r="A20" s="143"/>
      <c r="B20" s="153">
        <f t="shared" si="2"/>
        <v>47051</v>
      </c>
      <c r="C20" s="169">
        <f t="shared" si="1"/>
        <v>761500000</v>
      </c>
      <c r="D20" s="145">
        <f t="shared" si="0"/>
        <v>3807500000</v>
      </c>
      <c r="E20" s="145">
        <f t="shared" si="3"/>
        <v>4569000000</v>
      </c>
      <c r="F20" s="155">
        <f t="shared" si="4"/>
        <v>103647452.05479452</v>
      </c>
    </row>
    <row r="21" spans="1:6" x14ac:dyDescent="0.45">
      <c r="A21" s="143"/>
      <c r="B21" s="153">
        <f>EDATE(B20,3)</f>
        <v>47143</v>
      </c>
      <c r="C21" s="169">
        <f t="shared" si="1"/>
        <v>761500000</v>
      </c>
      <c r="D21" s="145">
        <f t="shared" si="0"/>
        <v>3046000000</v>
      </c>
      <c r="E21" s="145">
        <f t="shared" si="3"/>
        <v>3807500000</v>
      </c>
      <c r="F21" s="155">
        <f t="shared" si="4"/>
        <v>86372876.712328762</v>
      </c>
    </row>
    <row r="22" spans="1:6" x14ac:dyDescent="0.45">
      <c r="A22" s="143"/>
      <c r="B22" s="153">
        <f>EDATE(B21,3)</f>
        <v>47233</v>
      </c>
      <c r="C22" s="169">
        <f t="shared" si="1"/>
        <v>761500000</v>
      </c>
      <c r="D22" s="145">
        <f t="shared" si="0"/>
        <v>2284500000</v>
      </c>
      <c r="E22" s="145">
        <f t="shared" si="3"/>
        <v>3046000000</v>
      </c>
      <c r="F22" s="155">
        <f t="shared" si="4"/>
        <v>67596164.383561641</v>
      </c>
    </row>
    <row r="23" spans="1:6" x14ac:dyDescent="0.45">
      <c r="A23" s="143"/>
      <c r="B23" s="153">
        <f>EDATE(B22,3)</f>
        <v>47324</v>
      </c>
      <c r="C23" s="169">
        <f t="shared" si="1"/>
        <v>761500000</v>
      </c>
      <c r="D23" s="145">
        <f t="shared" si="0"/>
        <v>1523000000</v>
      </c>
      <c r="E23" s="145">
        <f t="shared" si="3"/>
        <v>2284500000</v>
      </c>
      <c r="F23" s="155">
        <f t="shared" si="4"/>
        <v>51260424.657534249</v>
      </c>
    </row>
    <row r="24" spans="1:6" x14ac:dyDescent="0.45">
      <c r="A24" s="143"/>
      <c r="B24" s="153">
        <f>EDATE(B23,3)</f>
        <v>47416</v>
      </c>
      <c r="C24" s="169">
        <f t="shared" si="1"/>
        <v>761500000</v>
      </c>
      <c r="D24" s="145">
        <f t="shared" si="0"/>
        <v>761500000</v>
      </c>
      <c r="E24" s="145">
        <f t="shared" si="3"/>
        <v>1523000000</v>
      </c>
      <c r="F24" s="155">
        <f t="shared" si="4"/>
        <v>34549150.684931509</v>
      </c>
    </row>
    <row r="25" spans="1:6" x14ac:dyDescent="0.45">
      <c r="A25" s="143"/>
      <c r="B25" s="177">
        <v>47512</v>
      </c>
      <c r="C25" s="169">
        <f t="shared" si="1"/>
        <v>761500000</v>
      </c>
      <c r="D25" s="145">
        <f t="shared" si="0"/>
        <v>0</v>
      </c>
      <c r="E25" s="145">
        <f t="shared" si="3"/>
        <v>761500000</v>
      </c>
      <c r="F25" s="155">
        <f t="shared" si="4"/>
        <v>18025643.83561644</v>
      </c>
    </row>
    <row r="26" spans="1:6" x14ac:dyDescent="0.45">
      <c r="B26" s="178"/>
    </row>
    <row r="27" spans="1:6" x14ac:dyDescent="0.45">
      <c r="B27" s="156"/>
    </row>
    <row r="28" spans="1:6" x14ac:dyDescent="0.45">
      <c r="B28" s="156"/>
      <c r="C28" s="242">
        <f>-SUM(C9:C12)/10^6</f>
        <v>-3046</v>
      </c>
      <c r="F28" s="242">
        <f>-SUM(F9:F12)/10^6</f>
        <v>-1062.1986164383561</v>
      </c>
    </row>
    <row r="29" spans="1:6" x14ac:dyDescent="0.45">
      <c r="B29" s="156"/>
    </row>
    <row r="30" spans="1:6" x14ac:dyDescent="0.45">
      <c r="B30" s="156"/>
    </row>
    <row r="31" spans="1:6" x14ac:dyDescent="0.45">
      <c r="B31" s="156"/>
    </row>
    <row r="32" spans="1:6" x14ac:dyDescent="0.45">
      <c r="B32" s="156"/>
    </row>
    <row r="33" spans="2:2" x14ac:dyDescent="0.45">
      <c r="B33" s="156"/>
    </row>
    <row r="34" spans="2:2" x14ac:dyDescent="0.45">
      <c r="B34" s="156"/>
    </row>
    <row r="35" spans="2:2" x14ac:dyDescent="0.45">
      <c r="B35" s="156"/>
    </row>
    <row r="36" spans="2:2" x14ac:dyDescent="0.45">
      <c r="B36" s="156"/>
    </row>
    <row r="37" spans="2:2" x14ac:dyDescent="0.45">
      <c r="B37" s="156"/>
    </row>
    <row r="38" spans="2:2" x14ac:dyDescent="0.45">
      <c r="B38" s="156"/>
    </row>
    <row r="39" spans="2:2" x14ac:dyDescent="0.45">
      <c r="B39" s="156"/>
    </row>
    <row r="40" spans="2:2" x14ac:dyDescent="0.45">
      <c r="B40" s="156"/>
    </row>
    <row r="41" spans="2:2" x14ac:dyDescent="0.45">
      <c r="B41" s="156"/>
    </row>
    <row r="42" spans="2:2" x14ac:dyDescent="0.45">
      <c r="B42" s="156"/>
    </row>
    <row r="43" spans="2:2" x14ac:dyDescent="0.45">
      <c r="B43" s="156"/>
    </row>
    <row r="44" spans="2:2" x14ac:dyDescent="0.45">
      <c r="B44" s="156"/>
    </row>
    <row r="45" spans="2:2" x14ac:dyDescent="0.45">
      <c r="B45" s="156"/>
    </row>
    <row r="46" spans="2:2" x14ac:dyDescent="0.45">
      <c r="B46" s="156"/>
    </row>
    <row r="47" spans="2:2" x14ac:dyDescent="0.45">
      <c r="B47" s="156"/>
    </row>
    <row r="48" spans="2:2" x14ac:dyDescent="0.45">
      <c r="B48" s="156"/>
    </row>
    <row r="49" spans="2:2" x14ac:dyDescent="0.45">
      <c r="B49" s="156"/>
    </row>
    <row r="50" spans="2:2" x14ac:dyDescent="0.45">
      <c r="B50" s="156"/>
    </row>
    <row r="51" spans="2:2" x14ac:dyDescent="0.45">
      <c r="B51" s="156"/>
    </row>
    <row r="52" spans="2:2" x14ac:dyDescent="0.45">
      <c r="B52" s="156"/>
    </row>
    <row r="53" spans="2:2" x14ac:dyDescent="0.45">
      <c r="B53" s="156"/>
    </row>
    <row r="54" spans="2:2" x14ac:dyDescent="0.45">
      <c r="B54" s="156"/>
    </row>
    <row r="55" spans="2:2" x14ac:dyDescent="0.45">
      <c r="B55" s="156"/>
    </row>
    <row r="56" spans="2:2" x14ac:dyDescent="0.45">
      <c r="B56" s="156"/>
    </row>
    <row r="57" spans="2:2" x14ac:dyDescent="0.45">
      <c r="B57" s="156"/>
    </row>
    <row r="58" spans="2:2" x14ac:dyDescent="0.45">
      <c r="B58" s="156"/>
    </row>
  </sheetData>
  <pageMargins left="0.7" right="0.7" top="0.75" bottom="0.75" header="0.3" footer="0.3"/>
  <pageSetup orientation="portrait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31581-CAD8-44CE-9D30-44B14D6C30D8}">
  <dimension ref="B3:X69"/>
  <sheetViews>
    <sheetView zoomScale="120" zoomScaleNormal="120" workbookViewId="0">
      <pane xSplit="5" ySplit="9" topLeftCell="F10" activePane="bottomRight" state="frozen"/>
      <selection pane="topRight" activeCell="E1" sqref="E1"/>
      <selection pane="bottomLeft" activeCell="A4" sqref="A4"/>
      <selection pane="bottomRight" activeCell="P10" sqref="P10"/>
    </sheetView>
  </sheetViews>
  <sheetFormatPr defaultColWidth="9.1328125" defaultRowHeight="12.75" outlineLevelRow="1" outlineLevelCol="1" x14ac:dyDescent="0.35"/>
  <cols>
    <col min="1" max="3" width="3.73046875" style="2" customWidth="1"/>
    <col min="4" max="4" width="3.86328125" style="2" customWidth="1"/>
    <col min="5" max="5" width="24.59765625" style="2" customWidth="1"/>
    <col min="6" max="6" width="12" style="2" customWidth="1" outlineLevel="1"/>
    <col min="7" max="7" width="9" style="2" customWidth="1" outlineLevel="1"/>
    <col min="8" max="8" width="11.1328125" style="2" customWidth="1" outlineLevel="1"/>
    <col min="9" max="9" width="12.59765625" style="2" customWidth="1" outlineLevel="1"/>
    <col min="10" max="10" width="11.59765625" style="2" customWidth="1" outlineLevel="1"/>
    <col min="11" max="11" width="10.3984375" style="2" customWidth="1" outlineLevel="1"/>
    <col min="12" max="12" width="10.86328125" style="2" customWidth="1" outlineLevel="1"/>
    <col min="13" max="14" width="13" style="2" customWidth="1" outlineLevel="1"/>
    <col min="15" max="15" width="11" style="2" customWidth="1" outlineLevel="1"/>
    <col min="16" max="16" width="9.1328125" style="2" customWidth="1" outlineLevel="1"/>
    <col min="17" max="17" width="9.86328125" style="2" customWidth="1" outlineLevel="1"/>
    <col min="18" max="18" width="9.1328125" style="2" customWidth="1" outlineLevel="1"/>
    <col min="19" max="19" width="11.265625" style="2" customWidth="1"/>
    <col min="20" max="20" width="18.59765625" style="2" customWidth="1"/>
    <col min="21" max="21" width="11.3984375" style="2" customWidth="1"/>
    <col min="22" max="22" width="12.86328125" style="2" customWidth="1"/>
    <col min="23" max="23" width="13.1328125" style="2" customWidth="1"/>
    <col min="24" max="16384" width="9.1328125" style="2"/>
  </cols>
  <sheetData>
    <row r="3" spans="2:24" x14ac:dyDescent="0.35">
      <c r="H3" s="60"/>
    </row>
    <row r="4" spans="2:24" x14ac:dyDescent="0.35">
      <c r="B4" s="2" t="s">
        <v>25</v>
      </c>
    </row>
    <row r="6" spans="2:24" x14ac:dyDescent="0.35">
      <c r="B6" s="27" t="s">
        <v>396</v>
      </c>
    </row>
    <row r="7" spans="2:24" s="6" customFormat="1" x14ac:dyDescent="0.35"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</row>
    <row r="8" spans="2:24" x14ac:dyDescent="0.35">
      <c r="B8" s="32" t="s">
        <v>212</v>
      </c>
      <c r="F8" s="289"/>
    </row>
    <row r="9" spans="2:24" ht="13.5" x14ac:dyDescent="0.35">
      <c r="B9" s="45" t="s">
        <v>101</v>
      </c>
      <c r="F9" s="61" t="s">
        <v>147</v>
      </c>
      <c r="G9" s="61" t="s">
        <v>150</v>
      </c>
      <c r="H9" s="61" t="s">
        <v>146</v>
      </c>
      <c r="I9" s="61" t="s">
        <v>148</v>
      </c>
      <c r="J9" s="61" t="s">
        <v>327</v>
      </c>
      <c r="K9" s="61" t="s">
        <v>151</v>
      </c>
      <c r="L9" s="61" t="s">
        <v>153</v>
      </c>
      <c r="M9" s="61" t="s">
        <v>154</v>
      </c>
      <c r="N9" s="61" t="s">
        <v>155</v>
      </c>
      <c r="O9" s="61" t="s">
        <v>326</v>
      </c>
      <c r="P9" s="61" t="s">
        <v>165</v>
      </c>
      <c r="Q9" s="61" t="s">
        <v>176</v>
      </c>
      <c r="R9" s="113" t="s">
        <v>329</v>
      </c>
      <c r="S9" s="247" t="s">
        <v>333</v>
      </c>
      <c r="T9" s="114"/>
      <c r="U9" s="32"/>
      <c r="V9" s="32"/>
      <c r="W9" s="6"/>
      <c r="X9" s="73"/>
    </row>
    <row r="10" spans="2:24" x14ac:dyDescent="0.35">
      <c r="B10" s="27" t="s">
        <v>11</v>
      </c>
      <c r="D10" s="6"/>
      <c r="F10" s="62">
        <f>HaiDuong!AB49+F55*F69</f>
        <v>14340.748417429148</v>
      </c>
      <c r="G10" s="60">
        <f>CaMau!AB19+G55*G69</f>
        <v>7060.6488619881247</v>
      </c>
      <c r="H10" s="62">
        <f>ThanhHoa!AC19+H55*H69</f>
        <v>11910.902810714286</v>
      </c>
      <c r="I10" s="62">
        <f>ThaiNguyen!AB19+I55*I69</f>
        <v>166.10249999999999</v>
      </c>
      <c r="J10" s="62">
        <f>ThaiBinh2!F27+J55*J69</f>
        <v>7611.3220000000001</v>
      </c>
      <c r="K10" s="62">
        <f>YetKieu!X18+K55*K69</f>
        <v>622.6258600000001</v>
      </c>
      <c r="L10" s="62">
        <f>NhaTrang!Z16+L55*L69</f>
        <v>553.27460000000008</v>
      </c>
      <c r="M10" s="62">
        <f>ThachThat!Z13+M55*M69</f>
        <v>3345.33</v>
      </c>
      <c r="N10" s="62">
        <f>SocSon!F22*(1+N69)</f>
        <v>3102.4400000000005</v>
      </c>
      <c r="O10" s="62">
        <f>'Site liên kết'!S20*(1+O69)</f>
        <v>3614.3598279012685</v>
      </c>
      <c r="P10" s="62">
        <v>8766.3333333333339</v>
      </c>
      <c r="Q10" s="62"/>
      <c r="R10" s="62"/>
      <c r="S10" s="249">
        <f>SUM(F10:R10)</f>
        <v>61094.088211366165</v>
      </c>
    </row>
    <row r="11" spans="2:24" ht="13.15" thickBot="1" x14ac:dyDescent="0.4">
      <c r="B11" s="27" t="s">
        <v>328</v>
      </c>
      <c r="D11" s="55"/>
      <c r="F11" s="195">
        <f>-(HaiDuong!AB63+HaiDuong!AB71)</f>
        <v>-7839.6251465013629</v>
      </c>
      <c r="G11" s="195">
        <f>-SUM(CaMau!AB33,CaMau!AB41)</f>
        <v>-3453.8630848825251</v>
      </c>
      <c r="H11" s="195">
        <f>-SUM(ThanhHoa!AC32,ThanhHoa!AC40)</f>
        <v>-7428.3875315943105</v>
      </c>
      <c r="I11" s="195">
        <f>-SUM(ThaiNguyen!AB33,ThaiNguyen!AB41)</f>
        <v>0</v>
      </c>
      <c r="J11" s="195">
        <f>-ThaiBinh2!F40</f>
        <v>-4857.1072967836262</v>
      </c>
      <c r="K11" s="195">
        <f>-YetKieu!X53</f>
        <v>0</v>
      </c>
      <c r="L11" s="195">
        <f>NhaTrang!Z48</f>
        <v>0</v>
      </c>
      <c r="M11" s="195">
        <f>-ThachThat!Z35</f>
        <v>0</v>
      </c>
      <c r="N11" s="195">
        <f>-SocSon!F35</f>
        <v>-2809.521063978495</v>
      </c>
      <c r="O11" s="195"/>
      <c r="P11" s="195">
        <v>-7157.7276458333299</v>
      </c>
      <c r="Q11" s="195"/>
      <c r="R11" s="195">
        <f>-'HO-2'!F19</f>
        <v>-7821.0261940000055</v>
      </c>
      <c r="S11" s="249">
        <f>SUM(F11:R11)</f>
        <v>-41367.257963573655</v>
      </c>
      <c r="T11" s="59"/>
      <c r="U11" s="118"/>
      <c r="X11" s="59"/>
    </row>
    <row r="12" spans="2:24" ht="13.15" thickBot="1" x14ac:dyDescent="0.4">
      <c r="B12" s="232" t="s">
        <v>350</v>
      </c>
      <c r="C12" s="223"/>
      <c r="D12" s="100"/>
      <c r="E12" s="100"/>
      <c r="F12" s="226">
        <f>SUM(F10:F11)</f>
        <v>6501.1232709277847</v>
      </c>
      <c r="G12" s="226">
        <f t="shared" ref="G12:S12" si="0">SUM(G10:G11)</f>
        <v>3606.7857771055997</v>
      </c>
      <c r="H12" s="226">
        <f t="shared" si="0"/>
        <v>4482.5152791199753</v>
      </c>
      <c r="I12" s="226">
        <f t="shared" si="0"/>
        <v>166.10249999999999</v>
      </c>
      <c r="J12" s="226">
        <f t="shared" si="0"/>
        <v>2754.2147032163739</v>
      </c>
      <c r="K12" s="226">
        <f t="shared" si="0"/>
        <v>622.6258600000001</v>
      </c>
      <c r="L12" s="226">
        <f t="shared" si="0"/>
        <v>553.27460000000008</v>
      </c>
      <c r="M12" s="226">
        <f t="shared" si="0"/>
        <v>3345.33</v>
      </c>
      <c r="N12" s="226">
        <f t="shared" si="0"/>
        <v>292.91893602150549</v>
      </c>
      <c r="O12" s="226">
        <f t="shared" si="0"/>
        <v>3614.3598279012685</v>
      </c>
      <c r="P12" s="226">
        <f t="shared" si="0"/>
        <v>1608.605687500004</v>
      </c>
      <c r="Q12" s="226">
        <f t="shared" si="0"/>
        <v>0</v>
      </c>
      <c r="R12" s="226">
        <f t="shared" si="0"/>
        <v>-7821.0261940000055</v>
      </c>
      <c r="S12" s="250">
        <f t="shared" si="0"/>
        <v>19726.83024779251</v>
      </c>
      <c r="T12" s="57"/>
      <c r="U12" s="118"/>
      <c r="V12" s="97"/>
      <c r="X12" s="57"/>
    </row>
    <row r="13" spans="2:24" ht="3" customHeight="1" x14ac:dyDescent="0.35">
      <c r="B13" s="89"/>
      <c r="C13" s="90"/>
      <c r="D13" s="90"/>
      <c r="E13" s="91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251"/>
      <c r="T13" s="85"/>
      <c r="U13" s="105"/>
      <c r="V13" s="85"/>
      <c r="W13" s="85"/>
      <c r="X13" s="85"/>
    </row>
    <row r="14" spans="2:24" x14ac:dyDescent="0.35">
      <c r="B14" s="27" t="s">
        <v>275</v>
      </c>
      <c r="D14" s="6"/>
      <c r="F14" s="85">
        <f>HaiDuong!AB73</f>
        <v>5173.2235982071725</v>
      </c>
      <c r="G14" s="85">
        <f>CaMau!AB43</f>
        <v>1834.8026274080801</v>
      </c>
      <c r="H14" s="85">
        <f>ThanhHoa!AC42</f>
        <v>2362.3960524719851</v>
      </c>
      <c r="I14" s="85">
        <f>ThaiNguyen!AB43</f>
        <v>0</v>
      </c>
      <c r="J14" s="57">
        <f t="shared" ref="J14:O14" si="1">J12</f>
        <v>2754.2147032163739</v>
      </c>
      <c r="K14" s="57">
        <f t="shared" si="1"/>
        <v>622.6258600000001</v>
      </c>
      <c r="L14" s="57">
        <f t="shared" si="1"/>
        <v>553.27460000000008</v>
      </c>
      <c r="M14" s="57">
        <f t="shared" si="1"/>
        <v>3345.33</v>
      </c>
      <c r="N14" s="57">
        <f t="shared" si="1"/>
        <v>292.91893602150549</v>
      </c>
      <c r="O14" s="57">
        <f t="shared" si="1"/>
        <v>3614.3598279012685</v>
      </c>
      <c r="P14" s="57">
        <v>1608.6056874999999</v>
      </c>
      <c r="Q14" s="57"/>
      <c r="R14" s="57">
        <f>R12</f>
        <v>-7821.0261940000055</v>
      </c>
      <c r="S14" s="252">
        <f>SUM(F14:R14)</f>
        <v>14340.725698726383</v>
      </c>
      <c r="T14" s="57"/>
      <c r="U14" s="96"/>
      <c r="V14" s="57"/>
      <c r="W14" s="57"/>
      <c r="X14" s="57"/>
    </row>
    <row r="15" spans="2:24" ht="3" customHeight="1" x14ac:dyDescent="0.35">
      <c r="B15" s="27"/>
      <c r="D15" s="6"/>
      <c r="F15" s="85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249"/>
      <c r="T15" s="57"/>
      <c r="U15" s="96"/>
      <c r="V15" s="57"/>
      <c r="W15" s="57"/>
      <c r="X15" s="57"/>
    </row>
    <row r="16" spans="2:24" outlineLevel="1" x14ac:dyDescent="0.35">
      <c r="B16" s="27" t="s">
        <v>45</v>
      </c>
      <c r="F16" s="62">
        <v>0</v>
      </c>
      <c r="G16" s="195">
        <f>-VTB_CaMau!J25</f>
        <v>-343.2377465753425</v>
      </c>
      <c r="H16" s="195">
        <f>'BIDV-THH'!I24</f>
        <v>-814.07402191780818</v>
      </c>
      <c r="I16" s="62">
        <f>VTB_TNN!I28</f>
        <v>-746.91000000000008</v>
      </c>
      <c r="J16" s="60">
        <f>ThaiBinh2!F42</f>
        <v>-752.73430136986303</v>
      </c>
      <c r="K16" s="84">
        <f>'VTB_YẾT KIÊU'!F27</f>
        <v>-1069.173</v>
      </c>
      <c r="L16" s="84">
        <f>'VTB_Nha trang.'!F28</f>
        <v>-1062.1986164383561</v>
      </c>
      <c r="M16" s="57">
        <v>0</v>
      </c>
      <c r="N16" s="57">
        <v>0</v>
      </c>
      <c r="O16" s="84"/>
      <c r="P16" s="84">
        <v>-555</v>
      </c>
      <c r="Q16" s="84"/>
      <c r="R16" s="84"/>
      <c r="S16" s="252">
        <f>SUM(F16:R16)</f>
        <v>-5343.3276863013698</v>
      </c>
    </row>
    <row r="17" spans="2:20" hidden="1" outlineLevel="1" x14ac:dyDescent="0.35">
      <c r="B17" s="27" t="s">
        <v>395</v>
      </c>
      <c r="F17" s="218">
        <f>SUM(F14,F16)</f>
        <v>5173.2235982071725</v>
      </c>
      <c r="G17" s="218">
        <f t="shared" ref="G17:R17" si="2">SUM(G14,G16)</f>
        <v>1491.5648808327376</v>
      </c>
      <c r="H17" s="218">
        <f t="shared" si="2"/>
        <v>1548.3220305541768</v>
      </c>
      <c r="I17" s="218">
        <f t="shared" si="2"/>
        <v>-746.91000000000008</v>
      </c>
      <c r="J17" s="218">
        <f t="shared" si="2"/>
        <v>2001.4804018465109</v>
      </c>
      <c r="K17" s="218">
        <f t="shared" si="2"/>
        <v>-446.5471399999999</v>
      </c>
      <c r="L17" s="218">
        <f t="shared" si="2"/>
        <v>-508.92401643835603</v>
      </c>
      <c r="M17" s="218">
        <f t="shared" si="2"/>
        <v>3345.33</v>
      </c>
      <c r="N17" s="218">
        <f t="shared" si="2"/>
        <v>292.91893602150549</v>
      </c>
      <c r="O17" s="218">
        <f t="shared" si="2"/>
        <v>3614.3598279012685</v>
      </c>
      <c r="P17" s="218">
        <f t="shared" si="2"/>
        <v>1053.6056874999999</v>
      </c>
      <c r="Q17" s="218">
        <f t="shared" si="2"/>
        <v>0</v>
      </c>
      <c r="R17" s="218">
        <f t="shared" si="2"/>
        <v>-7821.0261940000055</v>
      </c>
      <c r="S17" s="269">
        <f>SUM(F17:R17)</f>
        <v>8997.398012425012</v>
      </c>
    </row>
    <row r="18" spans="2:20" hidden="1" outlineLevel="1" x14ac:dyDescent="0.35">
      <c r="B18" s="27" t="s">
        <v>41</v>
      </c>
      <c r="F18" s="62">
        <f>-(HaiDuong!AB75+HaiDuong!AB81)*'Site list'!H4</f>
        <v>-2723.9572980000003</v>
      </c>
      <c r="G18" s="195">
        <f>-(CaMau!AB45+CaMau!AB51)*55%</f>
        <v>-1218.9929532000001</v>
      </c>
      <c r="H18" s="195">
        <f>-SUM(ThanhHoa!AC45,ThanhHoa!AC50)*(1-ThanhHoa!AA56)</f>
        <v>-1262.0503962000003</v>
      </c>
      <c r="I18" s="62">
        <f>-SUM(ThaiNguyen!AB44,ThaiNguyen!AB50)*(1-ThaiNguyen!Z56)</f>
        <v>0</v>
      </c>
      <c r="J18" s="60">
        <f>-ThaiBinh!Z40*(1-ThaiBinh!X47)</f>
        <v>0</v>
      </c>
      <c r="K18" s="84">
        <f>-YetKieu!X41</f>
        <v>0</v>
      </c>
      <c r="L18" s="84">
        <f>-NhaTrang!Z37</f>
        <v>0</v>
      </c>
      <c r="M18" s="57">
        <f>-ThachThat!Z30</f>
        <v>-399.99999600000001</v>
      </c>
      <c r="N18" s="57">
        <f>-SocSon!F38</f>
        <v>-939.38324399999976</v>
      </c>
      <c r="O18" s="57">
        <v>0</v>
      </c>
      <c r="P18" s="84">
        <v>-2345.8333333333298</v>
      </c>
      <c r="Q18" s="84"/>
      <c r="R18" s="84"/>
      <c r="S18" s="252"/>
    </row>
    <row r="19" spans="2:20" hidden="1" outlineLevel="1" x14ac:dyDescent="0.35">
      <c r="B19" s="27" t="s">
        <v>192</v>
      </c>
      <c r="F19" s="62">
        <f>SUM(F17:F18)</f>
        <v>2449.2663002071722</v>
      </c>
      <c r="G19" s="62">
        <f>SUM(G17:G18)</f>
        <v>272.57192763273747</v>
      </c>
      <c r="H19" s="195">
        <f t="shared" ref="H19:P19" si="3">H17+H18</f>
        <v>286.27163435417651</v>
      </c>
      <c r="I19" s="195">
        <f t="shared" si="3"/>
        <v>-746.91000000000008</v>
      </c>
      <c r="J19" s="195">
        <f t="shared" si="3"/>
        <v>2001.4804018465109</v>
      </c>
      <c r="K19" s="195">
        <f t="shared" si="3"/>
        <v>-446.5471399999999</v>
      </c>
      <c r="L19" s="195">
        <f t="shared" si="3"/>
        <v>-508.92401643835603</v>
      </c>
      <c r="M19" s="195">
        <f t="shared" si="3"/>
        <v>2945.3300039999999</v>
      </c>
      <c r="N19" s="195">
        <f t="shared" si="3"/>
        <v>-646.46430797849428</v>
      </c>
      <c r="O19" s="195">
        <f t="shared" si="3"/>
        <v>3614.3598279012685</v>
      </c>
      <c r="P19" s="195">
        <f t="shared" si="3"/>
        <v>-1292.2276458333299</v>
      </c>
      <c r="Q19" s="84"/>
      <c r="R19" s="84"/>
      <c r="S19" s="252"/>
    </row>
    <row r="20" spans="2:20" hidden="1" outlineLevel="1" x14ac:dyDescent="0.35">
      <c r="B20" s="27"/>
      <c r="F20" s="62"/>
      <c r="G20" s="195"/>
      <c r="H20" s="195"/>
      <c r="I20" s="62"/>
      <c r="J20" s="60"/>
      <c r="K20" s="84"/>
      <c r="L20" s="84"/>
      <c r="M20" s="57"/>
      <c r="N20" s="57"/>
      <c r="O20" s="84"/>
      <c r="P20" s="84"/>
      <c r="Q20" s="84"/>
      <c r="R20" s="84"/>
      <c r="S20" s="252"/>
    </row>
    <row r="21" spans="2:20" outlineLevel="1" x14ac:dyDescent="0.35">
      <c r="B21" s="27" t="s">
        <v>331</v>
      </c>
      <c r="F21" s="62">
        <v>0</v>
      </c>
      <c r="G21" s="195">
        <f>-VTB_CaMau!I25</f>
        <v>-1452</v>
      </c>
      <c r="H21" s="195">
        <f>'BIDV-THH'!C24</f>
        <v>-3280</v>
      </c>
      <c r="I21" s="62">
        <f>VTB_TNN!C28</f>
        <v>-2150</v>
      </c>
      <c r="J21" s="60">
        <f>ThaiBinh2!F46</f>
        <v>-2036</v>
      </c>
      <c r="K21" s="84">
        <f>'VTB_YẾT KIÊU'!C27</f>
        <v>-3066</v>
      </c>
      <c r="L21" s="84">
        <f>'VTB_Nha trang.'!C28</f>
        <v>-3046</v>
      </c>
      <c r="M21" s="57">
        <v>0</v>
      </c>
      <c r="N21" s="57">
        <v>0</v>
      </c>
      <c r="O21" s="84"/>
      <c r="P21" s="84">
        <v>-3463.2</v>
      </c>
      <c r="Q21" s="84"/>
      <c r="R21" s="57">
        <f>-12.2*1000</f>
        <v>-12200</v>
      </c>
      <c r="S21" s="252">
        <f>SUM(F21:R21)</f>
        <v>-30693.200000000001</v>
      </c>
    </row>
    <row r="22" spans="2:20" outlineLevel="1" x14ac:dyDescent="0.35">
      <c r="B22" s="27" t="s">
        <v>332</v>
      </c>
      <c r="F22" s="62">
        <f>-HaiDuong!AB91</f>
        <v>-520</v>
      </c>
      <c r="G22" s="200">
        <v>0</v>
      </c>
      <c r="H22" s="195">
        <f>-'Capital req'!F50</f>
        <v>-1040</v>
      </c>
      <c r="I22" s="62">
        <f>-ThaiNguyen!AB60</f>
        <v>0</v>
      </c>
      <c r="J22" s="60">
        <f>ThaiBinh2!F47</f>
        <v>-599.1</v>
      </c>
      <c r="K22" s="62">
        <v>0</v>
      </c>
      <c r="L22" s="62">
        <v>0</v>
      </c>
      <c r="M22" s="57">
        <v>0</v>
      </c>
      <c r="N22" s="57">
        <v>0</v>
      </c>
      <c r="P22" s="84">
        <v>-850</v>
      </c>
      <c r="S22" s="252">
        <f>SUM(F22:R22)</f>
        <v>-3009.1</v>
      </c>
    </row>
    <row r="23" spans="2:20" ht="13.15" outlineLevel="1" thickBot="1" x14ac:dyDescent="0.4">
      <c r="B23" s="233" t="s">
        <v>339</v>
      </c>
      <c r="C23" s="234"/>
      <c r="D23" s="234"/>
      <c r="E23" s="234"/>
      <c r="F23" s="236">
        <f>SUM(F17,F21:F22)</f>
        <v>4653.2235982071725</v>
      </c>
      <c r="G23" s="236">
        <f t="shared" ref="G23:Q23" si="4">SUM(G17,G21:G22)</f>
        <v>39.564880832737572</v>
      </c>
      <c r="H23" s="236">
        <f t="shared" si="4"/>
        <v>-2771.6779694458232</v>
      </c>
      <c r="I23" s="236">
        <f t="shared" si="4"/>
        <v>-2896.91</v>
      </c>
      <c r="J23" s="236">
        <f t="shared" si="4"/>
        <v>-633.61959815348916</v>
      </c>
      <c r="K23" s="236">
        <f t="shared" si="4"/>
        <v>-3512.5471399999997</v>
      </c>
      <c r="L23" s="236">
        <f t="shared" si="4"/>
        <v>-3554.9240164383559</v>
      </c>
      <c r="M23" s="236">
        <f t="shared" si="4"/>
        <v>3345.33</v>
      </c>
      <c r="N23" s="236">
        <f t="shared" si="4"/>
        <v>292.91893602150549</v>
      </c>
      <c r="O23" s="236">
        <f t="shared" si="4"/>
        <v>3614.3598279012685</v>
      </c>
      <c r="P23" s="236">
        <f t="shared" si="4"/>
        <v>-3259.5943124999999</v>
      </c>
      <c r="Q23" s="236">
        <f t="shared" si="4"/>
        <v>0</v>
      </c>
      <c r="R23" s="236">
        <f>SUM(R17,R21:R22)</f>
        <v>-20021.026194000005</v>
      </c>
      <c r="S23" s="270">
        <f>SUM(S17,S21:S22)</f>
        <v>-24704.901987574987</v>
      </c>
    </row>
    <row r="24" spans="2:20" ht="3" customHeight="1" outlineLevel="1" thickTop="1" x14ac:dyDescent="0.35">
      <c r="S24" s="248"/>
    </row>
    <row r="25" spans="2:20" outlineLevel="1" x14ac:dyDescent="0.35">
      <c r="B25" s="55" t="s">
        <v>342</v>
      </c>
      <c r="S25" s="248"/>
    </row>
    <row r="26" spans="2:20" outlineLevel="1" x14ac:dyDescent="0.35">
      <c r="B26" s="2" t="s">
        <v>385</v>
      </c>
      <c r="P26" s="62">
        <v>-3400</v>
      </c>
      <c r="S26" s="253">
        <f>SUM(F26:R26)</f>
        <v>-3400</v>
      </c>
      <c r="T26" s="283" t="s">
        <v>380</v>
      </c>
    </row>
    <row r="27" spans="2:20" outlineLevel="1" x14ac:dyDescent="0.35">
      <c r="B27" s="2" t="s">
        <v>382</v>
      </c>
      <c r="P27" s="62">
        <v>-900</v>
      </c>
      <c r="S27" s="253">
        <f t="shared" ref="S27:S32" si="5">SUM(F27:R27)</f>
        <v>-900</v>
      </c>
      <c r="T27" s="2" t="s">
        <v>381</v>
      </c>
    </row>
    <row r="28" spans="2:20" outlineLevel="1" x14ac:dyDescent="0.35">
      <c r="B28" s="2" t="s">
        <v>386</v>
      </c>
      <c r="N28" s="62">
        <f>-1800-2100</f>
        <v>-3900</v>
      </c>
      <c r="S28" s="253">
        <f t="shared" si="5"/>
        <v>-3900</v>
      </c>
      <c r="T28" s="2" t="s">
        <v>383</v>
      </c>
    </row>
    <row r="29" spans="2:20" outlineLevel="1" x14ac:dyDescent="0.35">
      <c r="B29" s="2" t="s">
        <v>393</v>
      </c>
      <c r="R29" s="57">
        <v>-4560</v>
      </c>
      <c r="S29" s="253">
        <f t="shared" si="5"/>
        <v>-4560</v>
      </c>
    </row>
    <row r="30" spans="2:20" outlineLevel="1" x14ac:dyDescent="0.35">
      <c r="B30" s="2" t="s">
        <v>384</v>
      </c>
      <c r="R30" s="57">
        <v>-7000</v>
      </c>
      <c r="S30" s="253">
        <f t="shared" si="5"/>
        <v>-7000</v>
      </c>
    </row>
    <row r="31" spans="2:20" outlineLevel="1" x14ac:dyDescent="0.35">
      <c r="B31" s="2" t="s">
        <v>262</v>
      </c>
      <c r="Q31" s="57">
        <v>-2000</v>
      </c>
      <c r="R31" s="58"/>
      <c r="S31" s="253">
        <f t="shared" si="5"/>
        <v>-2000</v>
      </c>
    </row>
    <row r="32" spans="2:20" outlineLevel="1" x14ac:dyDescent="0.35">
      <c r="B32" s="2" t="s">
        <v>389</v>
      </c>
      <c r="R32" s="57">
        <v>-3600</v>
      </c>
      <c r="S32" s="253">
        <f t="shared" si="5"/>
        <v>-3600</v>
      </c>
    </row>
    <row r="33" spans="2:19" ht="13.15" outlineLevel="1" thickBot="1" x14ac:dyDescent="0.4">
      <c r="B33" s="233" t="s">
        <v>351</v>
      </c>
      <c r="C33" s="234"/>
      <c r="D33" s="234"/>
      <c r="E33" s="234"/>
      <c r="F33" s="236">
        <f t="shared" ref="F33:S33" si="6">SUM(F26:F32)</f>
        <v>0</v>
      </c>
      <c r="G33" s="236">
        <f t="shared" si="6"/>
        <v>0</v>
      </c>
      <c r="H33" s="236">
        <f t="shared" si="6"/>
        <v>0</v>
      </c>
      <c r="I33" s="236">
        <f t="shared" si="6"/>
        <v>0</v>
      </c>
      <c r="J33" s="236">
        <f t="shared" si="6"/>
        <v>0</v>
      </c>
      <c r="K33" s="236">
        <f t="shared" si="6"/>
        <v>0</v>
      </c>
      <c r="L33" s="236">
        <f t="shared" si="6"/>
        <v>0</v>
      </c>
      <c r="M33" s="236">
        <f t="shared" si="6"/>
        <v>0</v>
      </c>
      <c r="N33" s="236">
        <f t="shared" si="6"/>
        <v>-3900</v>
      </c>
      <c r="O33" s="236">
        <f t="shared" si="6"/>
        <v>0</v>
      </c>
      <c r="P33" s="236">
        <f t="shared" si="6"/>
        <v>-4300</v>
      </c>
      <c r="Q33" s="236">
        <f t="shared" si="6"/>
        <v>-2000</v>
      </c>
      <c r="R33" s="236">
        <f t="shared" si="6"/>
        <v>-15160</v>
      </c>
      <c r="S33" s="254">
        <f t="shared" si="6"/>
        <v>-25360</v>
      </c>
    </row>
    <row r="34" spans="2:19" ht="13.15" outlineLevel="1" thickTop="1" x14ac:dyDescent="0.35">
      <c r="S34" s="248"/>
    </row>
    <row r="35" spans="2:19" outlineLevel="1" x14ac:dyDescent="0.35">
      <c r="B35" s="6" t="s">
        <v>352</v>
      </c>
      <c r="S35" s="255">
        <f>SUM(S23,S33)</f>
        <v>-50064.901987574987</v>
      </c>
    </row>
    <row r="36" spans="2:19" outlineLevel="1" x14ac:dyDescent="0.35">
      <c r="B36" s="27"/>
      <c r="C36" s="230" t="s">
        <v>316</v>
      </c>
      <c r="D36" s="6"/>
      <c r="E36" s="93"/>
      <c r="S36" s="248"/>
    </row>
    <row r="37" spans="2:19" outlineLevel="1" x14ac:dyDescent="0.35">
      <c r="D37" s="2" t="s">
        <v>394</v>
      </c>
      <c r="S37" s="249">
        <v>14800</v>
      </c>
    </row>
    <row r="38" spans="2:19" outlineLevel="1" x14ac:dyDescent="0.35">
      <c r="D38" s="2" t="s">
        <v>318</v>
      </c>
      <c r="S38" s="249">
        <v>1320</v>
      </c>
    </row>
    <row r="39" spans="2:19" outlineLevel="1" x14ac:dyDescent="0.35">
      <c r="B39" s="27"/>
      <c r="C39" s="6"/>
      <c r="D39" s="2" t="s">
        <v>319</v>
      </c>
      <c r="F39" s="245"/>
      <c r="G39" s="245"/>
      <c r="H39" s="245"/>
      <c r="I39" s="245"/>
      <c r="J39" s="245"/>
      <c r="K39" s="245"/>
      <c r="L39" s="245"/>
      <c r="M39" s="245"/>
      <c r="N39" s="245"/>
      <c r="O39" s="245"/>
      <c r="P39" s="245"/>
      <c r="Q39" s="245"/>
      <c r="R39" s="245"/>
      <c r="S39" s="271">
        <v>2000</v>
      </c>
    </row>
    <row r="40" spans="2:19" outlineLevel="1" x14ac:dyDescent="0.35">
      <c r="C40" s="65" t="s">
        <v>397</v>
      </c>
      <c r="D40" s="65"/>
      <c r="E40" s="66"/>
      <c r="S40" s="257">
        <f>S35+SUM(S37:S39)</f>
        <v>-31944.901987574987</v>
      </c>
    </row>
    <row r="41" spans="2:19" outlineLevel="1" x14ac:dyDescent="0.35">
      <c r="B41" s="27"/>
      <c r="C41" s="230"/>
      <c r="D41" s="6"/>
      <c r="S41" s="248"/>
    </row>
    <row r="42" spans="2:19" outlineLevel="1" x14ac:dyDescent="0.35">
      <c r="S42" s="249"/>
    </row>
    <row r="43" spans="2:19" outlineLevel="1" x14ac:dyDescent="0.35">
      <c r="B43" s="6"/>
      <c r="C43" s="6"/>
      <c r="E43" s="85"/>
      <c r="S43" s="248"/>
    </row>
    <row r="44" spans="2:19" outlineLevel="1" x14ac:dyDescent="0.35">
      <c r="C44" s="246"/>
      <c r="D44" s="246"/>
      <c r="E44" s="246"/>
      <c r="F44" s="246"/>
      <c r="G44" s="246"/>
      <c r="H44" s="246"/>
      <c r="I44" s="246"/>
      <c r="J44" s="246"/>
      <c r="K44" s="246"/>
      <c r="L44" s="246"/>
      <c r="M44" s="246"/>
      <c r="N44" s="246"/>
      <c r="O44" s="246"/>
      <c r="P44" s="246"/>
      <c r="Q44" s="246"/>
      <c r="R44" s="246"/>
      <c r="S44" s="256"/>
    </row>
    <row r="45" spans="2:19" outlineLevel="1" x14ac:dyDescent="0.35">
      <c r="C45" s="55" t="s">
        <v>325</v>
      </c>
      <c r="S45" s="257">
        <f>SUM(S42:S44)</f>
        <v>0</v>
      </c>
    </row>
    <row r="46" spans="2:19" ht="13.15" outlineLevel="1" thickBot="1" x14ac:dyDescent="0.4">
      <c r="S46" s="248"/>
    </row>
    <row r="47" spans="2:19" ht="13.15" outlineLevel="1" thickBot="1" x14ac:dyDescent="0.4">
      <c r="B47" s="6" t="s">
        <v>337</v>
      </c>
      <c r="S47" s="258">
        <f>S35+S40+S45</f>
        <v>-82009.803975149975</v>
      </c>
    </row>
    <row r="48" spans="2:19" outlineLevel="1" x14ac:dyDescent="0.35">
      <c r="B48" s="6"/>
      <c r="C48" s="6"/>
      <c r="D48" s="2" t="s">
        <v>323</v>
      </c>
      <c r="E48" s="85"/>
      <c r="S48" s="248"/>
    </row>
    <row r="49" spans="2:21" outlineLevel="1" x14ac:dyDescent="0.35">
      <c r="D49" s="2" t="s">
        <v>324</v>
      </c>
      <c r="F49" s="245"/>
      <c r="G49" s="245"/>
      <c r="H49" s="245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63"/>
    </row>
    <row r="50" spans="2:21" outlineLevel="1" x14ac:dyDescent="0.35">
      <c r="C50" s="231" t="s">
        <v>325</v>
      </c>
      <c r="D50" s="70"/>
      <c r="E50" s="70"/>
      <c r="S50" s="248"/>
    </row>
    <row r="51" spans="2:21" outlineLevel="1" x14ac:dyDescent="0.35">
      <c r="S51" s="248"/>
    </row>
    <row r="52" spans="2:21" outlineLevel="1" x14ac:dyDescent="0.35">
      <c r="B52" s="6" t="s">
        <v>337</v>
      </c>
      <c r="S52" s="248"/>
    </row>
    <row r="53" spans="2:21" x14ac:dyDescent="0.35">
      <c r="S53" s="248"/>
    </row>
    <row r="54" spans="2:21" x14ac:dyDescent="0.35">
      <c r="B54" s="32" t="s">
        <v>55</v>
      </c>
      <c r="S54" s="248"/>
    </row>
    <row r="55" spans="2:21" x14ac:dyDescent="0.35">
      <c r="B55" s="27" t="s">
        <v>11</v>
      </c>
      <c r="D55" s="6"/>
      <c r="F55" s="62">
        <f>HaiDuong!T49-HaiDuong!T50</f>
        <v>11097.785</v>
      </c>
      <c r="G55" s="62">
        <f>CaMau!T19-CaMau!T20</f>
        <v>5415.62</v>
      </c>
      <c r="H55" s="62">
        <f>ThanhHoa!T19-ThanhHoa!T20</f>
        <v>10903.770500000001</v>
      </c>
      <c r="I55" s="62">
        <f>ThaiNguyen!T19</f>
        <v>3322.0499999999997</v>
      </c>
      <c r="J55" s="62">
        <f>ThaiBinh!T17</f>
        <v>1946.44</v>
      </c>
      <c r="K55" s="60">
        <f>YetKieu!T18</f>
        <v>6226.2586000000001</v>
      </c>
      <c r="L55" s="62">
        <f>NhaTrang!T16</f>
        <v>5532.7460000000001</v>
      </c>
      <c r="M55" s="62">
        <f>ThachThat!T13</f>
        <v>693.30000000000007</v>
      </c>
      <c r="N55" s="217">
        <v>71.55</v>
      </c>
      <c r="O55" s="62">
        <f>'Site liên kết'!R20</f>
        <v>3442.247455144065</v>
      </c>
      <c r="S55" s="252">
        <f>SUM(F55:R55)</f>
        <v>48651.76755514407</v>
      </c>
    </row>
    <row r="56" spans="2:21" ht="13.15" thickBot="1" x14ac:dyDescent="0.4">
      <c r="B56" s="27" t="s">
        <v>328</v>
      </c>
      <c r="D56" s="55"/>
      <c r="F56" s="62">
        <f>-(HaiDuong!T63+HaiDuong!T71)</f>
        <v>-7029.2540279999994</v>
      </c>
      <c r="G56" s="62">
        <f>-(CaMau!T33+CaMau!T41)</f>
        <v>-2820.6329940000001</v>
      </c>
      <c r="H56" s="62">
        <f>-(ThanhHoa!T32+ThanhHoa!T40)</f>
        <v>-6899.5767219999998</v>
      </c>
      <c r="I56" s="62">
        <f>-(ThaiNguyen!T33+ThaiNguyen!T41)</f>
        <v>-3661.5144890000001</v>
      </c>
      <c r="J56" s="62">
        <f>-(ThaiBinh!T17-ThaiBinh!T33)</f>
        <v>-2348.512561</v>
      </c>
      <c r="K56" s="60">
        <f>-(YetKieu!T18-YetKieu!T40)</f>
        <v>-6534.8171073333333</v>
      </c>
      <c r="L56" s="62">
        <f>-(NhaTrang!T16-NhaTrang!T34)</f>
        <v>-4602.3055048333335</v>
      </c>
      <c r="M56" s="62">
        <f>-(ThachThat!T13-ThachThat!T28)</f>
        <v>-482.76496200000008</v>
      </c>
      <c r="N56" s="62">
        <v>-435.18238100000002</v>
      </c>
      <c r="R56" s="60">
        <f>-SUM(U56:U57)/10^6</f>
        <v>-4176.3393270271827</v>
      </c>
      <c r="S56" s="252">
        <f>SUM(F56:R56)</f>
        <v>-38990.900076193851</v>
      </c>
      <c r="U56" s="84">
        <v>2901820348</v>
      </c>
    </row>
    <row r="57" spans="2:21" ht="13.15" thickBot="1" x14ac:dyDescent="0.4">
      <c r="B57" s="261" t="s">
        <v>350</v>
      </c>
      <c r="C57" s="223"/>
      <c r="D57" s="100"/>
      <c r="E57" s="100"/>
      <c r="F57" s="226">
        <f>F55+F56</f>
        <v>4068.5309720000005</v>
      </c>
      <c r="G57" s="226">
        <f t="shared" ref="G57:O57" si="7">G55+G56</f>
        <v>2594.9870059999998</v>
      </c>
      <c r="H57" s="226">
        <f t="shared" si="7"/>
        <v>4004.1937780000007</v>
      </c>
      <c r="I57" s="226">
        <f t="shared" si="7"/>
        <v>-339.46448900000041</v>
      </c>
      <c r="J57" s="226">
        <f t="shared" si="7"/>
        <v>-402.07256099999995</v>
      </c>
      <c r="K57" s="226">
        <f t="shared" si="7"/>
        <v>-308.55850733333318</v>
      </c>
      <c r="L57" s="226">
        <f t="shared" si="7"/>
        <v>930.44049516666655</v>
      </c>
      <c r="M57" s="226">
        <f t="shared" si="7"/>
        <v>210.53503799999999</v>
      </c>
      <c r="N57" s="226">
        <f t="shared" si="7"/>
        <v>-363.63238100000001</v>
      </c>
      <c r="O57" s="226">
        <f t="shared" si="7"/>
        <v>3442.247455144065</v>
      </c>
      <c r="P57" s="226">
        <f>P55-P56</f>
        <v>0</v>
      </c>
      <c r="Q57" s="226">
        <f>Q55-Q56</f>
        <v>0</v>
      </c>
      <c r="R57" s="226"/>
      <c r="S57" s="250">
        <f>SUM(S55:S56)</f>
        <v>9660.8674789502184</v>
      </c>
      <c r="U57" s="84">
        <v>1274518979.0271831</v>
      </c>
    </row>
    <row r="58" spans="2:21" x14ac:dyDescent="0.35">
      <c r="F58" s="58"/>
      <c r="G58" s="58"/>
      <c r="S58" s="248"/>
    </row>
    <row r="59" spans="2:21" x14ac:dyDescent="0.35">
      <c r="B59" s="27" t="s">
        <v>275</v>
      </c>
      <c r="F59" s="62">
        <f>HaiDuong!T73</f>
        <v>3539.6219456399999</v>
      </c>
      <c r="G59" s="62">
        <f>CaMau!T43</f>
        <v>0</v>
      </c>
      <c r="H59" s="60">
        <f>ThanhHoa!T42</f>
        <v>0</v>
      </c>
      <c r="S59" s="248"/>
    </row>
    <row r="60" spans="2:21" x14ac:dyDescent="0.35">
      <c r="B60" s="27" t="s">
        <v>45</v>
      </c>
      <c r="F60" s="62"/>
      <c r="G60" s="62"/>
      <c r="H60" s="60"/>
      <c r="S60" s="248"/>
    </row>
    <row r="61" spans="2:21" x14ac:dyDescent="0.35">
      <c r="S61" s="248"/>
    </row>
    <row r="62" spans="2:21" x14ac:dyDescent="0.35">
      <c r="B62" s="32" t="s">
        <v>356</v>
      </c>
      <c r="S62" s="248"/>
    </row>
    <row r="63" spans="2:21" x14ac:dyDescent="0.35">
      <c r="B63" s="27" t="s">
        <v>11</v>
      </c>
      <c r="D63" s="6"/>
      <c r="F63" s="272">
        <f t="shared" ref="F63:O63" si="8">1-F55/F10</f>
        <v>0.22613627427476413</v>
      </c>
      <c r="G63" s="272">
        <f t="shared" si="8"/>
        <v>0.23298550800965911</v>
      </c>
      <c r="H63" s="272">
        <f t="shared" si="8"/>
        <v>8.4555497322027828E-2</v>
      </c>
      <c r="I63" s="272">
        <f t="shared" si="8"/>
        <v>-19</v>
      </c>
      <c r="J63" s="272">
        <f t="shared" si="8"/>
        <v>0.7442704434262537</v>
      </c>
      <c r="K63" s="272">
        <f t="shared" si="8"/>
        <v>-8.9999999999999982</v>
      </c>
      <c r="L63" s="272">
        <f t="shared" si="8"/>
        <v>-8.9999999999999982</v>
      </c>
      <c r="M63" s="272">
        <f t="shared" si="8"/>
        <v>0.79275587161804661</v>
      </c>
      <c r="N63" s="272">
        <f t="shared" si="8"/>
        <v>0.97693750725235617</v>
      </c>
      <c r="O63" s="272">
        <f t="shared" si="8"/>
        <v>4.7619047619047672E-2</v>
      </c>
      <c r="P63" s="273"/>
      <c r="Q63" s="273"/>
      <c r="S63" s="264">
        <f>1-S55/S10</f>
        <v>0.20365834110127989</v>
      </c>
    </row>
    <row r="64" spans="2:21" ht="13.15" thickBot="1" x14ac:dyDescent="0.4">
      <c r="B64" s="27" t="s">
        <v>328</v>
      </c>
      <c r="D64" s="55"/>
      <c r="F64" s="201">
        <f t="shared" ref="F64:N64" si="9">1-F56/F11</f>
        <v>0.10336860543172943</v>
      </c>
      <c r="G64" s="201">
        <f t="shared" si="9"/>
        <v>0.18333966208856334</v>
      </c>
      <c r="H64" s="201">
        <f t="shared" si="9"/>
        <v>7.118783280290375E-2</v>
      </c>
      <c r="I64" s="201" t="e">
        <f t="shared" si="9"/>
        <v>#DIV/0!</v>
      </c>
      <c r="J64" s="201">
        <f t="shared" si="9"/>
        <v>0.51647916805231298</v>
      </c>
      <c r="K64" s="201" t="e">
        <f t="shared" si="9"/>
        <v>#DIV/0!</v>
      </c>
      <c r="L64" s="201" t="e">
        <f t="shared" si="9"/>
        <v>#DIV/0!</v>
      </c>
      <c r="M64" s="201" t="e">
        <f t="shared" si="9"/>
        <v>#DIV/0!</v>
      </c>
      <c r="N64" s="201">
        <f t="shared" si="9"/>
        <v>0.84510442488594528</v>
      </c>
      <c r="O64" s="201"/>
      <c r="S64" s="264">
        <f>1-S56/S11</f>
        <v>5.7445380824427072E-2</v>
      </c>
    </row>
    <row r="65" spans="2:19" ht="13.15" thickBot="1" x14ac:dyDescent="0.4">
      <c r="B65" s="261" t="s">
        <v>350</v>
      </c>
      <c r="C65" s="223"/>
      <c r="D65" s="100"/>
      <c r="E65" s="100"/>
      <c r="F65" s="262">
        <f t="shared" ref="F65:N65" si="10">1-F57/F12</f>
        <v>0.37418030662578494</v>
      </c>
      <c r="G65" s="262">
        <f t="shared" si="10"/>
        <v>0.28052643922688292</v>
      </c>
      <c r="H65" s="262">
        <f t="shared" si="10"/>
        <v>0.10670828125183329</v>
      </c>
      <c r="I65" s="262">
        <f t="shared" si="10"/>
        <v>3.0437048750018838</v>
      </c>
      <c r="J65" s="262">
        <f t="shared" si="10"/>
        <v>1.1459844653833484</v>
      </c>
      <c r="K65" s="262">
        <f t="shared" si="10"/>
        <v>1.4955761190730708</v>
      </c>
      <c r="L65" s="262">
        <f t="shared" si="10"/>
        <v>-0.68169747023750316</v>
      </c>
      <c r="M65" s="262">
        <f t="shared" si="10"/>
        <v>0.93706598810879649</v>
      </c>
      <c r="N65" s="262">
        <f t="shared" si="10"/>
        <v>2.2414096061488591</v>
      </c>
      <c r="O65" s="262">
        <f>1-O57/O12</f>
        <v>4.7619047619047672E-2</v>
      </c>
      <c r="P65" s="100"/>
      <c r="Q65" s="100"/>
      <c r="R65" s="100"/>
      <c r="S65" s="265">
        <f>1-S57/S12</f>
        <v>0.51026762244120305</v>
      </c>
    </row>
    <row r="67" spans="2:19" x14ac:dyDescent="0.35">
      <c r="B67" s="27" t="s">
        <v>275</v>
      </c>
      <c r="F67" s="201">
        <f>1-F59/F14</f>
        <v>0.31578021354679353</v>
      </c>
      <c r="G67" s="201">
        <f>1-G59/G14</f>
        <v>1</v>
      </c>
      <c r="H67" s="201">
        <f>1-H59/H14</f>
        <v>1</v>
      </c>
    </row>
    <row r="69" spans="2:19" x14ac:dyDescent="0.35">
      <c r="B69" s="2" t="s">
        <v>392</v>
      </c>
      <c r="F69" s="97">
        <v>0.05</v>
      </c>
      <c r="G69" s="97">
        <v>0.05</v>
      </c>
      <c r="H69" s="97">
        <v>0.05</v>
      </c>
      <c r="I69" s="97">
        <v>0.05</v>
      </c>
      <c r="J69" s="97">
        <v>0.05</v>
      </c>
      <c r="K69" s="97">
        <v>0.1</v>
      </c>
      <c r="L69" s="97">
        <v>0.1</v>
      </c>
      <c r="M69" s="97">
        <v>0.1</v>
      </c>
      <c r="N69" s="97">
        <v>0.1</v>
      </c>
      <c r="O69" s="97">
        <v>0.05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46</vt:i4>
      </vt:variant>
      <vt:variant>
        <vt:lpstr>Named Ranges</vt:lpstr>
      </vt:variant>
      <vt:variant>
        <vt:i4>1</vt:i4>
      </vt:variant>
    </vt:vector>
  </HeadingPairs>
  <TitlesOfParts>
    <vt:vector size="47" baseType="lpstr">
      <vt:lpstr>Dashboard</vt:lpstr>
      <vt:lpstr>Readmefirst</vt:lpstr>
      <vt:lpstr>Annual_PL conso</vt:lpstr>
      <vt:lpstr>Monthly_PL conso</vt:lpstr>
      <vt:lpstr>Conso BS</vt:lpstr>
      <vt:lpstr>HaiDuong</vt:lpstr>
      <vt:lpstr>CaMau</vt:lpstr>
      <vt:lpstr>ThanhHoa</vt:lpstr>
      <vt:lpstr>ThaiNguyen</vt:lpstr>
      <vt:lpstr>ThaiBinh</vt:lpstr>
      <vt:lpstr>YetKieu</vt:lpstr>
      <vt:lpstr>NhaTrang</vt:lpstr>
      <vt:lpstr>ThachThat</vt:lpstr>
      <vt:lpstr>HM</vt:lpstr>
      <vt:lpstr>SocSon-1</vt:lpstr>
      <vt:lpstr>Site liên kết</vt:lpstr>
      <vt:lpstr>HM-2</vt:lpstr>
      <vt:lpstr>HO</vt:lpstr>
      <vt:lpstr>CF.</vt:lpstr>
      <vt:lpstr>CF</vt:lpstr>
      <vt:lpstr>BS</vt:lpstr>
      <vt:lpstr>Điểm hòa vốn</vt:lpstr>
      <vt:lpstr>Annual CF forecast</vt:lpstr>
      <vt:lpstr>Site list</vt:lpstr>
      <vt:lpstr>Monthly CF forecast</vt:lpstr>
      <vt:lpstr>HaiDuong-2</vt:lpstr>
      <vt:lpstr>CaMau-2</vt:lpstr>
      <vt:lpstr>ThanhHoa-2</vt:lpstr>
      <vt:lpstr>ThaiNguyen2</vt:lpstr>
      <vt:lpstr>ThaiBinh2</vt:lpstr>
      <vt:lpstr>YetKieu-2</vt:lpstr>
      <vt:lpstr>NhaTrang-2</vt:lpstr>
      <vt:lpstr>SocSon</vt:lpstr>
      <vt:lpstr>ThachThat (2)</vt:lpstr>
      <vt:lpstr>Hà Tĩnh</vt:lpstr>
      <vt:lpstr>HM-3</vt:lpstr>
      <vt:lpstr>HO-2</vt:lpstr>
      <vt:lpstr>Capital req</vt:lpstr>
      <vt:lpstr>Maintenance</vt:lpstr>
      <vt:lpstr>VTB_CaMau</vt:lpstr>
      <vt:lpstr>BIDV-THH</vt:lpstr>
      <vt:lpstr>VTB_TNN</vt:lpstr>
      <vt:lpstr>VTB_TBH</vt:lpstr>
      <vt:lpstr>VTB_YẾT KIÊU</vt:lpstr>
      <vt:lpstr>VTB_Nha trang.</vt:lpstr>
      <vt:lpstr>CF forecast-13.1</vt:lpstr>
      <vt:lpstr>'VTB_YẾT KIÊU'!Print_Area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Thu Dang</dc:creator>
  <cp:lastModifiedBy>Huyen Bui</cp:lastModifiedBy>
  <dcterms:created xsi:type="dcterms:W3CDTF">2025-12-15T06:36:08Z</dcterms:created>
  <dcterms:modified xsi:type="dcterms:W3CDTF">2026-03-09T08:03:43Z</dcterms:modified>
</cp:coreProperties>
</file>